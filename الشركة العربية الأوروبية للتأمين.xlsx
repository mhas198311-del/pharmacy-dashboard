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armacy_Operations\Insurance_Accounts\Insurance_Claims\"/>
    </mc:Choice>
  </mc:AlternateContent>
  <xr:revisionPtr revIDLastSave="0" documentId="13_ncr:1_{16247CB6-12D8-4D83-A0A9-330D65D35ECA}" xr6:coauthVersionLast="47" xr6:coauthVersionMax="47" xr10:uidLastSave="{00000000-0000-0000-0000-000000000000}"/>
  <bookViews>
    <workbookView xWindow="-108" yWindow="-108" windowWidth="23256" windowHeight="12456" xr2:uid="{EE0FC3C9-C345-45F5-AA63-81B16FD29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6" i="1" l="1"/>
  <c r="J49" i="1"/>
  <c r="L49" i="1" s="1"/>
  <c r="J55" i="1"/>
  <c r="L55" i="1" s="1"/>
  <c r="J48" i="1"/>
  <c r="L48" i="1" s="1"/>
  <c r="J25" i="1"/>
  <c r="L25" i="1" s="1"/>
  <c r="J44" i="1"/>
  <c r="L44" i="1" s="1"/>
  <c r="J46" i="1"/>
  <c r="L46" i="1" s="1"/>
  <c r="J47" i="1"/>
  <c r="L47" i="1" s="1"/>
  <c r="J50" i="1"/>
  <c r="L50" i="1" s="1"/>
  <c r="J51" i="1"/>
  <c r="L51" i="1" s="1"/>
  <c r="J52" i="1"/>
  <c r="L52" i="1" s="1"/>
  <c r="J53" i="1"/>
  <c r="L53" i="1" s="1"/>
  <c r="J54" i="1"/>
  <c r="L54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5" i="1"/>
  <c r="L45" i="1" s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2" i="1"/>
  <c r="L2" i="1" s="1"/>
</calcChain>
</file>

<file path=xl/sharedStrings.xml><?xml version="1.0" encoding="utf-8"?>
<sst xmlns="http://schemas.openxmlformats.org/spreadsheetml/2006/main" count="120" uniqueCount="33">
  <si>
    <t>الرقم</t>
  </si>
  <si>
    <t>رقم الموظف /رقم البطاقة</t>
  </si>
  <si>
    <t>اسم المريض</t>
  </si>
  <si>
    <t>رقم النموذج</t>
  </si>
  <si>
    <t>نوع المستفيد</t>
  </si>
  <si>
    <t>تاريخ البيع</t>
  </si>
  <si>
    <t>قيمة الفاتورة</t>
  </si>
  <si>
    <t>قيمة المشاركة</t>
  </si>
  <si>
    <t>رسمي ضيف الله السعيدات</t>
  </si>
  <si>
    <t>موظف</t>
  </si>
  <si>
    <t>فاطمة احمد عوض الخليفات</t>
  </si>
  <si>
    <t>سارة رسمي السعيدات</t>
  </si>
  <si>
    <t>عائله</t>
  </si>
  <si>
    <t>نايا رسمي السعيدات</t>
  </si>
  <si>
    <t>الاء عبدالسلام الحسنات</t>
  </si>
  <si>
    <t>زيد رسمي السعيدات</t>
  </si>
  <si>
    <t>رسمي ضيف الله سعيدات</t>
  </si>
  <si>
    <t>عون رسمي السعيدات</t>
  </si>
  <si>
    <t>دلال عبدالله محمد العصيفات</t>
  </si>
  <si>
    <t>سليمان جلال الرياطي</t>
  </si>
  <si>
    <t>صافي القيمة</t>
  </si>
  <si>
    <t>القيمة المطلوبة</t>
  </si>
  <si>
    <t>المدفوع</t>
  </si>
  <si>
    <t>المتبقي</t>
  </si>
  <si>
    <t>رامي فارس خليلي</t>
  </si>
  <si>
    <t>احمد عادل عيد</t>
  </si>
  <si>
    <t>عبدالله سالم السراحين</t>
  </si>
  <si>
    <t>خديجه محمود خليل</t>
  </si>
  <si>
    <t>ابراهيم عايش الاتيم</t>
  </si>
  <si>
    <t>محمد السعيدات</t>
  </si>
  <si>
    <t>سارا رسمي السعيدات</t>
  </si>
  <si>
    <t>ابراهيم جمعه زنون</t>
  </si>
  <si>
    <t>قاسم دخيل الله القواسمه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</si>
</sst>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_د_._ا_._‏"/>
  </numFmts>
  <fonts count="3" x14ac:knownFonts="1">
    <font>
      <sz val="11"/>
      <color theme="1"/>
      <name val="Aptos Narrow"/>
      <family val="2"/>
      <charset val="178"/>
      <scheme val="minor"/>
    </font>
    <font>
      <b/>
      <sz val="10"/>
      <color indexed="9"/>
      <name val="Aptos Narrow"/>
      <family val="2"/>
      <scheme val="minor"/>
    </font>
    <font>
      <b/>
      <sz val="10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24">
    <dxf>
      <numFmt numFmtId="164" formatCode="#,##0.000\ _د_._ا_._‏"/>
    </dxf>
    <dxf>
      <numFmt numFmtId="164" formatCode="#,##0.000\ _د_._ا_._‏"/>
    </dxf>
    <dxf>
      <numFmt numFmtId="164" formatCode="#,##0.000\ _د_._ا_._‏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ptos Narrow"/>
        <family val="2"/>
        <scheme val="minor"/>
      </font>
      <numFmt numFmtId="164" formatCode="#,##0.000\ _د_._ا_._‏"/>
      <fill>
        <patternFill patternType="solid">
          <fgColor indexed="64"/>
          <bgColor indexed="17"/>
        </patternFill>
      </fill>
    </dxf>
    <dxf>
      <numFmt numFmtId="164" formatCode="#,##0.000\ _د_._ا_._‏"/>
    </dxf>
    <dxf>
      <numFmt numFmtId="164" formatCode="#,##0.000\ _د_._ا_._‏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9D3A7-A410-4E75-9567-5559742FE035}" name="Table1" displayName="Table1" ref="A1:L56" totalsRowCount="1" headerRowDxfId="12">
  <autoFilter ref="A1:L55" xr:uid="{29F9D3A7-A410-4E75-9567-5559742FE035}"/>
  <sortState xmlns:xlrd2="http://schemas.microsoft.com/office/spreadsheetml/2017/richdata2" ref="A2:L55">
    <sortCondition ref="F1:F55"/>
  </sortState>
  <tableColumns count="12">
    <tableColumn id="1" xr3:uid="{40336687-55C6-4DBF-B64C-F3C0D9AD1D6D}" name="الرقم" dataDxfId="23" totalsRowDxfId="11"/>
    <tableColumn id="2" xr3:uid="{D061CD9E-2F7E-4528-BE3D-C0505C01813D}" name="رقم الموظف /رقم البطاقة" dataDxfId="22" totalsRowDxfId="10"/>
    <tableColumn id="3" xr3:uid="{76D9A2AC-27F4-4C84-9F63-F0E2C4A3A429}" name="اسم المريض" dataDxfId="21" totalsRowDxfId="9"/>
    <tableColumn id="4" xr3:uid="{8EADC87E-806C-44A1-BDDF-ED5BBD572FA0}" name="رقم النموذج" dataDxfId="20" totalsRowDxfId="8"/>
    <tableColumn id="5" xr3:uid="{8B1C419E-4281-4B4D-A02B-AA98CCA7FE75}" name="نوع المستفيد" dataDxfId="19" totalsRowDxfId="7"/>
    <tableColumn id="6" xr3:uid="{36A22F97-8B79-40A7-ACD4-67B21B73431D}" name="تاريخ البيع" dataDxfId="18" totalsRowDxfId="6"/>
    <tableColumn id="7" xr3:uid="{90C2D3E1-AA0A-4D68-94E5-BBF511CE67CA}" name="قيمة الفاتورة" dataDxfId="17" totalsRowDxfId="5"/>
    <tableColumn id="8" xr3:uid="{B20CFF15-B5E8-4588-88A3-E5249297378F}" name="قيمة المشاركة" dataDxfId="16" totalsRowDxfId="4"/>
    <tableColumn id="9" xr3:uid="{D791A33F-6B84-4F86-B96D-1983D9944BB3}" name="صافي القيمة" dataDxfId="15" totalsRowDxfId="3"/>
    <tableColumn id="10" xr3:uid="{7F71AB19-398C-43C4-9365-FBFE695FBEA7}" name="القيمة المطلوبة" totalsRowFunction="sum" dataDxfId="14" totalsRowDxfId="2">
      <calculatedColumnFormula>G2*0.94-H2</calculatedColumnFormula>
    </tableColumn>
    <tableColumn id="11" xr3:uid="{A3649768-F616-4F61-96AE-8634E5589F1A}" name="المدفوع" totalsRowDxfId="1"/>
    <tableColumn id="12" xr3:uid="{3D0AE5B1-0491-4F72-A2A6-4B7FFB82F8D3}" name="المتبقي" dataDxfId="13" totalsRowDxfId="0">
      <calculatedColumnFormula>J2-K2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9ECF-A88D-43BD-A0BB-A219CBC2F6D8}">
  <dimension ref="A1:L56"/>
  <sheetViews>
    <sheetView rightToLeft="1" tabSelected="1" workbookViewId="0">
      <pane ySplit="1" topLeftCell="A2" activePane="bottomLeft" state="frozen"/>
      <selection pane="bottomLeft" activeCell="N51" sqref="N51"/>
    </sheetView>
  </sheetViews>
  <sheetFormatPr defaultRowHeight="13.8" x14ac:dyDescent="0.25"/>
  <cols>
    <col min="1" max="1" width="5.19921875" customWidth="1"/>
    <col min="2" max="2" width="16.59765625" customWidth="1"/>
    <col min="3" max="3" width="35.296875" bestFit="1" customWidth="1"/>
    <col min="4" max="4" width="10.796875" bestFit="1" customWidth="1"/>
    <col min="5" max="5" width="10" customWidth="1"/>
    <col min="6" max="6" width="9.296875" bestFit="1" customWidth="1"/>
    <col min="7" max="7" width="9.8984375" customWidth="1"/>
    <col min="8" max="8" width="10.3984375" customWidth="1"/>
    <col min="9" max="9" width="13.296875" bestFit="1" customWidth="1"/>
    <col min="10" max="10" width="12.19921875" style="5" customWidth="1"/>
    <col min="11" max="11" width="7.69921875" style="5" bestFit="1" customWidth="1"/>
    <col min="12" max="12" width="13.19921875" style="5" customWidth="1"/>
  </cols>
  <sheetData>
    <row r="1" spans="1:12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4" t="s">
        <v>21</v>
      </c>
      <c r="K1" s="4" t="s">
        <v>22</v>
      </c>
      <c r="L1" s="4" t="s">
        <v>23</v>
      </c>
    </row>
    <row r="2" spans="1:12" ht="14.4" x14ac:dyDescent="0.3">
      <c r="A2" s="2">
        <v>1</v>
      </c>
      <c r="B2" s="2">
        <v>78002702</v>
      </c>
      <c r="C2" s="2" t="s">
        <v>8</v>
      </c>
      <c r="D2" s="2">
        <v>6</v>
      </c>
      <c r="E2" s="2" t="s">
        <v>9</v>
      </c>
      <c r="F2" s="3">
        <v>45670</v>
      </c>
      <c r="G2" s="2">
        <v>37.69</v>
      </c>
      <c r="H2" s="2">
        <v>3.7690000000000001</v>
      </c>
      <c r="I2" s="2">
        <v>33.920999999999999</v>
      </c>
      <c r="J2" s="5">
        <f>G2*0.94-H2</f>
        <v>31.659599999999998</v>
      </c>
      <c r="L2" s="5">
        <f>J2-K2</f>
        <v>31.659599999999998</v>
      </c>
    </row>
    <row r="3" spans="1:12" ht="14.4" x14ac:dyDescent="0.3">
      <c r="A3" s="2">
        <v>2</v>
      </c>
      <c r="B3" s="2">
        <v>65563502</v>
      </c>
      <c r="C3" s="2" t="s">
        <v>10</v>
      </c>
      <c r="D3" s="2">
        <v>12510006434</v>
      </c>
      <c r="E3" s="2" t="s">
        <v>9</v>
      </c>
      <c r="F3" s="3">
        <v>45675</v>
      </c>
      <c r="G3" s="2">
        <v>21.29</v>
      </c>
      <c r="H3" s="2">
        <v>4.258</v>
      </c>
      <c r="I3" s="2">
        <v>17.032</v>
      </c>
      <c r="J3" s="5">
        <f>G3*0.94-H3</f>
        <v>15.7546</v>
      </c>
      <c r="L3" s="5">
        <f>J3-K3</f>
        <v>15.7546</v>
      </c>
    </row>
    <row r="4" spans="1:12" ht="14.4" x14ac:dyDescent="0.3">
      <c r="A4" s="2">
        <v>3</v>
      </c>
      <c r="B4" s="2">
        <v>780037004</v>
      </c>
      <c r="C4" s="2" t="s">
        <v>11</v>
      </c>
      <c r="D4" s="2">
        <v>4185423</v>
      </c>
      <c r="E4" s="2" t="s">
        <v>12</v>
      </c>
      <c r="F4" s="3">
        <v>45699</v>
      </c>
      <c r="G4" s="2">
        <v>29.49</v>
      </c>
      <c r="H4" s="2">
        <v>2.9489999999999998</v>
      </c>
      <c r="I4" s="2">
        <v>26.541</v>
      </c>
      <c r="J4" s="5">
        <f>G4*0.94-H4</f>
        <v>24.771599999999999</v>
      </c>
      <c r="L4" s="5">
        <f>J4-K4</f>
        <v>24.771599999999999</v>
      </c>
    </row>
    <row r="5" spans="1:12" ht="14.4" x14ac:dyDescent="0.3">
      <c r="A5" s="2">
        <v>4</v>
      </c>
      <c r="B5" s="2">
        <v>780037006</v>
      </c>
      <c r="C5" s="2" t="s">
        <v>13</v>
      </c>
      <c r="D5" s="2">
        <v>4185425</v>
      </c>
      <c r="E5" s="2" t="s">
        <v>12</v>
      </c>
      <c r="F5" s="3">
        <v>45699</v>
      </c>
      <c r="G5" s="2">
        <v>21.78</v>
      </c>
      <c r="H5" s="2">
        <v>2.1779999999999999</v>
      </c>
      <c r="I5" s="2">
        <v>19.602</v>
      </c>
      <c r="J5" s="5">
        <f>G5*0.94-H5</f>
        <v>18.295199999999998</v>
      </c>
      <c r="L5" s="5">
        <f>J5-K5</f>
        <v>18.295199999999998</v>
      </c>
    </row>
    <row r="6" spans="1:12" ht="14.4" x14ac:dyDescent="0.3">
      <c r="A6" s="2">
        <v>5</v>
      </c>
      <c r="B6" s="2">
        <v>780037001</v>
      </c>
      <c r="C6" s="2" t="s">
        <v>14</v>
      </c>
      <c r="D6" s="2">
        <v>4185420</v>
      </c>
      <c r="E6" s="2" t="s">
        <v>9</v>
      </c>
      <c r="F6" s="3">
        <v>45699</v>
      </c>
      <c r="G6" s="2">
        <v>30.63</v>
      </c>
      <c r="H6" s="2">
        <v>3.0630000000000002</v>
      </c>
      <c r="I6" s="2">
        <v>27.567</v>
      </c>
      <c r="J6" s="5">
        <f>G6*0.94-H6</f>
        <v>25.729199999999999</v>
      </c>
      <c r="L6" s="5">
        <f>J6-K6</f>
        <v>25.729199999999999</v>
      </c>
    </row>
    <row r="7" spans="1:12" ht="14.4" x14ac:dyDescent="0.3">
      <c r="A7" s="2">
        <v>6</v>
      </c>
      <c r="B7" s="2">
        <v>780037002</v>
      </c>
      <c r="C7" s="2" t="s">
        <v>8</v>
      </c>
      <c r="D7" s="2">
        <v>4185421</v>
      </c>
      <c r="E7" s="2" t="s">
        <v>12</v>
      </c>
      <c r="F7" s="3">
        <v>45703</v>
      </c>
      <c r="G7" s="2">
        <v>35.840000000000003</v>
      </c>
      <c r="H7" s="2">
        <v>3.5840000000000001</v>
      </c>
      <c r="I7" s="2">
        <v>32.256</v>
      </c>
      <c r="J7" s="5">
        <f>G7*0.94-H7</f>
        <v>30.105599999999999</v>
      </c>
      <c r="L7" s="5">
        <f>J7-K7</f>
        <v>30.105599999999999</v>
      </c>
    </row>
    <row r="8" spans="1:12" ht="14.4" x14ac:dyDescent="0.3">
      <c r="A8" s="2">
        <v>7</v>
      </c>
      <c r="B8" s="2">
        <v>780037003</v>
      </c>
      <c r="C8" s="2" t="s">
        <v>15</v>
      </c>
      <c r="D8" s="2">
        <v>4185422</v>
      </c>
      <c r="E8" s="2" t="s">
        <v>12</v>
      </c>
      <c r="F8" s="3">
        <v>45703</v>
      </c>
      <c r="G8" s="2">
        <v>38.57</v>
      </c>
      <c r="H8" s="2">
        <v>3.8570000000000002</v>
      </c>
      <c r="I8" s="2">
        <v>34.713000000000001</v>
      </c>
      <c r="J8" s="5">
        <f>G8*0.94-H8</f>
        <v>32.398800000000001</v>
      </c>
      <c r="L8" s="5">
        <f>J8-K8</f>
        <v>32.398800000000001</v>
      </c>
    </row>
    <row r="9" spans="1:12" ht="14.4" x14ac:dyDescent="0.3">
      <c r="A9" s="2">
        <v>8</v>
      </c>
      <c r="B9" s="2">
        <v>780002702</v>
      </c>
      <c r="C9" s="2" t="s">
        <v>16</v>
      </c>
      <c r="D9" s="2">
        <v>6</v>
      </c>
      <c r="E9" s="2" t="s">
        <v>12</v>
      </c>
      <c r="F9" s="3">
        <v>45703</v>
      </c>
      <c r="G9" s="2">
        <v>37.69</v>
      </c>
      <c r="H9" s="2">
        <v>3.7690000000000001</v>
      </c>
      <c r="I9" s="2">
        <v>33.920999999999999</v>
      </c>
      <c r="J9" s="5">
        <f>G9*0.94-H9</f>
        <v>31.659599999999998</v>
      </c>
      <c r="L9" s="5">
        <f>J9-K9</f>
        <v>31.659599999999998</v>
      </c>
    </row>
    <row r="10" spans="1:12" ht="14.4" x14ac:dyDescent="0.3">
      <c r="A10" s="2">
        <v>9</v>
      </c>
      <c r="B10" s="2">
        <v>780037005</v>
      </c>
      <c r="C10" s="2" t="s">
        <v>17</v>
      </c>
      <c r="D10" s="2">
        <v>4185424</v>
      </c>
      <c r="E10" s="2" t="s">
        <v>12</v>
      </c>
      <c r="F10" s="3">
        <v>45703</v>
      </c>
      <c r="G10" s="2">
        <v>21.8</v>
      </c>
      <c r="H10" s="2">
        <v>2.1800000000000002</v>
      </c>
      <c r="I10" s="2">
        <v>19.62</v>
      </c>
      <c r="J10" s="5">
        <f>G10*0.94-H10</f>
        <v>18.312000000000001</v>
      </c>
      <c r="L10" s="5">
        <f>J10-K10</f>
        <v>18.312000000000001</v>
      </c>
    </row>
    <row r="11" spans="1:12" ht="14.4" x14ac:dyDescent="0.3">
      <c r="A11" s="2">
        <v>10</v>
      </c>
      <c r="B11" s="2">
        <v>780002702</v>
      </c>
      <c r="C11" s="2" t="s">
        <v>16</v>
      </c>
      <c r="D11" s="2">
        <v>7</v>
      </c>
      <c r="E11" s="2" t="s">
        <v>9</v>
      </c>
      <c r="F11" s="3">
        <v>45732</v>
      </c>
      <c r="G11" s="2">
        <v>37.69</v>
      </c>
      <c r="H11" s="2">
        <v>3.7690000000000001</v>
      </c>
      <c r="I11" s="2">
        <v>33.920999999999999</v>
      </c>
      <c r="J11" s="5">
        <f>G11*0.94-H11</f>
        <v>31.659599999999998</v>
      </c>
      <c r="L11" s="5">
        <f>J11-K11</f>
        <v>31.659599999999998</v>
      </c>
    </row>
    <row r="12" spans="1:12" ht="14.4" x14ac:dyDescent="0.3">
      <c r="A12" s="2">
        <v>11</v>
      </c>
      <c r="B12" s="2">
        <v>780037002</v>
      </c>
      <c r="C12" s="2" t="s">
        <v>8</v>
      </c>
      <c r="D12" s="2">
        <v>12510035930</v>
      </c>
      <c r="E12" s="2" t="s">
        <v>12</v>
      </c>
      <c r="F12" s="3">
        <v>45755</v>
      </c>
      <c r="G12" s="2">
        <v>44.66</v>
      </c>
      <c r="H12" s="2">
        <v>4.4660000000000002</v>
      </c>
      <c r="I12" s="2">
        <v>40.194000000000003</v>
      </c>
      <c r="J12" s="5">
        <f>G12*0.94-H12</f>
        <v>37.514399999999995</v>
      </c>
      <c r="L12" s="5">
        <f>J12-K12</f>
        <v>37.514399999999995</v>
      </c>
    </row>
    <row r="13" spans="1:12" ht="14.4" x14ac:dyDescent="0.3">
      <c r="A13" s="2">
        <v>12</v>
      </c>
      <c r="B13" s="2">
        <v>2003862437</v>
      </c>
      <c r="C13" s="2" t="s">
        <v>17</v>
      </c>
      <c r="D13" s="2">
        <v>12510035932</v>
      </c>
      <c r="E13" s="2" t="s">
        <v>12</v>
      </c>
      <c r="F13" s="3">
        <v>45755</v>
      </c>
      <c r="G13" s="2">
        <v>27.92</v>
      </c>
      <c r="H13" s="2">
        <v>2.7919999999999998</v>
      </c>
      <c r="I13" s="2">
        <v>25.128</v>
      </c>
      <c r="J13" s="5">
        <f>G13*0.94-H13</f>
        <v>23.452800000000003</v>
      </c>
      <c r="L13" s="5">
        <f>J13-K13</f>
        <v>23.452800000000003</v>
      </c>
    </row>
    <row r="14" spans="1:12" ht="14.4" x14ac:dyDescent="0.3">
      <c r="A14" s="2">
        <v>13</v>
      </c>
      <c r="B14" s="2">
        <v>780037004</v>
      </c>
      <c r="C14" s="2" t="s">
        <v>11</v>
      </c>
      <c r="D14" s="2">
        <v>12510035600</v>
      </c>
      <c r="E14" s="2" t="s">
        <v>12</v>
      </c>
      <c r="F14" s="3">
        <v>45755</v>
      </c>
      <c r="G14" s="2">
        <v>32.619999999999997</v>
      </c>
      <c r="H14" s="2">
        <v>3.262</v>
      </c>
      <c r="I14" s="2">
        <v>29.358000000000001</v>
      </c>
      <c r="J14" s="5">
        <f>G14*0.94-H14</f>
        <v>27.400799999999997</v>
      </c>
      <c r="L14" s="5">
        <f>J14-K14</f>
        <v>27.400799999999997</v>
      </c>
    </row>
    <row r="15" spans="1:12" ht="14.4" x14ac:dyDescent="0.3">
      <c r="A15" s="2">
        <v>14</v>
      </c>
      <c r="B15" s="2">
        <v>780037003</v>
      </c>
      <c r="C15" s="2" t="s">
        <v>15</v>
      </c>
      <c r="D15" s="2">
        <v>12510035931</v>
      </c>
      <c r="E15" s="2" t="s">
        <v>12</v>
      </c>
      <c r="F15" s="3">
        <v>45755</v>
      </c>
      <c r="G15" s="2">
        <v>39.26</v>
      </c>
      <c r="H15" s="2">
        <v>3.9260000000000002</v>
      </c>
      <c r="I15" s="2">
        <v>35.334000000000003</v>
      </c>
      <c r="J15" s="5">
        <f>G15*0.94-H15</f>
        <v>32.978399999999993</v>
      </c>
      <c r="L15" s="5">
        <f>J15-K15</f>
        <v>32.978399999999993</v>
      </c>
    </row>
    <row r="16" spans="1:12" ht="14.4" x14ac:dyDescent="0.3">
      <c r="A16" s="2">
        <v>15</v>
      </c>
      <c r="B16" s="2">
        <v>780002702</v>
      </c>
      <c r="C16" s="2" t="s">
        <v>8</v>
      </c>
      <c r="D16" s="2">
        <v>10</v>
      </c>
      <c r="E16" s="2" t="s">
        <v>9</v>
      </c>
      <c r="F16" s="3">
        <v>45813</v>
      </c>
      <c r="G16" s="2">
        <v>37.69</v>
      </c>
      <c r="H16" s="2">
        <v>3.7690000000000001</v>
      </c>
      <c r="I16" s="2">
        <v>33.920999999999999</v>
      </c>
      <c r="J16" s="5">
        <f>G16*0.94-H16</f>
        <v>31.659599999999998</v>
      </c>
      <c r="L16" s="5">
        <f>J16-K16</f>
        <v>31.659599999999998</v>
      </c>
    </row>
    <row r="17" spans="1:12" ht="14.4" x14ac:dyDescent="0.3">
      <c r="A17" s="2">
        <v>16</v>
      </c>
      <c r="B17" s="2">
        <v>780037002</v>
      </c>
      <c r="C17" s="2" t="s">
        <v>8</v>
      </c>
      <c r="D17" s="2">
        <v>12510081859</v>
      </c>
      <c r="E17" s="2" t="s">
        <v>9</v>
      </c>
      <c r="F17" s="3">
        <v>45831</v>
      </c>
      <c r="G17" s="2">
        <v>45.36</v>
      </c>
      <c r="H17" s="2">
        <v>4.5359999999999996</v>
      </c>
      <c r="I17" s="2">
        <v>40.823999999999998</v>
      </c>
      <c r="J17" s="5">
        <f>G17*0.94-H17</f>
        <v>38.102399999999996</v>
      </c>
      <c r="L17" s="5">
        <f>J17-K17</f>
        <v>38.102399999999996</v>
      </c>
    </row>
    <row r="18" spans="1:12" ht="14.4" x14ac:dyDescent="0.3">
      <c r="A18" s="2">
        <v>17</v>
      </c>
      <c r="B18" s="2">
        <v>780037001</v>
      </c>
      <c r="C18" s="2" t="s">
        <v>14</v>
      </c>
      <c r="D18" s="2">
        <v>12510086637</v>
      </c>
      <c r="E18" s="2" t="s">
        <v>12</v>
      </c>
      <c r="F18" s="3">
        <v>45839</v>
      </c>
      <c r="G18" s="2">
        <v>40.92</v>
      </c>
      <c r="H18" s="2">
        <v>4.0919999999999996</v>
      </c>
      <c r="I18" s="2">
        <v>36.828000000000003</v>
      </c>
      <c r="J18" s="5">
        <f>G18*0.94-H18</f>
        <v>34.372799999999998</v>
      </c>
      <c r="L18" s="5">
        <f>J18-K18</f>
        <v>34.372799999999998</v>
      </c>
    </row>
    <row r="19" spans="1:12" ht="14.4" x14ac:dyDescent="0.3">
      <c r="A19" s="2">
        <v>18</v>
      </c>
      <c r="B19" s="2">
        <v>780037001</v>
      </c>
      <c r="C19" s="2" t="s">
        <v>14</v>
      </c>
      <c r="D19" s="2">
        <v>12510086466</v>
      </c>
      <c r="E19" s="2" t="s">
        <v>12</v>
      </c>
      <c r="F19" s="3">
        <v>45839</v>
      </c>
      <c r="G19" s="2">
        <v>128.99</v>
      </c>
      <c r="H19" s="2">
        <v>12.898999999999999</v>
      </c>
      <c r="I19" s="2">
        <v>116.09099999999999</v>
      </c>
      <c r="J19" s="5">
        <f>G19*0.94-H19</f>
        <v>108.3516</v>
      </c>
      <c r="L19" s="5">
        <f>J19-K19</f>
        <v>108.3516</v>
      </c>
    </row>
    <row r="20" spans="1:12" ht="14.4" x14ac:dyDescent="0.3">
      <c r="A20" s="2">
        <v>19</v>
      </c>
      <c r="B20" s="2">
        <v>780002702</v>
      </c>
      <c r="C20" s="2" t="s">
        <v>8</v>
      </c>
      <c r="D20" s="2">
        <v>11</v>
      </c>
      <c r="E20" s="2" t="s">
        <v>9</v>
      </c>
      <c r="F20" s="3">
        <v>45843</v>
      </c>
      <c r="G20" s="2">
        <v>37.69</v>
      </c>
      <c r="H20" s="2">
        <v>3.7690000000000001</v>
      </c>
      <c r="I20" s="2">
        <v>33.920999999999999</v>
      </c>
      <c r="J20" s="5">
        <f>G20*0.94-H20</f>
        <v>31.659599999999998</v>
      </c>
      <c r="L20" s="5">
        <f>J20-K20</f>
        <v>31.659599999999998</v>
      </c>
    </row>
    <row r="21" spans="1:12" ht="14.4" x14ac:dyDescent="0.3">
      <c r="A21" s="2">
        <v>20</v>
      </c>
      <c r="B21" s="2">
        <v>780002702</v>
      </c>
      <c r="C21" s="2" t="s">
        <v>8</v>
      </c>
      <c r="D21" s="2">
        <v>12</v>
      </c>
      <c r="E21" s="2" t="s">
        <v>9</v>
      </c>
      <c r="F21" s="3">
        <v>45873</v>
      </c>
      <c r="G21" s="2">
        <v>40.26</v>
      </c>
      <c r="H21" s="2">
        <v>4.0259999999999998</v>
      </c>
      <c r="I21" s="2">
        <v>36.234000000000002</v>
      </c>
      <c r="J21" s="5">
        <f>G21*0.94-H21</f>
        <v>33.818399999999997</v>
      </c>
      <c r="L21" s="5">
        <f>J21-K21</f>
        <v>33.818399999999997</v>
      </c>
    </row>
    <row r="22" spans="1:12" ht="14.4" x14ac:dyDescent="0.3">
      <c r="A22" s="2">
        <v>21</v>
      </c>
      <c r="B22" s="2">
        <v>50001202</v>
      </c>
      <c r="C22" s="2" t="s">
        <v>18</v>
      </c>
      <c r="D22" s="2">
        <v>12510111571</v>
      </c>
      <c r="E22" s="2" t="s">
        <v>9</v>
      </c>
      <c r="F22" s="3">
        <v>45885</v>
      </c>
      <c r="G22" s="2">
        <v>60.2</v>
      </c>
      <c r="H22" s="2">
        <v>12.04</v>
      </c>
      <c r="I22" s="2">
        <v>48.16</v>
      </c>
      <c r="J22" s="5">
        <f>G22*0.94-H22</f>
        <v>44.548000000000002</v>
      </c>
      <c r="L22" s="5">
        <f>J22-K22</f>
        <v>44.548000000000002</v>
      </c>
    </row>
    <row r="23" spans="1:12" ht="14.4" x14ac:dyDescent="0.3">
      <c r="A23" s="2">
        <v>22</v>
      </c>
      <c r="B23" s="2">
        <v>780002702</v>
      </c>
      <c r="C23" s="2" t="s">
        <v>16</v>
      </c>
      <c r="D23" s="2">
        <v>780037002</v>
      </c>
      <c r="E23" s="2" t="s">
        <v>9</v>
      </c>
      <c r="F23" s="3">
        <v>45889</v>
      </c>
      <c r="G23" s="2">
        <v>52.93</v>
      </c>
      <c r="H23" s="2">
        <v>5.2930000000000001</v>
      </c>
      <c r="I23" s="2">
        <v>47.637</v>
      </c>
      <c r="J23" s="5">
        <f>G23*0.94-H23</f>
        <v>44.461199999999998</v>
      </c>
      <c r="L23" s="5">
        <f>J23-K23</f>
        <v>44.461199999999998</v>
      </c>
    </row>
    <row r="24" spans="1:12" ht="14.4" x14ac:dyDescent="0.3">
      <c r="A24" s="2">
        <v>23</v>
      </c>
      <c r="B24" s="2">
        <v>780037001</v>
      </c>
      <c r="C24" s="2" t="s">
        <v>14</v>
      </c>
      <c r="D24" s="2">
        <v>12510115971</v>
      </c>
      <c r="E24" s="2" t="s">
        <v>9</v>
      </c>
      <c r="F24" s="3">
        <v>45899</v>
      </c>
      <c r="G24" s="2">
        <v>41.42</v>
      </c>
      <c r="H24" s="2">
        <v>4.1420000000000003</v>
      </c>
      <c r="I24" s="2">
        <v>37.277999999999999</v>
      </c>
      <c r="J24" s="5">
        <f>G24*0.94-H24</f>
        <v>34.7928</v>
      </c>
      <c r="L24" s="5">
        <f>J24-K24</f>
        <v>34.7928</v>
      </c>
    </row>
    <row r="25" spans="1:12" ht="14.4" x14ac:dyDescent="0.3">
      <c r="A25" s="2">
        <v>1</v>
      </c>
      <c r="B25" s="2">
        <v>268583</v>
      </c>
      <c r="C25" s="2" t="s">
        <v>29</v>
      </c>
      <c r="D25" s="2">
        <v>803447696</v>
      </c>
      <c r="E25" s="2" t="s">
        <v>9</v>
      </c>
      <c r="F25" s="3">
        <v>45903</v>
      </c>
      <c r="G25" s="2">
        <v>14.067</v>
      </c>
      <c r="H25" s="2">
        <v>1.407</v>
      </c>
      <c r="I25" s="2">
        <v>12.66</v>
      </c>
      <c r="J25" s="5">
        <f>G25*0.94-H25</f>
        <v>11.81598</v>
      </c>
      <c r="K25"/>
      <c r="L25" s="5">
        <f>J25-K25</f>
        <v>11.81598</v>
      </c>
    </row>
    <row r="26" spans="1:12" ht="14.4" x14ac:dyDescent="0.3">
      <c r="A26" s="2">
        <v>24</v>
      </c>
      <c r="B26" s="2">
        <v>7810002702</v>
      </c>
      <c r="C26" s="2" t="s">
        <v>16</v>
      </c>
      <c r="D26" s="2">
        <v>13</v>
      </c>
      <c r="E26" s="2" t="s">
        <v>9</v>
      </c>
      <c r="F26" s="3">
        <v>45906</v>
      </c>
      <c r="G26" s="2">
        <v>40.26</v>
      </c>
      <c r="H26" s="2">
        <v>4.0259999999999998</v>
      </c>
      <c r="I26" s="2">
        <v>36.234000000000002</v>
      </c>
      <c r="J26" s="5">
        <f>G26*0.94-H26</f>
        <v>33.818399999999997</v>
      </c>
      <c r="L26" s="5">
        <f>J26-K26</f>
        <v>33.818399999999997</v>
      </c>
    </row>
    <row r="27" spans="1:12" ht="14.4" x14ac:dyDescent="0.3">
      <c r="A27" s="2">
        <v>25</v>
      </c>
      <c r="B27" s="2">
        <v>780002702</v>
      </c>
      <c r="C27" s="2" t="s">
        <v>8</v>
      </c>
      <c r="D27" s="2">
        <v>14</v>
      </c>
      <c r="E27" s="2" t="s">
        <v>9</v>
      </c>
      <c r="F27" s="3">
        <v>45937</v>
      </c>
      <c r="G27" s="2">
        <v>40.26</v>
      </c>
      <c r="H27" s="2">
        <v>4.0259999999999998</v>
      </c>
      <c r="I27" s="2">
        <v>36.234000000000002</v>
      </c>
      <c r="J27" s="5">
        <f>G27*0.94-H27</f>
        <v>33.818399999999997</v>
      </c>
      <c r="L27" s="5">
        <f>J27-K27</f>
        <v>33.818399999999997</v>
      </c>
    </row>
    <row r="28" spans="1:12" ht="14.4" x14ac:dyDescent="0.3">
      <c r="A28" s="2">
        <v>26</v>
      </c>
      <c r="B28" s="2">
        <v>780002702</v>
      </c>
      <c r="C28" s="2" t="s">
        <v>8</v>
      </c>
      <c r="D28" s="2">
        <v>15</v>
      </c>
      <c r="E28" s="2" t="s">
        <v>9</v>
      </c>
      <c r="F28" s="3">
        <v>45970</v>
      </c>
      <c r="G28" s="2">
        <v>40.26</v>
      </c>
      <c r="H28" s="2">
        <v>4.0259999999999998</v>
      </c>
      <c r="I28" s="2">
        <v>36.234000000000002</v>
      </c>
      <c r="J28" s="5">
        <f>G28*0.94-H28</f>
        <v>33.818399999999997</v>
      </c>
      <c r="L28" s="5">
        <f>J28-K28</f>
        <v>33.818399999999997</v>
      </c>
    </row>
    <row r="29" spans="1:12" ht="14.4" x14ac:dyDescent="0.3">
      <c r="A29" s="2">
        <v>27</v>
      </c>
      <c r="B29" s="2">
        <v>780002702</v>
      </c>
      <c r="C29" s="2" t="s">
        <v>8</v>
      </c>
      <c r="D29" s="2">
        <v>16</v>
      </c>
      <c r="E29" s="2" t="s">
        <v>9</v>
      </c>
      <c r="F29" s="3">
        <v>45999</v>
      </c>
      <c r="G29" s="2">
        <v>40.26</v>
      </c>
      <c r="H29" s="2">
        <v>4.0259999999999998</v>
      </c>
      <c r="I29" s="2">
        <v>36.234000000000002</v>
      </c>
      <c r="J29" s="5">
        <f>G29*0.94-H29</f>
        <v>33.818399999999997</v>
      </c>
      <c r="L29" s="5">
        <f>J29-K29</f>
        <v>33.818399999999997</v>
      </c>
    </row>
    <row r="30" spans="1:12" ht="14.4" x14ac:dyDescent="0.3">
      <c r="A30" s="2">
        <v>28</v>
      </c>
      <c r="B30" s="2">
        <v>780037001</v>
      </c>
      <c r="C30" s="2" t="s">
        <v>14</v>
      </c>
      <c r="D30" s="2">
        <v>12510189537</v>
      </c>
      <c r="E30" s="2" t="s">
        <v>12</v>
      </c>
      <c r="F30" s="3">
        <v>46009</v>
      </c>
      <c r="G30" s="2">
        <v>20.89</v>
      </c>
      <c r="H30" s="2">
        <v>2.089</v>
      </c>
      <c r="I30" s="2">
        <v>18.800999999999998</v>
      </c>
      <c r="J30" s="5">
        <f>G30*0.94-H30</f>
        <v>17.547599999999999</v>
      </c>
      <c r="L30" s="5">
        <f>J30-K30</f>
        <v>17.547599999999999</v>
      </c>
    </row>
    <row r="31" spans="1:12" ht="14.4" x14ac:dyDescent="0.3">
      <c r="A31" s="2">
        <v>29</v>
      </c>
      <c r="B31" s="2">
        <v>9841047081</v>
      </c>
      <c r="C31" s="2" t="s">
        <v>19</v>
      </c>
      <c r="D31" s="2">
        <v>12610199442</v>
      </c>
      <c r="E31" s="2" t="s">
        <v>9</v>
      </c>
      <c r="F31" s="3">
        <v>46023</v>
      </c>
      <c r="G31" s="2">
        <v>68.83</v>
      </c>
      <c r="H31" s="2">
        <v>0</v>
      </c>
      <c r="I31" s="2">
        <v>68.83</v>
      </c>
      <c r="J31" s="5">
        <f>G31*0.94-H31</f>
        <v>64.700199999999995</v>
      </c>
      <c r="L31" s="5">
        <f>J31-K31</f>
        <v>64.700199999999995</v>
      </c>
    </row>
    <row r="32" spans="1:12" ht="14.4" x14ac:dyDescent="0.3">
      <c r="A32" s="2">
        <v>30</v>
      </c>
      <c r="B32" s="2">
        <v>780002702</v>
      </c>
      <c r="C32" s="2" t="s">
        <v>8</v>
      </c>
      <c r="D32" s="2">
        <v>17</v>
      </c>
      <c r="E32" s="2" t="s">
        <v>12</v>
      </c>
      <c r="F32" s="3">
        <v>46026</v>
      </c>
      <c r="G32" s="2">
        <v>40.26</v>
      </c>
      <c r="H32" s="2">
        <v>4.0259999999999998</v>
      </c>
      <c r="I32" s="2">
        <v>36.234000000000002</v>
      </c>
      <c r="J32" s="5">
        <f>G32*0.94-H32</f>
        <v>33.818399999999997</v>
      </c>
      <c r="L32" s="5">
        <f>J32-K32</f>
        <v>33.818399999999997</v>
      </c>
    </row>
    <row r="33" spans="1:12" ht="14.4" x14ac:dyDescent="0.3">
      <c r="A33" s="2">
        <v>31</v>
      </c>
      <c r="B33" s="2">
        <v>780037001</v>
      </c>
      <c r="C33" s="2" t="s">
        <v>14</v>
      </c>
      <c r="D33" s="2">
        <v>12610202650</v>
      </c>
      <c r="E33" s="2" t="s">
        <v>9</v>
      </c>
      <c r="F33" s="3">
        <v>46032</v>
      </c>
      <c r="G33" s="2">
        <v>15.93</v>
      </c>
      <c r="H33" s="2">
        <v>1.593</v>
      </c>
      <c r="I33" s="2">
        <v>14.337</v>
      </c>
      <c r="J33" s="5">
        <f>G33*0.94-H33</f>
        <v>13.3812</v>
      </c>
      <c r="L33" s="5">
        <f>J33-K33</f>
        <v>13.3812</v>
      </c>
    </row>
    <row r="34" spans="1:12" ht="14.4" x14ac:dyDescent="0.3">
      <c r="A34" s="2">
        <v>32</v>
      </c>
      <c r="B34" s="2">
        <v>780002702</v>
      </c>
      <c r="C34" s="2" t="s">
        <v>8</v>
      </c>
      <c r="D34" s="2">
        <v>18</v>
      </c>
      <c r="E34" s="2" t="s">
        <v>9</v>
      </c>
      <c r="F34" s="3">
        <v>46062</v>
      </c>
      <c r="G34" s="2">
        <v>40.26</v>
      </c>
      <c r="H34" s="2">
        <v>4.0259999999999998</v>
      </c>
      <c r="I34" s="2">
        <v>36.234000000000002</v>
      </c>
      <c r="J34" s="5">
        <f>G34*0.94-H34</f>
        <v>33.818399999999997</v>
      </c>
      <c r="L34" s="5">
        <f>J34-K34</f>
        <v>33.818399999999997</v>
      </c>
    </row>
    <row r="35" spans="1:12" ht="14.4" x14ac:dyDescent="0.3">
      <c r="A35" s="2">
        <v>33</v>
      </c>
      <c r="B35" s="2">
        <v>780037004</v>
      </c>
      <c r="C35" s="2" t="s">
        <v>11</v>
      </c>
      <c r="D35" s="2">
        <v>12610223377</v>
      </c>
      <c r="E35" s="2" t="s">
        <v>12</v>
      </c>
      <c r="F35" s="3">
        <v>46066</v>
      </c>
      <c r="G35" s="2">
        <v>39.950000000000003</v>
      </c>
      <c r="H35" s="2">
        <v>3.9950000000000001</v>
      </c>
      <c r="I35" s="2">
        <v>35.954999999999998</v>
      </c>
      <c r="J35" s="5">
        <f>G35*0.94-H35</f>
        <v>33.558</v>
      </c>
      <c r="L35" s="5">
        <f>J35-K35</f>
        <v>33.558</v>
      </c>
    </row>
    <row r="36" spans="1:12" ht="14.4" x14ac:dyDescent="0.3">
      <c r="A36" s="2">
        <v>34</v>
      </c>
      <c r="B36" s="2">
        <v>780037001</v>
      </c>
      <c r="C36" s="2" t="s">
        <v>14</v>
      </c>
      <c r="D36" s="2">
        <v>12610223361</v>
      </c>
      <c r="E36" s="2" t="s">
        <v>9</v>
      </c>
      <c r="F36" s="3">
        <v>46066</v>
      </c>
      <c r="G36" s="2">
        <v>39.950000000000003</v>
      </c>
      <c r="H36" s="2">
        <v>3.9950000000000001</v>
      </c>
      <c r="I36" s="2">
        <v>35.954999999999998</v>
      </c>
      <c r="J36" s="5">
        <f>G36*0.94-H36</f>
        <v>33.558</v>
      </c>
      <c r="L36" s="5">
        <f>J36-K36</f>
        <v>33.558</v>
      </c>
    </row>
    <row r="37" spans="1:12" ht="14.4" x14ac:dyDescent="0.3">
      <c r="A37" s="2">
        <v>35</v>
      </c>
      <c r="B37" s="2">
        <v>780002702</v>
      </c>
      <c r="C37" s="2" t="s">
        <v>16</v>
      </c>
      <c r="D37" s="2">
        <v>19</v>
      </c>
      <c r="E37" s="2" t="s">
        <v>9</v>
      </c>
      <c r="F37" s="3">
        <v>46112</v>
      </c>
      <c r="G37" s="2">
        <v>40.26</v>
      </c>
      <c r="H37" s="2">
        <v>4.0259999999999998</v>
      </c>
      <c r="I37" s="2">
        <v>36.234000000000002</v>
      </c>
      <c r="J37" s="5">
        <f>G37*0.94-H37</f>
        <v>33.818399999999997</v>
      </c>
      <c r="L37" s="5">
        <f>J37-K37</f>
        <v>33.818399999999997</v>
      </c>
    </row>
    <row r="38" spans="1:12" ht="14.4" x14ac:dyDescent="0.3">
      <c r="A38" s="2">
        <v>1</v>
      </c>
      <c r="B38" s="2">
        <v>780002702</v>
      </c>
      <c r="C38" s="2" t="s">
        <v>16</v>
      </c>
      <c r="D38" s="2">
        <v>19</v>
      </c>
      <c r="E38" s="2" t="s">
        <v>9</v>
      </c>
      <c r="F38" s="3">
        <v>46112</v>
      </c>
      <c r="G38" s="2">
        <v>40.26</v>
      </c>
      <c r="H38" s="2">
        <v>4.0259999999999998</v>
      </c>
      <c r="I38" s="2">
        <v>36.234000000000002</v>
      </c>
      <c r="J38" s="5">
        <f>G38*0.94-H38</f>
        <v>33.818399999999997</v>
      </c>
      <c r="K38"/>
      <c r="L38" s="5">
        <f>J38-K38</f>
        <v>33.818399999999997</v>
      </c>
    </row>
    <row r="39" spans="1:12" ht="14.4" x14ac:dyDescent="0.3">
      <c r="A39" s="2">
        <v>2</v>
      </c>
      <c r="B39" s="2">
        <v>950001201</v>
      </c>
      <c r="C39" s="2" t="s">
        <v>24</v>
      </c>
      <c r="D39" s="2">
        <v>12610254681</v>
      </c>
      <c r="E39" s="2" t="s">
        <v>9</v>
      </c>
      <c r="F39" s="3">
        <v>46118</v>
      </c>
      <c r="G39" s="2">
        <v>43.98</v>
      </c>
      <c r="H39" s="2">
        <v>10.994999999999999</v>
      </c>
      <c r="I39" s="2">
        <v>32.984999999999999</v>
      </c>
      <c r="J39" s="5">
        <f>G39*0.94-H39</f>
        <v>30.346199999999996</v>
      </c>
      <c r="K39"/>
      <c r="L39" s="5">
        <f>J39-K39</f>
        <v>30.346199999999996</v>
      </c>
    </row>
    <row r="40" spans="1:12" ht="14.4" x14ac:dyDescent="0.3">
      <c r="A40" s="2">
        <v>3</v>
      </c>
      <c r="B40" s="2">
        <v>950006601</v>
      </c>
      <c r="C40" s="2" t="s">
        <v>25</v>
      </c>
      <c r="D40" s="2">
        <v>12610256118</v>
      </c>
      <c r="E40" s="2" t="s">
        <v>9</v>
      </c>
      <c r="F40" s="3">
        <v>46120</v>
      </c>
      <c r="G40" s="2">
        <v>25.45</v>
      </c>
      <c r="H40" s="2">
        <v>6.3620000000000001</v>
      </c>
      <c r="I40" s="2">
        <v>19.088000000000001</v>
      </c>
      <c r="J40" s="5">
        <f>G40*0.94-H40</f>
        <v>17.561</v>
      </c>
      <c r="K40"/>
      <c r="L40" s="5">
        <f>J40-K40</f>
        <v>17.561</v>
      </c>
    </row>
    <row r="41" spans="1:12" ht="14.4" x14ac:dyDescent="0.3">
      <c r="A41" s="2">
        <v>4</v>
      </c>
      <c r="B41" s="2">
        <v>780002702</v>
      </c>
      <c r="C41" s="2" t="s">
        <v>8</v>
      </c>
      <c r="D41" s="2">
        <v>20</v>
      </c>
      <c r="E41" s="2" t="s">
        <v>9</v>
      </c>
      <c r="F41" s="3">
        <v>46121</v>
      </c>
      <c r="G41" s="2">
        <v>40.26</v>
      </c>
      <c r="H41" s="2">
        <v>4.0259999999999998</v>
      </c>
      <c r="I41" s="2">
        <v>36.234000000000002</v>
      </c>
      <c r="J41" s="5">
        <f>G41*0.94-H41</f>
        <v>33.818399999999997</v>
      </c>
      <c r="K41"/>
      <c r="L41" s="5">
        <f>J41-K41</f>
        <v>33.818399999999997</v>
      </c>
    </row>
    <row r="42" spans="1:12" ht="14.4" x14ac:dyDescent="0.3">
      <c r="A42" s="2">
        <v>5</v>
      </c>
      <c r="B42" s="2">
        <v>780037001</v>
      </c>
      <c r="C42" s="2" t="s">
        <v>14</v>
      </c>
      <c r="D42" s="2">
        <v>12610257018</v>
      </c>
      <c r="E42" s="2" t="s">
        <v>9</v>
      </c>
      <c r="F42" s="3">
        <v>46126</v>
      </c>
      <c r="G42" s="2">
        <v>6.35</v>
      </c>
      <c r="H42" s="2">
        <v>0.63500000000000001</v>
      </c>
      <c r="I42" s="2">
        <v>5.7149999999999999</v>
      </c>
      <c r="J42" s="5">
        <f>G42*0.94-H42</f>
        <v>5.3339999999999996</v>
      </c>
      <c r="K42"/>
      <c r="L42" s="5">
        <f>J42-K42</f>
        <v>5.3339999999999996</v>
      </c>
    </row>
    <row r="43" spans="1:12" ht="14.4" x14ac:dyDescent="0.3">
      <c r="A43" s="2">
        <v>6</v>
      </c>
      <c r="B43" s="2">
        <v>780037004</v>
      </c>
      <c r="C43" s="2" t="s">
        <v>11</v>
      </c>
      <c r="D43" s="2">
        <v>12610257015</v>
      </c>
      <c r="E43" s="2" t="s">
        <v>12</v>
      </c>
      <c r="F43" s="3">
        <v>46126</v>
      </c>
      <c r="G43" s="2">
        <v>31.98</v>
      </c>
      <c r="H43" s="2">
        <v>3.198</v>
      </c>
      <c r="I43" s="2">
        <v>28.782</v>
      </c>
      <c r="J43" s="5">
        <f>G43*0.94-H43</f>
        <v>26.863199999999999</v>
      </c>
      <c r="K43"/>
      <c r="L43" s="5">
        <f>J43-K43</f>
        <v>26.863199999999999</v>
      </c>
    </row>
    <row r="44" spans="1:12" ht="14.4" x14ac:dyDescent="0.3">
      <c r="A44" s="2">
        <v>2</v>
      </c>
      <c r="B44" s="2">
        <v>62004401</v>
      </c>
      <c r="C44" s="2" t="s">
        <v>28</v>
      </c>
      <c r="D44" s="2">
        <v>12610269342</v>
      </c>
      <c r="E44" s="2" t="s">
        <v>9</v>
      </c>
      <c r="F44" s="3">
        <v>46140</v>
      </c>
      <c r="G44" s="2">
        <v>12.5</v>
      </c>
      <c r="H44" s="2">
        <v>1.925</v>
      </c>
      <c r="I44" s="2">
        <v>10.574999999999999</v>
      </c>
      <c r="J44" s="5">
        <f>G44*0.94-H44</f>
        <v>9.8249999999999993</v>
      </c>
      <c r="K44"/>
      <c r="L44" s="5">
        <f>J44-K44</f>
        <v>9.8249999999999993</v>
      </c>
    </row>
    <row r="45" spans="1:12" ht="14.4" x14ac:dyDescent="0.3">
      <c r="A45" s="2">
        <v>7</v>
      </c>
      <c r="B45" s="2">
        <v>780002702</v>
      </c>
      <c r="C45" s="2" t="s">
        <v>16</v>
      </c>
      <c r="D45" s="2">
        <v>21</v>
      </c>
      <c r="E45" s="2" t="s">
        <v>9</v>
      </c>
      <c r="F45" s="3">
        <v>46153</v>
      </c>
      <c r="G45" s="2">
        <v>40.26</v>
      </c>
      <c r="H45" s="2">
        <v>4.0259999999999998</v>
      </c>
      <c r="I45" s="2">
        <v>36.234000000000002</v>
      </c>
      <c r="J45" s="5">
        <f>G45*0.94-H45</f>
        <v>33.818399999999997</v>
      </c>
      <c r="K45"/>
      <c r="L45" s="5">
        <f>J45-K45</f>
        <v>33.818399999999997</v>
      </c>
    </row>
    <row r="46" spans="1:12" ht="14.4" x14ac:dyDescent="0.3">
      <c r="A46" s="2">
        <v>3</v>
      </c>
      <c r="B46" s="2">
        <v>43001502</v>
      </c>
      <c r="C46" s="2" t="s">
        <v>27</v>
      </c>
      <c r="D46" s="2">
        <v>12610285384</v>
      </c>
      <c r="E46" s="2" t="s">
        <v>12</v>
      </c>
      <c r="F46" s="3">
        <v>46164</v>
      </c>
      <c r="G46" s="2">
        <v>12.5</v>
      </c>
      <c r="H46" s="2">
        <v>1.25</v>
      </c>
      <c r="I46" s="2">
        <v>11.25</v>
      </c>
      <c r="J46" s="5">
        <f>G46*0.94-H46</f>
        <v>10.5</v>
      </c>
      <c r="K46"/>
      <c r="L46" s="5">
        <f>J46-K46</f>
        <v>10.5</v>
      </c>
    </row>
    <row r="47" spans="1:12" ht="14.4" x14ac:dyDescent="0.3">
      <c r="A47" s="2">
        <v>4</v>
      </c>
      <c r="B47" s="2">
        <v>50016401</v>
      </c>
      <c r="C47" s="2" t="s">
        <v>26</v>
      </c>
      <c r="D47" s="2">
        <v>12610292185</v>
      </c>
      <c r="E47" s="2" t="s">
        <v>9</v>
      </c>
      <c r="F47" s="3">
        <v>46177</v>
      </c>
      <c r="G47" s="2">
        <v>12.5</v>
      </c>
      <c r="H47" s="2">
        <v>2.5</v>
      </c>
      <c r="I47" s="2">
        <v>10</v>
      </c>
      <c r="J47" s="5">
        <f>G47*0.94-H47</f>
        <v>9.25</v>
      </c>
      <c r="K47"/>
      <c r="L47" s="5">
        <f>J47-K47</f>
        <v>9.25</v>
      </c>
    </row>
    <row r="48" spans="1:12" ht="14.4" x14ac:dyDescent="0.3">
      <c r="A48" s="2">
        <v>1</v>
      </c>
      <c r="B48" s="2">
        <v>780002702</v>
      </c>
      <c r="C48" s="2" t="s">
        <v>8</v>
      </c>
      <c r="D48" s="2">
        <v>22</v>
      </c>
      <c r="E48" s="2" t="s">
        <v>9</v>
      </c>
      <c r="F48" s="3">
        <v>46178</v>
      </c>
      <c r="G48" s="2">
        <v>40.26</v>
      </c>
      <c r="H48" s="2">
        <v>4.0259999999999998</v>
      </c>
      <c r="I48" s="2">
        <v>36.234000000000002</v>
      </c>
      <c r="J48" s="5">
        <f>G48*0.94-H48</f>
        <v>33.818399999999997</v>
      </c>
      <c r="K48"/>
      <c r="L48" s="5">
        <f>J48-K48</f>
        <v>33.818399999999997</v>
      </c>
    </row>
    <row r="49" spans="1:12" ht="14.4" x14ac:dyDescent="0.3">
      <c r="A49" s="2">
        <v>1</v>
      </c>
      <c r="B49" s="2">
        <v>43000701</v>
      </c>
      <c r="C49" s="2" t="s">
        <v>31</v>
      </c>
      <c r="D49" s="2">
        <v>12610308286</v>
      </c>
      <c r="E49" s="2" t="s">
        <v>9</v>
      </c>
      <c r="F49" s="3">
        <v>46204</v>
      </c>
      <c r="G49" s="2">
        <v>11.76</v>
      </c>
      <c r="H49" s="2">
        <v>1.1759999999999999</v>
      </c>
      <c r="I49" s="2">
        <v>10.584</v>
      </c>
      <c r="J49" s="5">
        <f>G49*0.94-H49</f>
        <v>9.8783999999999992</v>
      </c>
      <c r="K49"/>
      <c r="L49" s="5">
        <f>J49-K49</f>
        <v>9.8783999999999992</v>
      </c>
    </row>
    <row r="50" spans="1:12" ht="14.4" x14ac:dyDescent="0.3">
      <c r="A50" s="2">
        <v>1</v>
      </c>
      <c r="B50" s="2">
        <v>780037005</v>
      </c>
      <c r="C50" s="2" t="s">
        <v>17</v>
      </c>
      <c r="D50" s="2">
        <v>12610309392</v>
      </c>
      <c r="E50" s="2" t="s">
        <v>12</v>
      </c>
      <c r="F50" s="3">
        <v>46207</v>
      </c>
      <c r="G50" s="2">
        <v>44.66</v>
      </c>
      <c r="H50" s="2">
        <v>4.4660000000000002</v>
      </c>
      <c r="I50" s="2">
        <v>40.194000000000003</v>
      </c>
      <c r="J50" s="5">
        <f>G50*0.94-H50</f>
        <v>37.514399999999995</v>
      </c>
      <c r="K50"/>
      <c r="L50" s="5">
        <f>J50-K50</f>
        <v>37.514399999999995</v>
      </c>
    </row>
    <row r="51" spans="1:12" ht="14.4" x14ac:dyDescent="0.3">
      <c r="A51" s="2">
        <v>2</v>
      </c>
      <c r="B51" s="2">
        <v>780037003</v>
      </c>
      <c r="C51" s="2" t="s">
        <v>15</v>
      </c>
      <c r="D51" s="2">
        <v>12610309395</v>
      </c>
      <c r="E51" s="2" t="s">
        <v>12</v>
      </c>
      <c r="F51" s="3">
        <v>46207</v>
      </c>
      <c r="G51" s="2">
        <v>54.41</v>
      </c>
      <c r="H51" s="2">
        <v>5.4409999999999998</v>
      </c>
      <c r="I51" s="2">
        <v>48.969000000000001</v>
      </c>
      <c r="J51" s="5">
        <f>G51*0.94-H51</f>
        <v>45.704399999999993</v>
      </c>
      <c r="K51"/>
      <c r="L51" s="5">
        <f>J51-K51</f>
        <v>45.704399999999993</v>
      </c>
    </row>
    <row r="52" spans="1:12" ht="14.4" x14ac:dyDescent="0.3">
      <c r="A52" s="2">
        <v>3</v>
      </c>
      <c r="B52" s="2">
        <v>780002702</v>
      </c>
      <c r="C52" s="2" t="s">
        <v>8</v>
      </c>
      <c r="D52" s="2">
        <v>23</v>
      </c>
      <c r="E52" s="2" t="s">
        <v>12</v>
      </c>
      <c r="F52" s="3">
        <v>46209</v>
      </c>
      <c r="G52" s="2">
        <v>40.26</v>
      </c>
      <c r="H52" s="2">
        <v>4.0259999999999998</v>
      </c>
      <c r="I52" s="2">
        <v>36.234000000000002</v>
      </c>
      <c r="J52" s="5">
        <f>G52*0.94-H52</f>
        <v>33.818399999999997</v>
      </c>
      <c r="K52"/>
      <c r="L52" s="5">
        <f>J52-K52</f>
        <v>33.818399999999997</v>
      </c>
    </row>
    <row r="53" spans="1:12" ht="14.4" x14ac:dyDescent="0.3">
      <c r="A53" s="2">
        <v>4</v>
      </c>
      <c r="B53" s="2">
        <v>780037004</v>
      </c>
      <c r="C53" s="2" t="s">
        <v>30</v>
      </c>
      <c r="D53" s="2">
        <v>12610311180</v>
      </c>
      <c r="E53" s="2" t="s">
        <v>12</v>
      </c>
      <c r="F53" s="3">
        <v>46212</v>
      </c>
      <c r="G53" s="2">
        <v>41.08</v>
      </c>
      <c r="H53" s="2">
        <v>4.1079999999999997</v>
      </c>
      <c r="I53" s="2">
        <v>36.972000000000001</v>
      </c>
      <c r="J53" s="5">
        <f>G53*0.94-H53</f>
        <v>34.507199999999997</v>
      </c>
      <c r="K53"/>
      <c r="L53" s="5">
        <f>J53-K53</f>
        <v>34.507199999999997</v>
      </c>
    </row>
    <row r="54" spans="1:12" ht="14.4" x14ac:dyDescent="0.3">
      <c r="A54" s="2">
        <v>5</v>
      </c>
      <c r="B54" s="2">
        <v>780037001</v>
      </c>
      <c r="C54" s="2" t="s">
        <v>14</v>
      </c>
      <c r="D54" s="2">
        <v>12610311174</v>
      </c>
      <c r="E54" s="2" t="s">
        <v>9</v>
      </c>
      <c r="F54" s="3">
        <v>46212</v>
      </c>
      <c r="G54" s="2">
        <v>42.76</v>
      </c>
      <c r="H54" s="2">
        <v>4.2759999999999998</v>
      </c>
      <c r="I54" s="2">
        <v>38.484000000000002</v>
      </c>
      <c r="J54" s="5">
        <f>G54*0.94-H54</f>
        <v>35.918399999999991</v>
      </c>
      <c r="K54"/>
      <c r="L54" s="5">
        <f>J54-K54</f>
        <v>35.918399999999991</v>
      </c>
    </row>
    <row r="55" spans="1:12" ht="14.4" x14ac:dyDescent="0.3">
      <c r="A55" s="2">
        <v>2</v>
      </c>
      <c r="B55" s="2">
        <v>43001501</v>
      </c>
      <c r="C55" s="2" t="s">
        <v>32</v>
      </c>
      <c r="D55" s="2">
        <v>12610322211</v>
      </c>
      <c r="E55" s="2" t="s">
        <v>9</v>
      </c>
      <c r="F55" s="3">
        <v>46229</v>
      </c>
      <c r="G55" s="2">
        <v>11.17</v>
      </c>
      <c r="H55" s="2">
        <v>1.117</v>
      </c>
      <c r="I55" s="2">
        <v>10.053000000000001</v>
      </c>
      <c r="J55" s="5">
        <f>G55*0.94-H55</f>
        <v>9.3827999999999996</v>
      </c>
      <c r="K55"/>
      <c r="L55" s="5">
        <f>J55-K55</f>
        <v>9.3827999999999996</v>
      </c>
    </row>
    <row r="56" spans="1:12" ht="14.4" x14ac:dyDescent="0.3">
      <c r="A56" s="2"/>
      <c r="B56" s="2"/>
      <c r="C56" s="2"/>
      <c r="D56" s="2"/>
      <c r="E56" s="2"/>
      <c r="F56" s="3"/>
      <c r="G56" s="2"/>
      <c r="H56" s="2"/>
      <c r="I56" s="2"/>
      <c r="J56" s="5">
        <f>SUBTOTAL(109,Table1[القيمة المطلوبة])</f>
        <v>1646.4253800000004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H2O Pharmacy</dc:creator>
  <cp:lastModifiedBy>H2O Pharmacy</cp:lastModifiedBy>
  <dcterms:created xsi:type="dcterms:W3CDTF">2026-04-11T14:28:21Z</dcterms:created>
  <dcterms:modified xsi:type="dcterms:W3CDTF">2026-08-06T17:11:13Z</dcterms:modified>
</cp:coreProperties>
</file>