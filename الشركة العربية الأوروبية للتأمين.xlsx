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harmacy_Operations\Insurance_Accounts\Insurance_Claims\"/>
    </mc:Choice>
  </mc:AlternateContent>
  <xr:revisionPtr revIDLastSave="0" documentId="13_ncr:1_{FF96D667-7078-4EBE-9698-065F933CD984}" xr6:coauthVersionLast="47" xr6:coauthVersionMax="47" xr10:uidLastSave="{00000000-0000-0000-0000-000000000000}"/>
  <bookViews>
    <workbookView xWindow="-108" yWindow="-108" windowWidth="23256" windowHeight="12456" xr2:uid="{EE0FC3C9-C345-45F5-AA63-81B16FD2994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8" i="1" l="1"/>
  <c r="L41" i="1"/>
  <c r="J37" i="1"/>
  <c r="L37" i="1" s="1"/>
  <c r="J38" i="1"/>
  <c r="J39" i="1"/>
  <c r="L39" i="1" s="1"/>
  <c r="J40" i="1"/>
  <c r="L40" i="1" s="1"/>
  <c r="J41" i="1"/>
  <c r="J42" i="1"/>
  <c r="L42" i="1" s="1"/>
  <c r="J43" i="1"/>
  <c r="L43" i="1" s="1"/>
  <c r="L9" i="1"/>
  <c r="L25" i="1"/>
  <c r="J3" i="1"/>
  <c r="L3" i="1" s="1"/>
  <c r="J4" i="1"/>
  <c r="L4" i="1" s="1"/>
  <c r="J5" i="1"/>
  <c r="L5" i="1" s="1"/>
  <c r="J6" i="1"/>
  <c r="L6" i="1" s="1"/>
  <c r="J7" i="1"/>
  <c r="L7" i="1" s="1"/>
  <c r="J8" i="1"/>
  <c r="L8" i="1" s="1"/>
  <c r="J9" i="1"/>
  <c r="J10" i="1"/>
  <c r="L10" i="1" s="1"/>
  <c r="J11" i="1"/>
  <c r="L11" i="1" s="1"/>
  <c r="J12" i="1"/>
  <c r="L12" i="1" s="1"/>
  <c r="J13" i="1"/>
  <c r="L13" i="1" s="1"/>
  <c r="J14" i="1"/>
  <c r="L14" i="1" s="1"/>
  <c r="J15" i="1"/>
  <c r="L15" i="1" s="1"/>
  <c r="J16" i="1"/>
  <c r="L16" i="1" s="1"/>
  <c r="J17" i="1"/>
  <c r="L17" i="1" s="1"/>
  <c r="J18" i="1"/>
  <c r="L18" i="1" s="1"/>
  <c r="J19" i="1"/>
  <c r="L19" i="1" s="1"/>
  <c r="J20" i="1"/>
  <c r="L20" i="1" s="1"/>
  <c r="J21" i="1"/>
  <c r="L21" i="1" s="1"/>
  <c r="J22" i="1"/>
  <c r="L22" i="1" s="1"/>
  <c r="J23" i="1"/>
  <c r="L23" i="1" s="1"/>
  <c r="J24" i="1"/>
  <c r="L24" i="1" s="1"/>
  <c r="J25" i="1"/>
  <c r="J26" i="1"/>
  <c r="L26" i="1" s="1"/>
  <c r="J27" i="1"/>
  <c r="L27" i="1" s="1"/>
  <c r="J28" i="1"/>
  <c r="L28" i="1" s="1"/>
  <c r="J29" i="1"/>
  <c r="L29" i="1" s="1"/>
  <c r="J30" i="1"/>
  <c r="L30" i="1" s="1"/>
  <c r="J31" i="1"/>
  <c r="L31" i="1" s="1"/>
  <c r="J32" i="1"/>
  <c r="L32" i="1" s="1"/>
  <c r="J33" i="1"/>
  <c r="L33" i="1" s="1"/>
  <c r="J34" i="1"/>
  <c r="L34" i="1" s="1"/>
  <c r="J35" i="1"/>
  <c r="L35" i="1" s="1"/>
  <c r="J36" i="1"/>
  <c r="L36" i="1" s="1"/>
  <c r="J2" i="1"/>
  <c r="L2" i="1" s="1"/>
</calcChain>
</file>

<file path=xl/sharedStrings.xml><?xml version="1.0" encoding="utf-8"?>
<sst xmlns="http://schemas.openxmlformats.org/spreadsheetml/2006/main" count="106" uniqueCount="30">
  <si>
    <t>الرقم</t>
  </si>
  <si>
    <t>رقم الموظف /رقم البطاقة</t>
  </si>
  <si>
    <t>اسم المريض</t>
  </si>
  <si>
    <t>رقم النموذج</t>
  </si>
  <si>
    <t>نوع المستفيد</t>
  </si>
  <si>
    <t>تاريخ البيع</t>
  </si>
  <si>
    <t>قيمة الفاتورة</t>
  </si>
  <si>
    <t>قيمة المشاركة</t>
  </si>
  <si>
    <t>رسمي ضيف الله السعيدات</t>
  </si>
  <si>
    <t>موظف</t>
  </si>
  <si>
    <t>فاطمة احمد عوض الخليفات</t>
  </si>
  <si>
    <t>سارة رسمي السعيدات</t>
  </si>
  <si>
    <t>عائله</t>
  </si>
  <si>
    <t>نايا رسمي السعيدات</t>
  </si>
  <si>
    <t>الاء عبدالسلام الحسنات</t>
  </si>
  <si>
    <t>زيد رسمي السعيدات</t>
  </si>
  <si>
    <t>رسمي ضيف الله سعيدات</t>
  </si>
  <si>
    <t>عون رسمي السعيدات</t>
  </si>
  <si>
    <t>دلال عبدالله محمد العصيفات</t>
  </si>
  <si>
    <t>سليمان جلال الرياطي</t>
  </si>
  <si>
    <t>صافي القيمة</t>
  </si>
  <si>
    <t>القيمة المطلوبة</t>
  </si>
  <si>
    <t>المدفوع</t>
  </si>
  <si>
    <t>المتبقي</t>
  </si>
  <si>
    <t>رامي فارس خليلي</t>
  </si>
  <si>
    <t>احمد عادل عيد</t>
  </si>
  <si>
    <t>عبدالله سالم السراحين</t>
  </si>
  <si>
    <t>خديجه محمود خليل</t>
  </si>
  <si>
    <t>ابراهيم عايش الاتيم</t>
  </si>
  <si>
    <t>محمد السعيدات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</si>
</sst>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\ _د_._ا_._‏"/>
  </numFmts>
  <fonts count="3" x14ac:knownFonts="1">
    <font>
      <sz val="11"/>
      <color theme="1"/>
      <name val="Aptos Narrow"/>
      <family val="2"/>
      <charset val="178"/>
      <scheme val="minor"/>
    </font>
    <font>
      <b/>
      <sz val="10"/>
      <color indexed="9"/>
      <name val="Aptos Narrow"/>
      <family val="2"/>
      <scheme val="minor"/>
    </font>
    <font>
      <b/>
      <sz val="10"/>
      <color indexed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1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2" fillId="0" borderId="0" xfId="0" applyFont="1"/>
    <xf numFmtId="14" fontId="2" fillId="0" borderId="0" xfId="0" applyNumberFormat="1" applyFont="1"/>
    <xf numFmtId="164" fontId="1" fillId="2" borderId="0" xfId="0" applyNumberFormat="1" applyFont="1" applyFill="1"/>
    <xf numFmtId="164" fontId="0" fillId="0" borderId="0" xfId="0" applyNumberFormat="1"/>
    <xf numFmtId="0" fontId="0" fillId="0" borderId="0" xfId="0"/>
    <xf numFmtId="0" fontId="2" fillId="0" borderId="0" xfId="0" applyFont="1"/>
    <xf numFmtId="14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29ECF-A88D-43BD-A0BB-A219CBC2F6D8}">
  <dimension ref="A1:L48"/>
  <sheetViews>
    <sheetView rightToLeft="1" tabSelected="1" workbookViewId="0">
      <pane ySplit="1" topLeftCell="A25" activePane="bottomLeft" state="frozen"/>
      <selection pane="bottomLeft" activeCell="I50" sqref="I50"/>
    </sheetView>
  </sheetViews>
  <sheetFormatPr defaultRowHeight="13.8" x14ac:dyDescent="0.25"/>
  <cols>
    <col min="1" max="1" width="3.5" bestFit="1" customWidth="1"/>
    <col min="2" max="2" width="15" bestFit="1" customWidth="1"/>
    <col min="3" max="3" width="35.296875" bestFit="1" customWidth="1"/>
    <col min="4" max="4" width="10.796875" bestFit="1" customWidth="1"/>
    <col min="5" max="5" width="8.296875" bestFit="1" customWidth="1"/>
    <col min="6" max="6" width="9.296875" bestFit="1" customWidth="1"/>
    <col min="7" max="7" width="8.19921875" bestFit="1" customWidth="1"/>
    <col min="8" max="8" width="8.69921875" bestFit="1" customWidth="1"/>
    <col min="9" max="9" width="13.296875" bestFit="1" customWidth="1"/>
    <col min="10" max="10" width="12.19921875" style="5" customWidth="1"/>
    <col min="11" max="11" width="7.69921875" style="5" bestFit="1" customWidth="1"/>
    <col min="12" max="12" width="13.19921875" style="5" customWidth="1"/>
  </cols>
  <sheetData>
    <row r="1" spans="1:12" ht="14.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20</v>
      </c>
      <c r="J1" s="4" t="s">
        <v>21</v>
      </c>
      <c r="K1" s="4" t="s">
        <v>22</v>
      </c>
      <c r="L1" s="4" t="s">
        <v>23</v>
      </c>
    </row>
    <row r="2" spans="1:12" ht="14.4" x14ac:dyDescent="0.3">
      <c r="A2" s="2">
        <v>1</v>
      </c>
      <c r="B2" s="2">
        <v>78002702</v>
      </c>
      <c r="C2" s="2" t="s">
        <v>8</v>
      </c>
      <c r="D2" s="2">
        <v>6</v>
      </c>
      <c r="E2" s="2" t="s">
        <v>9</v>
      </c>
      <c r="F2" s="3">
        <v>45670</v>
      </c>
      <c r="G2" s="2">
        <v>37.69</v>
      </c>
      <c r="H2" s="2">
        <v>3.7690000000000001</v>
      </c>
      <c r="I2" s="2">
        <v>33.920999999999999</v>
      </c>
      <c r="J2" s="5">
        <f>G2*0.94-H2</f>
        <v>31.659599999999998</v>
      </c>
      <c r="L2" s="5">
        <f>J2-K2</f>
        <v>31.659599999999998</v>
      </c>
    </row>
    <row r="3" spans="1:12" ht="14.4" x14ac:dyDescent="0.3">
      <c r="A3" s="2">
        <v>2</v>
      </c>
      <c r="B3" s="2">
        <v>65563502</v>
      </c>
      <c r="C3" s="2" t="s">
        <v>10</v>
      </c>
      <c r="D3" s="2">
        <v>12510006434</v>
      </c>
      <c r="E3" s="2" t="s">
        <v>9</v>
      </c>
      <c r="F3" s="3">
        <v>45675</v>
      </c>
      <c r="G3" s="2">
        <v>21.29</v>
      </c>
      <c r="H3" s="2">
        <v>4.258</v>
      </c>
      <c r="I3" s="2">
        <v>17.032</v>
      </c>
      <c r="J3" s="5">
        <f t="shared" ref="J3:J43" si="0">G3*0.94-H3</f>
        <v>15.7546</v>
      </c>
      <c r="L3" s="5">
        <f t="shared" ref="L3:L43" si="1">J3-K3</f>
        <v>15.7546</v>
      </c>
    </row>
    <row r="4" spans="1:12" ht="14.4" x14ac:dyDescent="0.3">
      <c r="A4" s="2">
        <v>3</v>
      </c>
      <c r="B4" s="2">
        <v>780037004</v>
      </c>
      <c r="C4" s="2" t="s">
        <v>11</v>
      </c>
      <c r="D4" s="2">
        <v>4185423</v>
      </c>
      <c r="E4" s="2" t="s">
        <v>12</v>
      </c>
      <c r="F4" s="3">
        <v>45699</v>
      </c>
      <c r="G4" s="2">
        <v>29.49</v>
      </c>
      <c r="H4" s="2">
        <v>2.9489999999999998</v>
      </c>
      <c r="I4" s="2">
        <v>26.541</v>
      </c>
      <c r="J4" s="5">
        <f t="shared" si="0"/>
        <v>24.771599999999999</v>
      </c>
      <c r="L4" s="5">
        <f t="shared" si="1"/>
        <v>24.771599999999999</v>
      </c>
    </row>
    <row r="5" spans="1:12" ht="14.4" x14ac:dyDescent="0.3">
      <c r="A5" s="2">
        <v>4</v>
      </c>
      <c r="B5" s="2">
        <v>780037006</v>
      </c>
      <c r="C5" s="2" t="s">
        <v>13</v>
      </c>
      <c r="D5" s="2">
        <v>4185425</v>
      </c>
      <c r="E5" s="2" t="s">
        <v>12</v>
      </c>
      <c r="F5" s="3">
        <v>45699</v>
      </c>
      <c r="G5" s="2">
        <v>21.78</v>
      </c>
      <c r="H5" s="2">
        <v>2.1779999999999999</v>
      </c>
      <c r="I5" s="2">
        <v>19.602</v>
      </c>
      <c r="J5" s="5">
        <f t="shared" si="0"/>
        <v>18.295199999999998</v>
      </c>
      <c r="L5" s="5">
        <f t="shared" si="1"/>
        <v>18.295199999999998</v>
      </c>
    </row>
    <row r="6" spans="1:12" ht="14.4" x14ac:dyDescent="0.3">
      <c r="A6" s="2">
        <v>5</v>
      </c>
      <c r="B6" s="2">
        <v>780037001</v>
      </c>
      <c r="C6" s="2" t="s">
        <v>14</v>
      </c>
      <c r="D6" s="2">
        <v>4185420</v>
      </c>
      <c r="E6" s="2" t="s">
        <v>9</v>
      </c>
      <c r="F6" s="3">
        <v>45699</v>
      </c>
      <c r="G6" s="2">
        <v>30.63</v>
      </c>
      <c r="H6" s="2">
        <v>3.0630000000000002</v>
      </c>
      <c r="I6" s="2">
        <v>27.567</v>
      </c>
      <c r="J6" s="5">
        <f t="shared" si="0"/>
        <v>25.729199999999999</v>
      </c>
      <c r="L6" s="5">
        <f t="shared" si="1"/>
        <v>25.729199999999999</v>
      </c>
    </row>
    <row r="7" spans="1:12" ht="14.4" x14ac:dyDescent="0.3">
      <c r="A7" s="2">
        <v>6</v>
      </c>
      <c r="B7" s="2">
        <v>780037002</v>
      </c>
      <c r="C7" s="2" t="s">
        <v>8</v>
      </c>
      <c r="D7" s="2">
        <v>4185421</v>
      </c>
      <c r="E7" s="2" t="s">
        <v>12</v>
      </c>
      <c r="F7" s="3">
        <v>45703</v>
      </c>
      <c r="G7" s="2">
        <v>35.840000000000003</v>
      </c>
      <c r="H7" s="2">
        <v>3.5840000000000001</v>
      </c>
      <c r="I7" s="2">
        <v>32.256</v>
      </c>
      <c r="J7" s="5">
        <f t="shared" si="0"/>
        <v>30.105599999999999</v>
      </c>
      <c r="L7" s="5">
        <f t="shared" si="1"/>
        <v>30.105599999999999</v>
      </c>
    </row>
    <row r="8" spans="1:12" ht="14.4" x14ac:dyDescent="0.3">
      <c r="A8" s="2">
        <v>7</v>
      </c>
      <c r="B8" s="2">
        <v>780037003</v>
      </c>
      <c r="C8" s="2" t="s">
        <v>15</v>
      </c>
      <c r="D8" s="2">
        <v>4185422</v>
      </c>
      <c r="E8" s="2" t="s">
        <v>12</v>
      </c>
      <c r="F8" s="3">
        <v>45703</v>
      </c>
      <c r="G8" s="2">
        <v>38.57</v>
      </c>
      <c r="H8" s="2">
        <v>3.8570000000000002</v>
      </c>
      <c r="I8" s="2">
        <v>34.713000000000001</v>
      </c>
      <c r="J8" s="5">
        <f t="shared" si="0"/>
        <v>32.398800000000001</v>
      </c>
      <c r="L8" s="5">
        <f t="shared" si="1"/>
        <v>32.398800000000001</v>
      </c>
    </row>
    <row r="9" spans="1:12" ht="14.4" x14ac:dyDescent="0.3">
      <c r="A9" s="2">
        <v>8</v>
      </c>
      <c r="B9" s="2">
        <v>780002702</v>
      </c>
      <c r="C9" s="2" t="s">
        <v>16</v>
      </c>
      <c r="D9" s="2">
        <v>6</v>
      </c>
      <c r="E9" s="2" t="s">
        <v>12</v>
      </c>
      <c r="F9" s="3">
        <v>45703</v>
      </c>
      <c r="G9" s="2">
        <v>37.69</v>
      </c>
      <c r="H9" s="2">
        <v>3.7690000000000001</v>
      </c>
      <c r="I9" s="2">
        <v>33.920999999999999</v>
      </c>
      <c r="J9" s="5">
        <f t="shared" si="0"/>
        <v>31.659599999999998</v>
      </c>
      <c r="L9" s="5">
        <f t="shared" si="1"/>
        <v>31.659599999999998</v>
      </c>
    </row>
    <row r="10" spans="1:12" ht="14.4" x14ac:dyDescent="0.3">
      <c r="A10" s="2">
        <v>9</v>
      </c>
      <c r="B10" s="2">
        <v>780037005</v>
      </c>
      <c r="C10" s="2" t="s">
        <v>17</v>
      </c>
      <c r="D10" s="2">
        <v>4185424</v>
      </c>
      <c r="E10" s="2" t="s">
        <v>12</v>
      </c>
      <c r="F10" s="3">
        <v>45703</v>
      </c>
      <c r="G10" s="2">
        <v>21.8</v>
      </c>
      <c r="H10" s="2">
        <v>2.1800000000000002</v>
      </c>
      <c r="I10" s="2">
        <v>19.62</v>
      </c>
      <c r="J10" s="5">
        <f t="shared" si="0"/>
        <v>18.312000000000001</v>
      </c>
      <c r="L10" s="5">
        <f t="shared" si="1"/>
        <v>18.312000000000001</v>
      </c>
    </row>
    <row r="11" spans="1:12" ht="14.4" x14ac:dyDescent="0.3">
      <c r="A11" s="2">
        <v>10</v>
      </c>
      <c r="B11" s="2">
        <v>780002702</v>
      </c>
      <c r="C11" s="2" t="s">
        <v>16</v>
      </c>
      <c r="D11" s="2">
        <v>7</v>
      </c>
      <c r="E11" s="2" t="s">
        <v>9</v>
      </c>
      <c r="F11" s="3">
        <v>45732</v>
      </c>
      <c r="G11" s="2">
        <v>37.69</v>
      </c>
      <c r="H11" s="2">
        <v>3.7690000000000001</v>
      </c>
      <c r="I11" s="2">
        <v>33.920999999999999</v>
      </c>
      <c r="J11" s="5">
        <f t="shared" si="0"/>
        <v>31.659599999999998</v>
      </c>
      <c r="L11" s="5">
        <f t="shared" si="1"/>
        <v>31.659599999999998</v>
      </c>
    </row>
    <row r="12" spans="1:12" ht="14.4" x14ac:dyDescent="0.3">
      <c r="A12" s="2">
        <v>11</v>
      </c>
      <c r="B12" s="2">
        <v>780037002</v>
      </c>
      <c r="C12" s="2" t="s">
        <v>8</v>
      </c>
      <c r="D12" s="2">
        <v>12510035930</v>
      </c>
      <c r="E12" s="2" t="s">
        <v>12</v>
      </c>
      <c r="F12" s="3">
        <v>45755</v>
      </c>
      <c r="G12" s="2">
        <v>44.66</v>
      </c>
      <c r="H12" s="2">
        <v>4.4660000000000002</v>
      </c>
      <c r="I12" s="2">
        <v>40.194000000000003</v>
      </c>
      <c r="J12" s="5">
        <f t="shared" si="0"/>
        <v>37.514399999999995</v>
      </c>
      <c r="L12" s="5">
        <f t="shared" si="1"/>
        <v>37.514399999999995</v>
      </c>
    </row>
    <row r="13" spans="1:12" ht="14.4" x14ac:dyDescent="0.3">
      <c r="A13" s="2">
        <v>12</v>
      </c>
      <c r="B13" s="2">
        <v>2003862437</v>
      </c>
      <c r="C13" s="2" t="s">
        <v>17</v>
      </c>
      <c r="D13" s="2">
        <v>12510035932</v>
      </c>
      <c r="E13" s="2" t="s">
        <v>12</v>
      </c>
      <c r="F13" s="3">
        <v>45755</v>
      </c>
      <c r="G13" s="2">
        <v>27.92</v>
      </c>
      <c r="H13" s="2">
        <v>2.7919999999999998</v>
      </c>
      <c r="I13" s="2">
        <v>25.128</v>
      </c>
      <c r="J13" s="5">
        <f t="shared" si="0"/>
        <v>23.452800000000003</v>
      </c>
      <c r="L13" s="5">
        <f t="shared" si="1"/>
        <v>23.452800000000003</v>
      </c>
    </row>
    <row r="14" spans="1:12" ht="14.4" x14ac:dyDescent="0.3">
      <c r="A14" s="2">
        <v>13</v>
      </c>
      <c r="B14" s="2">
        <v>780037004</v>
      </c>
      <c r="C14" s="2" t="s">
        <v>11</v>
      </c>
      <c r="D14" s="2">
        <v>12510035600</v>
      </c>
      <c r="E14" s="2" t="s">
        <v>12</v>
      </c>
      <c r="F14" s="3">
        <v>45755</v>
      </c>
      <c r="G14" s="2">
        <v>32.619999999999997</v>
      </c>
      <c r="H14" s="2">
        <v>3.262</v>
      </c>
      <c r="I14" s="2">
        <v>29.358000000000001</v>
      </c>
      <c r="J14" s="5">
        <f t="shared" si="0"/>
        <v>27.400799999999997</v>
      </c>
      <c r="L14" s="5">
        <f t="shared" si="1"/>
        <v>27.400799999999997</v>
      </c>
    </row>
    <row r="15" spans="1:12" ht="14.4" x14ac:dyDescent="0.3">
      <c r="A15" s="2">
        <v>14</v>
      </c>
      <c r="B15" s="2">
        <v>780037003</v>
      </c>
      <c r="C15" s="2" t="s">
        <v>15</v>
      </c>
      <c r="D15" s="2">
        <v>12510035931</v>
      </c>
      <c r="E15" s="2" t="s">
        <v>12</v>
      </c>
      <c r="F15" s="3">
        <v>45755</v>
      </c>
      <c r="G15" s="2">
        <v>39.26</v>
      </c>
      <c r="H15" s="2">
        <v>3.9260000000000002</v>
      </c>
      <c r="I15" s="2">
        <v>35.334000000000003</v>
      </c>
      <c r="J15" s="5">
        <f t="shared" si="0"/>
        <v>32.978399999999993</v>
      </c>
      <c r="L15" s="5">
        <f t="shared" si="1"/>
        <v>32.978399999999993</v>
      </c>
    </row>
    <row r="16" spans="1:12" ht="14.4" x14ac:dyDescent="0.3">
      <c r="A16" s="2">
        <v>15</v>
      </c>
      <c r="B16" s="2">
        <v>780002702</v>
      </c>
      <c r="C16" s="2" t="s">
        <v>8</v>
      </c>
      <c r="D16" s="2">
        <v>10</v>
      </c>
      <c r="E16" s="2" t="s">
        <v>9</v>
      </c>
      <c r="F16" s="3">
        <v>45813</v>
      </c>
      <c r="G16" s="2">
        <v>37.69</v>
      </c>
      <c r="H16" s="2">
        <v>3.7690000000000001</v>
      </c>
      <c r="I16" s="2">
        <v>33.920999999999999</v>
      </c>
      <c r="J16" s="5">
        <f t="shared" si="0"/>
        <v>31.659599999999998</v>
      </c>
      <c r="L16" s="5">
        <f t="shared" si="1"/>
        <v>31.659599999999998</v>
      </c>
    </row>
    <row r="17" spans="1:12" ht="14.4" x14ac:dyDescent="0.3">
      <c r="A17" s="2">
        <v>16</v>
      </c>
      <c r="B17" s="2">
        <v>780037002</v>
      </c>
      <c r="C17" s="2" t="s">
        <v>8</v>
      </c>
      <c r="D17" s="2">
        <v>12510081859</v>
      </c>
      <c r="E17" s="2" t="s">
        <v>9</v>
      </c>
      <c r="F17" s="3">
        <v>45831</v>
      </c>
      <c r="G17" s="2">
        <v>45.36</v>
      </c>
      <c r="H17" s="2">
        <v>4.5359999999999996</v>
      </c>
      <c r="I17" s="2">
        <v>40.823999999999998</v>
      </c>
      <c r="J17" s="5">
        <f t="shared" si="0"/>
        <v>38.102399999999996</v>
      </c>
      <c r="L17" s="5">
        <f t="shared" si="1"/>
        <v>38.102399999999996</v>
      </c>
    </row>
    <row r="18" spans="1:12" ht="14.4" x14ac:dyDescent="0.3">
      <c r="A18" s="2">
        <v>17</v>
      </c>
      <c r="B18" s="2">
        <v>780037001</v>
      </c>
      <c r="C18" s="2" t="s">
        <v>14</v>
      </c>
      <c r="D18" s="2">
        <v>12510086637</v>
      </c>
      <c r="E18" s="2" t="s">
        <v>12</v>
      </c>
      <c r="F18" s="3">
        <v>45839</v>
      </c>
      <c r="G18" s="2">
        <v>40.92</v>
      </c>
      <c r="H18" s="2">
        <v>4.0919999999999996</v>
      </c>
      <c r="I18" s="2">
        <v>36.828000000000003</v>
      </c>
      <c r="J18" s="5">
        <f t="shared" si="0"/>
        <v>34.372799999999998</v>
      </c>
      <c r="L18" s="5">
        <f t="shared" si="1"/>
        <v>34.372799999999998</v>
      </c>
    </row>
    <row r="19" spans="1:12" ht="14.4" x14ac:dyDescent="0.3">
      <c r="A19" s="2">
        <v>18</v>
      </c>
      <c r="B19" s="2">
        <v>780037001</v>
      </c>
      <c r="C19" s="2" t="s">
        <v>14</v>
      </c>
      <c r="D19" s="2">
        <v>12510086466</v>
      </c>
      <c r="E19" s="2" t="s">
        <v>12</v>
      </c>
      <c r="F19" s="3">
        <v>45839</v>
      </c>
      <c r="G19" s="2">
        <v>128.99</v>
      </c>
      <c r="H19" s="2">
        <v>12.898999999999999</v>
      </c>
      <c r="I19" s="2">
        <v>116.09099999999999</v>
      </c>
      <c r="J19" s="5">
        <f t="shared" si="0"/>
        <v>108.3516</v>
      </c>
      <c r="L19" s="5">
        <f t="shared" si="1"/>
        <v>108.3516</v>
      </c>
    </row>
    <row r="20" spans="1:12" ht="14.4" x14ac:dyDescent="0.3">
      <c r="A20" s="2">
        <v>19</v>
      </c>
      <c r="B20" s="2">
        <v>780002702</v>
      </c>
      <c r="C20" s="2" t="s">
        <v>8</v>
      </c>
      <c r="D20" s="2">
        <v>11</v>
      </c>
      <c r="E20" s="2" t="s">
        <v>9</v>
      </c>
      <c r="F20" s="3">
        <v>45843</v>
      </c>
      <c r="G20" s="2">
        <v>37.69</v>
      </c>
      <c r="H20" s="2">
        <v>3.7690000000000001</v>
      </c>
      <c r="I20" s="2">
        <v>33.920999999999999</v>
      </c>
      <c r="J20" s="5">
        <f t="shared" si="0"/>
        <v>31.659599999999998</v>
      </c>
      <c r="L20" s="5">
        <f t="shared" si="1"/>
        <v>31.659599999999998</v>
      </c>
    </row>
    <row r="21" spans="1:12" ht="14.4" x14ac:dyDescent="0.3">
      <c r="A21" s="2">
        <v>20</v>
      </c>
      <c r="B21" s="2">
        <v>780002702</v>
      </c>
      <c r="C21" s="2" t="s">
        <v>8</v>
      </c>
      <c r="D21" s="2">
        <v>12</v>
      </c>
      <c r="E21" s="2" t="s">
        <v>9</v>
      </c>
      <c r="F21" s="3">
        <v>45873</v>
      </c>
      <c r="G21" s="2">
        <v>40.26</v>
      </c>
      <c r="H21" s="2">
        <v>4.0259999999999998</v>
      </c>
      <c r="I21" s="2">
        <v>36.234000000000002</v>
      </c>
      <c r="J21" s="5">
        <f t="shared" si="0"/>
        <v>33.818399999999997</v>
      </c>
      <c r="L21" s="5">
        <f t="shared" si="1"/>
        <v>33.818399999999997</v>
      </c>
    </row>
    <row r="22" spans="1:12" ht="14.4" x14ac:dyDescent="0.3">
      <c r="A22" s="2">
        <v>21</v>
      </c>
      <c r="B22" s="2">
        <v>50001202</v>
      </c>
      <c r="C22" s="2" t="s">
        <v>18</v>
      </c>
      <c r="D22" s="2">
        <v>12510111571</v>
      </c>
      <c r="E22" s="2" t="s">
        <v>9</v>
      </c>
      <c r="F22" s="3">
        <v>45885</v>
      </c>
      <c r="G22" s="2">
        <v>60.2</v>
      </c>
      <c r="H22" s="2">
        <v>12.04</v>
      </c>
      <c r="I22" s="2">
        <v>48.16</v>
      </c>
      <c r="J22" s="5">
        <f t="shared" si="0"/>
        <v>44.548000000000002</v>
      </c>
      <c r="L22" s="5">
        <f t="shared" si="1"/>
        <v>44.548000000000002</v>
      </c>
    </row>
    <row r="23" spans="1:12" ht="14.4" x14ac:dyDescent="0.3">
      <c r="A23" s="2">
        <v>22</v>
      </c>
      <c r="B23" s="2">
        <v>780002702</v>
      </c>
      <c r="C23" s="2" t="s">
        <v>16</v>
      </c>
      <c r="D23" s="2">
        <v>780037002</v>
      </c>
      <c r="E23" s="2" t="s">
        <v>9</v>
      </c>
      <c r="F23" s="3">
        <v>45889</v>
      </c>
      <c r="G23" s="2">
        <v>52.93</v>
      </c>
      <c r="H23" s="2">
        <v>5.2930000000000001</v>
      </c>
      <c r="I23" s="2">
        <v>47.637</v>
      </c>
      <c r="J23" s="5">
        <f t="shared" si="0"/>
        <v>44.461199999999998</v>
      </c>
      <c r="L23" s="5">
        <f t="shared" si="1"/>
        <v>44.461199999999998</v>
      </c>
    </row>
    <row r="24" spans="1:12" ht="14.4" x14ac:dyDescent="0.3">
      <c r="A24" s="2">
        <v>23</v>
      </c>
      <c r="B24" s="2">
        <v>780037001</v>
      </c>
      <c r="C24" s="2" t="s">
        <v>14</v>
      </c>
      <c r="D24" s="2">
        <v>12510115971</v>
      </c>
      <c r="E24" s="2" t="s">
        <v>9</v>
      </c>
      <c r="F24" s="3">
        <v>45899</v>
      </c>
      <c r="G24" s="2">
        <v>41.42</v>
      </c>
      <c r="H24" s="2">
        <v>4.1420000000000003</v>
      </c>
      <c r="I24" s="2">
        <v>37.277999999999999</v>
      </c>
      <c r="J24" s="5">
        <f t="shared" si="0"/>
        <v>34.7928</v>
      </c>
      <c r="L24" s="5">
        <f t="shared" si="1"/>
        <v>34.7928</v>
      </c>
    </row>
    <row r="25" spans="1:12" ht="14.4" x14ac:dyDescent="0.3">
      <c r="A25" s="2">
        <v>24</v>
      </c>
      <c r="B25" s="2">
        <v>7810002702</v>
      </c>
      <c r="C25" s="2" t="s">
        <v>16</v>
      </c>
      <c r="D25" s="2">
        <v>13</v>
      </c>
      <c r="E25" s="2" t="s">
        <v>9</v>
      </c>
      <c r="F25" s="3">
        <v>45906</v>
      </c>
      <c r="G25" s="2">
        <v>40.26</v>
      </c>
      <c r="H25" s="2">
        <v>4.0259999999999998</v>
      </c>
      <c r="I25" s="2">
        <v>36.234000000000002</v>
      </c>
      <c r="J25" s="5">
        <f t="shared" si="0"/>
        <v>33.818399999999997</v>
      </c>
      <c r="L25" s="5">
        <f t="shared" si="1"/>
        <v>33.818399999999997</v>
      </c>
    </row>
    <row r="26" spans="1:12" ht="14.4" x14ac:dyDescent="0.3">
      <c r="A26" s="2">
        <v>25</v>
      </c>
      <c r="B26" s="2">
        <v>780002702</v>
      </c>
      <c r="C26" s="2" t="s">
        <v>8</v>
      </c>
      <c r="D26" s="2">
        <v>14</v>
      </c>
      <c r="E26" s="2" t="s">
        <v>9</v>
      </c>
      <c r="F26" s="3">
        <v>45937</v>
      </c>
      <c r="G26" s="2">
        <v>40.26</v>
      </c>
      <c r="H26" s="2">
        <v>4.0259999999999998</v>
      </c>
      <c r="I26" s="2">
        <v>36.234000000000002</v>
      </c>
      <c r="J26" s="5">
        <f t="shared" si="0"/>
        <v>33.818399999999997</v>
      </c>
      <c r="L26" s="5">
        <f t="shared" si="1"/>
        <v>33.818399999999997</v>
      </c>
    </row>
    <row r="27" spans="1:12" ht="14.4" x14ac:dyDescent="0.3">
      <c r="A27" s="2">
        <v>26</v>
      </c>
      <c r="B27" s="2">
        <v>780002702</v>
      </c>
      <c r="C27" s="2" t="s">
        <v>8</v>
      </c>
      <c r="D27" s="2">
        <v>15</v>
      </c>
      <c r="E27" s="2" t="s">
        <v>9</v>
      </c>
      <c r="F27" s="3">
        <v>45970</v>
      </c>
      <c r="G27" s="2">
        <v>40.26</v>
      </c>
      <c r="H27" s="2">
        <v>4.0259999999999998</v>
      </c>
      <c r="I27" s="2">
        <v>36.234000000000002</v>
      </c>
      <c r="J27" s="5">
        <f t="shared" si="0"/>
        <v>33.818399999999997</v>
      </c>
      <c r="L27" s="5">
        <f t="shared" si="1"/>
        <v>33.818399999999997</v>
      </c>
    </row>
    <row r="28" spans="1:12" ht="14.4" x14ac:dyDescent="0.3">
      <c r="A28" s="2">
        <v>27</v>
      </c>
      <c r="B28" s="2">
        <v>780002702</v>
      </c>
      <c r="C28" s="2" t="s">
        <v>8</v>
      </c>
      <c r="D28" s="2">
        <v>16</v>
      </c>
      <c r="E28" s="2" t="s">
        <v>9</v>
      </c>
      <c r="F28" s="3">
        <v>45999</v>
      </c>
      <c r="G28" s="2">
        <v>40.26</v>
      </c>
      <c r="H28" s="2">
        <v>4.0259999999999998</v>
      </c>
      <c r="I28" s="2">
        <v>36.234000000000002</v>
      </c>
      <c r="J28" s="5">
        <f t="shared" si="0"/>
        <v>33.818399999999997</v>
      </c>
      <c r="L28" s="5">
        <f t="shared" si="1"/>
        <v>33.818399999999997</v>
      </c>
    </row>
    <row r="29" spans="1:12" ht="14.4" x14ac:dyDescent="0.3">
      <c r="A29" s="2">
        <v>28</v>
      </c>
      <c r="B29" s="2">
        <v>780037001</v>
      </c>
      <c r="C29" s="2" t="s">
        <v>14</v>
      </c>
      <c r="D29" s="2">
        <v>12510189537</v>
      </c>
      <c r="E29" s="2" t="s">
        <v>12</v>
      </c>
      <c r="F29" s="3">
        <v>46009</v>
      </c>
      <c r="G29" s="2">
        <v>20.89</v>
      </c>
      <c r="H29" s="2">
        <v>2.089</v>
      </c>
      <c r="I29" s="2">
        <v>18.800999999999998</v>
      </c>
      <c r="J29" s="5">
        <f t="shared" si="0"/>
        <v>17.547599999999999</v>
      </c>
      <c r="L29" s="5">
        <f t="shared" si="1"/>
        <v>17.547599999999999</v>
      </c>
    </row>
    <row r="30" spans="1:12" ht="14.4" x14ac:dyDescent="0.3">
      <c r="A30" s="2">
        <v>29</v>
      </c>
      <c r="B30" s="2">
        <v>9841047081</v>
      </c>
      <c r="C30" s="2" t="s">
        <v>19</v>
      </c>
      <c r="D30" s="2">
        <v>12610199442</v>
      </c>
      <c r="E30" s="2" t="s">
        <v>9</v>
      </c>
      <c r="F30" s="3">
        <v>46023</v>
      </c>
      <c r="G30" s="2">
        <v>68.83</v>
      </c>
      <c r="H30" s="2">
        <v>0</v>
      </c>
      <c r="I30" s="2">
        <v>68.83</v>
      </c>
      <c r="J30" s="5">
        <f t="shared" si="0"/>
        <v>64.700199999999995</v>
      </c>
      <c r="L30" s="5">
        <f t="shared" si="1"/>
        <v>64.700199999999995</v>
      </c>
    </row>
    <row r="31" spans="1:12" ht="14.4" x14ac:dyDescent="0.3">
      <c r="A31" s="2">
        <v>30</v>
      </c>
      <c r="B31" s="2">
        <v>780002702</v>
      </c>
      <c r="C31" s="2" t="s">
        <v>8</v>
      </c>
      <c r="D31" s="2">
        <v>17</v>
      </c>
      <c r="E31" s="2" t="s">
        <v>12</v>
      </c>
      <c r="F31" s="3">
        <v>46026</v>
      </c>
      <c r="G31" s="2">
        <v>40.26</v>
      </c>
      <c r="H31" s="2">
        <v>4.0259999999999998</v>
      </c>
      <c r="I31" s="2">
        <v>36.234000000000002</v>
      </c>
      <c r="J31" s="5">
        <f t="shared" si="0"/>
        <v>33.818399999999997</v>
      </c>
      <c r="L31" s="5">
        <f t="shared" si="1"/>
        <v>33.818399999999997</v>
      </c>
    </row>
    <row r="32" spans="1:12" ht="14.4" x14ac:dyDescent="0.3">
      <c r="A32" s="2">
        <v>31</v>
      </c>
      <c r="B32" s="2">
        <v>780037001</v>
      </c>
      <c r="C32" s="2" t="s">
        <v>14</v>
      </c>
      <c r="D32" s="2">
        <v>12610202650</v>
      </c>
      <c r="E32" s="2" t="s">
        <v>9</v>
      </c>
      <c r="F32" s="3">
        <v>46032</v>
      </c>
      <c r="G32" s="2">
        <v>15.93</v>
      </c>
      <c r="H32" s="2">
        <v>1.593</v>
      </c>
      <c r="I32" s="2">
        <v>14.337</v>
      </c>
      <c r="J32" s="5">
        <f t="shared" si="0"/>
        <v>13.3812</v>
      </c>
      <c r="L32" s="5">
        <f t="shared" si="1"/>
        <v>13.3812</v>
      </c>
    </row>
    <row r="33" spans="1:12" ht="14.4" x14ac:dyDescent="0.3">
      <c r="A33" s="2">
        <v>32</v>
      </c>
      <c r="B33" s="2">
        <v>780002702</v>
      </c>
      <c r="C33" s="2" t="s">
        <v>8</v>
      </c>
      <c r="D33" s="2">
        <v>18</v>
      </c>
      <c r="E33" s="2" t="s">
        <v>9</v>
      </c>
      <c r="F33" s="3">
        <v>46062</v>
      </c>
      <c r="G33" s="2">
        <v>40.26</v>
      </c>
      <c r="H33" s="2">
        <v>4.0259999999999998</v>
      </c>
      <c r="I33" s="2">
        <v>36.234000000000002</v>
      </c>
      <c r="J33" s="5">
        <f t="shared" si="0"/>
        <v>33.818399999999997</v>
      </c>
      <c r="L33" s="5">
        <f t="shared" si="1"/>
        <v>33.818399999999997</v>
      </c>
    </row>
    <row r="34" spans="1:12" ht="14.4" x14ac:dyDescent="0.3">
      <c r="A34" s="2">
        <v>33</v>
      </c>
      <c r="B34" s="2">
        <v>780037004</v>
      </c>
      <c r="C34" s="2" t="s">
        <v>11</v>
      </c>
      <c r="D34" s="2">
        <v>12610223377</v>
      </c>
      <c r="E34" s="2" t="s">
        <v>12</v>
      </c>
      <c r="F34" s="3">
        <v>46066</v>
      </c>
      <c r="G34" s="2">
        <v>39.950000000000003</v>
      </c>
      <c r="H34" s="2">
        <v>3.9950000000000001</v>
      </c>
      <c r="I34" s="2">
        <v>35.954999999999998</v>
      </c>
      <c r="J34" s="5">
        <f t="shared" si="0"/>
        <v>33.558</v>
      </c>
      <c r="L34" s="5">
        <f t="shared" si="1"/>
        <v>33.558</v>
      </c>
    </row>
    <row r="35" spans="1:12" ht="14.4" x14ac:dyDescent="0.3">
      <c r="A35" s="2">
        <v>34</v>
      </c>
      <c r="B35" s="2">
        <v>780037001</v>
      </c>
      <c r="C35" s="2" t="s">
        <v>14</v>
      </c>
      <c r="D35" s="2">
        <v>12610223361</v>
      </c>
      <c r="E35" s="2" t="s">
        <v>9</v>
      </c>
      <c r="F35" s="3">
        <v>46066</v>
      </c>
      <c r="G35" s="2">
        <v>39.950000000000003</v>
      </c>
      <c r="H35" s="2">
        <v>3.9950000000000001</v>
      </c>
      <c r="I35" s="2">
        <v>35.954999999999998</v>
      </c>
      <c r="J35" s="5">
        <f t="shared" si="0"/>
        <v>33.558</v>
      </c>
      <c r="L35" s="5">
        <f t="shared" si="1"/>
        <v>33.558</v>
      </c>
    </row>
    <row r="36" spans="1:12" ht="14.4" x14ac:dyDescent="0.3">
      <c r="A36" s="2">
        <v>35</v>
      </c>
      <c r="B36" s="2">
        <v>780002702</v>
      </c>
      <c r="C36" s="2" t="s">
        <v>16</v>
      </c>
      <c r="D36" s="2">
        <v>19</v>
      </c>
      <c r="E36" s="2" t="s">
        <v>9</v>
      </c>
      <c r="F36" s="3">
        <v>46112</v>
      </c>
      <c r="G36" s="2">
        <v>40.26</v>
      </c>
      <c r="H36" s="2">
        <v>4.0259999999999998</v>
      </c>
      <c r="I36" s="2">
        <v>36.234000000000002</v>
      </c>
      <c r="J36" s="5">
        <f t="shared" si="0"/>
        <v>33.818399999999997</v>
      </c>
      <c r="L36" s="5">
        <f t="shared" si="1"/>
        <v>33.818399999999997</v>
      </c>
    </row>
    <row r="37" spans="1:12" ht="14.4" x14ac:dyDescent="0.3">
      <c r="A37" s="2">
        <v>1</v>
      </c>
      <c r="B37" s="2">
        <v>780002702</v>
      </c>
      <c r="C37" s="2" t="s">
        <v>16</v>
      </c>
      <c r="D37" s="2">
        <v>19</v>
      </c>
      <c r="E37" s="2" t="s">
        <v>9</v>
      </c>
      <c r="F37" s="3">
        <v>46112</v>
      </c>
      <c r="G37" s="2">
        <v>40.26</v>
      </c>
      <c r="H37" s="2">
        <v>4.0259999999999998</v>
      </c>
      <c r="I37" s="2">
        <v>36.234000000000002</v>
      </c>
      <c r="J37" s="5">
        <f t="shared" si="0"/>
        <v>33.818399999999997</v>
      </c>
      <c r="K37"/>
      <c r="L37" s="5">
        <f t="shared" si="1"/>
        <v>33.818399999999997</v>
      </c>
    </row>
    <row r="38" spans="1:12" ht="14.4" x14ac:dyDescent="0.3">
      <c r="A38" s="2">
        <v>2</v>
      </c>
      <c r="B38" s="2">
        <v>950001201</v>
      </c>
      <c r="C38" s="2" t="s">
        <v>24</v>
      </c>
      <c r="D38" s="2">
        <v>12610254681</v>
      </c>
      <c r="E38" s="2" t="s">
        <v>9</v>
      </c>
      <c r="F38" s="3">
        <v>46118</v>
      </c>
      <c r="G38" s="2">
        <v>43.98</v>
      </c>
      <c r="H38" s="2">
        <v>10.994999999999999</v>
      </c>
      <c r="I38" s="2">
        <v>32.984999999999999</v>
      </c>
      <c r="J38" s="5">
        <f t="shared" si="0"/>
        <v>30.346199999999996</v>
      </c>
      <c r="K38"/>
      <c r="L38" s="5">
        <f t="shared" si="1"/>
        <v>30.346199999999996</v>
      </c>
    </row>
    <row r="39" spans="1:12" ht="14.4" x14ac:dyDescent="0.3">
      <c r="A39" s="2">
        <v>3</v>
      </c>
      <c r="B39" s="2">
        <v>950006601</v>
      </c>
      <c r="C39" s="2" t="s">
        <v>25</v>
      </c>
      <c r="D39" s="2">
        <v>12610256118</v>
      </c>
      <c r="E39" s="2" t="s">
        <v>9</v>
      </c>
      <c r="F39" s="3">
        <v>46120</v>
      </c>
      <c r="G39" s="2">
        <v>25.45</v>
      </c>
      <c r="H39" s="2">
        <v>6.3620000000000001</v>
      </c>
      <c r="I39" s="2">
        <v>19.088000000000001</v>
      </c>
      <c r="J39" s="5">
        <f t="shared" si="0"/>
        <v>17.561</v>
      </c>
      <c r="K39"/>
      <c r="L39" s="5">
        <f t="shared" si="1"/>
        <v>17.561</v>
      </c>
    </row>
    <row r="40" spans="1:12" ht="14.4" x14ac:dyDescent="0.3">
      <c r="A40" s="2">
        <v>4</v>
      </c>
      <c r="B40" s="2">
        <v>780002702</v>
      </c>
      <c r="C40" s="2" t="s">
        <v>8</v>
      </c>
      <c r="D40" s="2">
        <v>20</v>
      </c>
      <c r="E40" s="2" t="s">
        <v>9</v>
      </c>
      <c r="F40" s="3">
        <v>46121</v>
      </c>
      <c r="G40" s="2">
        <v>40.26</v>
      </c>
      <c r="H40" s="2">
        <v>4.0259999999999998</v>
      </c>
      <c r="I40" s="2">
        <v>36.234000000000002</v>
      </c>
      <c r="J40" s="5">
        <f t="shared" si="0"/>
        <v>33.818399999999997</v>
      </c>
      <c r="K40"/>
      <c r="L40" s="5">
        <f t="shared" si="1"/>
        <v>33.818399999999997</v>
      </c>
    </row>
    <row r="41" spans="1:12" ht="14.4" x14ac:dyDescent="0.3">
      <c r="A41" s="2">
        <v>5</v>
      </c>
      <c r="B41" s="2">
        <v>780037001</v>
      </c>
      <c r="C41" s="2" t="s">
        <v>14</v>
      </c>
      <c r="D41" s="2">
        <v>12610257018</v>
      </c>
      <c r="E41" s="2" t="s">
        <v>9</v>
      </c>
      <c r="F41" s="3">
        <v>46126</v>
      </c>
      <c r="G41" s="2">
        <v>6.35</v>
      </c>
      <c r="H41" s="2">
        <v>0.63500000000000001</v>
      </c>
      <c r="I41" s="2">
        <v>5.7149999999999999</v>
      </c>
      <c r="J41" s="5">
        <f t="shared" si="0"/>
        <v>5.3339999999999996</v>
      </c>
      <c r="K41"/>
      <c r="L41" s="5">
        <f t="shared" si="1"/>
        <v>5.3339999999999996</v>
      </c>
    </row>
    <row r="42" spans="1:12" ht="14.4" x14ac:dyDescent="0.3">
      <c r="A42" s="2">
        <v>6</v>
      </c>
      <c r="B42" s="2">
        <v>780037004</v>
      </c>
      <c r="C42" s="2" t="s">
        <v>11</v>
      </c>
      <c r="D42" s="2">
        <v>12610257015</v>
      </c>
      <c r="E42" s="2" t="s">
        <v>12</v>
      </c>
      <c r="F42" s="3">
        <v>46126</v>
      </c>
      <c r="G42" s="2">
        <v>31.98</v>
      </c>
      <c r="H42" s="2">
        <v>3.198</v>
      </c>
      <c r="I42" s="2">
        <v>28.782</v>
      </c>
      <c r="J42" s="5">
        <f t="shared" si="0"/>
        <v>26.863199999999999</v>
      </c>
      <c r="K42"/>
      <c r="L42" s="5">
        <f t="shared" si="1"/>
        <v>26.863199999999999</v>
      </c>
    </row>
    <row r="43" spans="1:12" ht="14.4" x14ac:dyDescent="0.3">
      <c r="A43" s="2">
        <v>7</v>
      </c>
      <c r="B43" s="2">
        <v>780002702</v>
      </c>
      <c r="C43" s="2" t="s">
        <v>16</v>
      </c>
      <c r="D43" s="2">
        <v>21</v>
      </c>
      <c r="E43" s="2" t="s">
        <v>9</v>
      </c>
      <c r="F43" s="3">
        <v>46153</v>
      </c>
      <c r="G43" s="2">
        <v>40.26</v>
      </c>
      <c r="H43" s="2">
        <v>4.0259999999999998</v>
      </c>
      <c r="I43" s="2">
        <v>36.234000000000002</v>
      </c>
      <c r="J43" s="5">
        <f t="shared" si="0"/>
        <v>33.818399999999997</v>
      </c>
      <c r="K43"/>
      <c r="L43" s="5">
        <f t="shared" si="1"/>
        <v>33.818399999999997</v>
      </c>
    </row>
    <row r="44" spans="1:12" ht="14.4" x14ac:dyDescent="0.3">
      <c r="A44" s="7">
        <v>1</v>
      </c>
      <c r="B44" s="7">
        <v>780002702</v>
      </c>
      <c r="C44" s="7" t="s">
        <v>8</v>
      </c>
      <c r="D44" s="7">
        <v>22</v>
      </c>
      <c r="E44" s="7" t="s">
        <v>9</v>
      </c>
      <c r="F44" s="8">
        <v>46178</v>
      </c>
      <c r="G44" s="7">
        <v>40.26</v>
      </c>
      <c r="H44" s="7">
        <v>4.0259999999999998</v>
      </c>
      <c r="I44" s="7">
        <v>36.234000000000002</v>
      </c>
      <c r="J44" s="6"/>
      <c r="K44" s="6"/>
      <c r="L44" s="6"/>
    </row>
    <row r="45" spans="1:12" s="6" customFormat="1" ht="14.4" x14ac:dyDescent="0.3">
      <c r="A45" s="7">
        <v>1</v>
      </c>
      <c r="B45" s="7">
        <v>268583</v>
      </c>
      <c r="C45" s="7" t="s">
        <v>29</v>
      </c>
      <c r="D45" s="7">
        <v>803447696</v>
      </c>
      <c r="E45" s="7" t="s">
        <v>9</v>
      </c>
      <c r="F45" s="8">
        <v>45903</v>
      </c>
      <c r="G45" s="7">
        <v>14.067</v>
      </c>
      <c r="H45" s="7">
        <v>1.407</v>
      </c>
      <c r="I45" s="7">
        <v>12.66</v>
      </c>
    </row>
    <row r="46" spans="1:12" s="6" customFormat="1" ht="14.4" x14ac:dyDescent="0.3">
      <c r="A46" s="7">
        <v>2</v>
      </c>
      <c r="B46" s="7">
        <v>62004401</v>
      </c>
      <c r="C46" s="7" t="s">
        <v>28</v>
      </c>
      <c r="D46" s="7">
        <v>12610269342</v>
      </c>
      <c r="E46" s="7" t="s">
        <v>9</v>
      </c>
      <c r="F46" s="8">
        <v>46140</v>
      </c>
      <c r="G46" s="7">
        <v>12.5</v>
      </c>
      <c r="H46" s="7">
        <v>1.925</v>
      </c>
      <c r="I46" s="7">
        <v>10.574999999999999</v>
      </c>
    </row>
    <row r="47" spans="1:12" s="6" customFormat="1" ht="14.4" x14ac:dyDescent="0.3">
      <c r="A47" s="7">
        <v>3</v>
      </c>
      <c r="B47" s="7">
        <v>43001502</v>
      </c>
      <c r="C47" s="7" t="s">
        <v>27</v>
      </c>
      <c r="D47" s="7">
        <v>12610285384</v>
      </c>
      <c r="E47" s="7" t="s">
        <v>12</v>
      </c>
      <c r="F47" s="8">
        <v>46164</v>
      </c>
      <c r="G47" s="7">
        <v>12.5</v>
      </c>
      <c r="H47" s="7">
        <v>1.25</v>
      </c>
      <c r="I47" s="7">
        <v>11.25</v>
      </c>
    </row>
    <row r="48" spans="1:12" s="6" customFormat="1" ht="14.4" x14ac:dyDescent="0.3">
      <c r="A48" s="7">
        <v>4</v>
      </c>
      <c r="B48" s="7">
        <v>50016401</v>
      </c>
      <c r="C48" s="7" t="s">
        <v>26</v>
      </c>
      <c r="D48" s="7">
        <v>12610292185</v>
      </c>
      <c r="E48" s="7" t="s">
        <v>9</v>
      </c>
      <c r="F48" s="8">
        <v>46177</v>
      </c>
      <c r="G48" s="7">
        <v>12.5</v>
      </c>
      <c r="H48" s="7">
        <v>2.5</v>
      </c>
      <c r="I48" s="7">
        <v>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H2O Pharmacy</dc:creator>
  <cp:lastModifiedBy>H2O Pharmacy</cp:lastModifiedBy>
  <dcterms:created xsi:type="dcterms:W3CDTF">2026-04-11T14:28:21Z</dcterms:created>
  <dcterms:modified xsi:type="dcterms:W3CDTF">2026-07-08T08:54:56Z</dcterms:modified>
</cp:coreProperties>
</file>