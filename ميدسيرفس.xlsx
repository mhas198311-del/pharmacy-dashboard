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17E47913-00B2-4B78-BD59-9835E74C7CFB}" xr6:coauthVersionLast="47" xr6:coauthVersionMax="47" xr10:uidLastSave="{00000000-0000-0000-0000-000000000000}"/>
  <bookViews>
    <workbookView xWindow="-108" yWindow="-108" windowWidth="23256" windowHeight="12456" xr2:uid="{D788D8F7-2544-4C2F-9B89-709319102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0" i="1" l="1"/>
  <c r="L180" i="1"/>
  <c r="J175" i="1"/>
  <c r="J176" i="1"/>
  <c r="J177" i="1"/>
  <c r="J178" i="1"/>
  <c r="L178" i="1" s="1"/>
  <c r="J179" i="1"/>
  <c r="L179" i="1" s="1"/>
  <c r="L175" i="1"/>
  <c r="L176" i="1"/>
  <c r="L177" i="1"/>
  <c r="L78" i="1"/>
  <c r="L118" i="1"/>
  <c r="L119" i="1"/>
  <c r="L131" i="1"/>
  <c r="J171" i="1"/>
  <c r="L171" i="1" s="1"/>
  <c r="J173" i="1"/>
  <c r="L173" i="1" s="1"/>
  <c r="J174" i="1"/>
  <c r="L174" i="1" s="1"/>
  <c r="J29" i="1"/>
  <c r="L29" i="1" s="1"/>
  <c r="J43" i="1"/>
  <c r="L43" i="1" s="1"/>
  <c r="J48" i="1"/>
  <c r="L48" i="1" s="1"/>
  <c r="J71" i="1"/>
  <c r="L71" i="1" s="1"/>
  <c r="J78" i="1"/>
  <c r="J101" i="1"/>
  <c r="L101" i="1" s="1"/>
  <c r="J116" i="1"/>
  <c r="L116" i="1" s="1"/>
  <c r="J117" i="1"/>
  <c r="L117" i="1" s="1"/>
  <c r="J118" i="1"/>
  <c r="J119" i="1"/>
  <c r="J131" i="1"/>
  <c r="J172" i="1"/>
  <c r="L172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L68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4" i="1"/>
  <c r="L44" i="1" s="1"/>
  <c r="J45" i="1"/>
  <c r="L45" i="1" s="1"/>
  <c r="J46" i="1"/>
  <c r="L46" i="1" s="1"/>
  <c r="J47" i="1"/>
  <c r="L47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J69" i="1"/>
  <c r="L69" i="1" s="1"/>
  <c r="J70" i="1"/>
  <c r="L70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2" i="1"/>
  <c r="L2" i="1" s="1"/>
</calcChain>
</file>

<file path=xl/sharedStrings.xml><?xml version="1.0" encoding="utf-8"?>
<sst xmlns="http://schemas.openxmlformats.org/spreadsheetml/2006/main" count="515" uniqueCount="205">
  <si>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</si>
  <si>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</si>
  <si>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</si>
  <si>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</si>
  <si>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</si>
  <si>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</si>
  <si>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</si>
  <si>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</si>
  <si>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12650*287184*0</t>
  </si>
  <si>
    <t>بسمه عبدالمطلب الحسنات</t>
  </si>
  <si>
    <t>عائله</t>
  </si>
  <si>
    <t>12650*287184*287251</t>
  </si>
  <si>
    <t>وسيم يونس الحسنات</t>
  </si>
  <si>
    <t>12650*287210*287343</t>
  </si>
  <si>
    <t>عزالدين سليمان الحسنات</t>
  </si>
  <si>
    <t>12650*287210*287344</t>
  </si>
  <si>
    <t>علاء الدين سليمان محمد الحسنات</t>
  </si>
  <si>
    <t>عزالدين سليمان محمد الحسنات</t>
  </si>
  <si>
    <t>12675*25759*39295</t>
  </si>
  <si>
    <t>عمار وليد سليمان العلايا</t>
  </si>
  <si>
    <t>12727*306288*203289</t>
  </si>
  <si>
    <t>ليلى عيسى الطويسي</t>
  </si>
  <si>
    <t>12727*231006*0</t>
  </si>
  <si>
    <t>محمد عبدالله جويعد السبوع</t>
  </si>
  <si>
    <t>موظف</t>
  </si>
  <si>
    <t>12693*324885*329528</t>
  </si>
  <si>
    <t>وسام مصطفى حمزه فريحات</t>
  </si>
  <si>
    <t>12696*324885*330267</t>
  </si>
  <si>
    <t>سلمى مصطفى حمزه فريحات</t>
  </si>
  <si>
    <t>12696*324885*329529</t>
  </si>
  <si>
    <t>روان جعفر عيسى النوافلة</t>
  </si>
  <si>
    <t>12727*316653*316654</t>
  </si>
  <si>
    <t>وجدان موسى سالم الخليفات</t>
  </si>
  <si>
    <t>12650*287184*287248</t>
  </si>
  <si>
    <t>محمد يونس الحسنات</t>
  </si>
  <si>
    <t>12727*316653*316659</t>
  </si>
  <si>
    <t>اصال صدام سلمان الخليفات</t>
  </si>
  <si>
    <t>12727*316653*316655</t>
  </si>
  <si>
    <t>شيماء صدام سلمان الخليفات</t>
  </si>
  <si>
    <t>12727*230798*0</t>
  </si>
  <si>
    <t>جودة محمود الخليفات</t>
  </si>
  <si>
    <t>عز الدين شريف النوافلة</t>
  </si>
  <si>
    <t>حور شريف موسى  النوافلة</t>
  </si>
  <si>
    <t>12727*230798*232054</t>
  </si>
  <si>
    <t>بتول جودة الخليفات</t>
  </si>
  <si>
    <t>12727*230798*232052</t>
  </si>
  <si>
    <t>يقين جودة الخليفات</t>
  </si>
  <si>
    <t>12727*231006*272990</t>
  </si>
  <si>
    <t>يوسف محمد عبدالله السبوع</t>
  </si>
  <si>
    <t>12727*231006*237611</t>
  </si>
  <si>
    <t>عبدالله محمد السبوع</t>
  </si>
  <si>
    <t>سارا جودة الخليفات</t>
  </si>
  <si>
    <t>سلمى جودة الخليفات</t>
  </si>
  <si>
    <t>12727*231006</t>
  </si>
  <si>
    <t>محمد عبدالله السبوع</t>
  </si>
  <si>
    <t>12727*316653*316660</t>
  </si>
  <si>
    <t>اصيل صدام سلمان الخليفات</t>
  </si>
  <si>
    <t>12696*324125*0</t>
  </si>
  <si>
    <t>مراد محمد الفضول</t>
  </si>
  <si>
    <t>شيماء صدام الخليفات</t>
  </si>
  <si>
    <t>1272*306288*306292</t>
  </si>
  <si>
    <t>رزان هاشم الطويسي</t>
  </si>
  <si>
    <t>12727*306288*306291</t>
  </si>
  <si>
    <t>سلمى هاشم الطويسي</t>
  </si>
  <si>
    <t>12675*25759*0</t>
  </si>
  <si>
    <t>دنيا عبدالرؤوف عبدالحميد الخطيب</t>
  </si>
  <si>
    <t>علاء الدين سليمان الحسنات</t>
  </si>
  <si>
    <t>12650*287210*287342</t>
  </si>
  <si>
    <t>شهد سليمان الحسنات</t>
  </si>
  <si>
    <t>12727*230798*271781</t>
  </si>
  <si>
    <t>12675*25759*237901</t>
  </si>
  <si>
    <t>وليد سليمان العلايا</t>
  </si>
  <si>
    <t>12675*25759*285446</t>
  </si>
  <si>
    <t>جسار وليد سليمان العلايا</t>
  </si>
  <si>
    <t>12727*230798*239081</t>
  </si>
  <si>
    <t>سلمى جودة محمود الخليفات</t>
  </si>
  <si>
    <t>12727*230886*307697</t>
  </si>
  <si>
    <t>حور شريف موسى النوافلة</t>
  </si>
  <si>
    <t>امير هاشم طويسي</t>
  </si>
  <si>
    <t>12727*230886*0</t>
  </si>
  <si>
    <t>شريف موسى النوافلة</t>
  </si>
  <si>
    <t>12727*230886*231965</t>
  </si>
  <si>
    <t>مريم محمد الفلحات</t>
  </si>
  <si>
    <t>12727*230886*231966</t>
  </si>
  <si>
    <t>رغد شريف النوافلة</t>
  </si>
  <si>
    <t>12727*316653*0</t>
  </si>
  <si>
    <t>صدام سلمان سليمان الخليفات</t>
  </si>
  <si>
    <t>بتول جودة محمود الخليفات</t>
  </si>
  <si>
    <t>حور شريف النوافلة</t>
  </si>
  <si>
    <t>رغد شؤيف النوافلة</t>
  </si>
  <si>
    <t>12727*316653*316656</t>
  </si>
  <si>
    <t>رهف صدام سلمان  الخليفات</t>
  </si>
  <si>
    <t>رغد شريف موسى النوافلة</t>
  </si>
  <si>
    <t>هاشم خليل الطويسي</t>
  </si>
  <si>
    <t>12727*230895*231981</t>
  </si>
  <si>
    <t>هبة محمد السعيدين</t>
  </si>
  <si>
    <t>12650*287210*287341</t>
  </si>
  <si>
    <t>ايه سليمان محمد الحسنات</t>
  </si>
  <si>
    <t>12696*324885</t>
  </si>
  <si>
    <t>مصطفى حمزة فريحات</t>
  </si>
  <si>
    <t>12718*284960*284964</t>
  </si>
  <si>
    <t>حلا مازن خليفة الحمادين</t>
  </si>
  <si>
    <t>12718*284960*284963</t>
  </si>
  <si>
    <t>شهد مازن الحمادين</t>
  </si>
  <si>
    <t>رهف صدام سلمان الخليفات</t>
  </si>
  <si>
    <t>12826*287184*287248</t>
  </si>
  <si>
    <t>12826*287184*0</t>
  </si>
  <si>
    <t>12826*287210*0</t>
  </si>
  <si>
    <t>نانسي تيسير الشباطات</t>
  </si>
  <si>
    <t>12826*287210*287343</t>
  </si>
  <si>
    <t>12826*287210*287344</t>
  </si>
  <si>
    <t>12727*309658*0</t>
  </si>
  <si>
    <t>احمد عبدالعزيز السعيدين</t>
  </si>
  <si>
    <t>12826*287184*287249</t>
  </si>
  <si>
    <t>اركان يونس الحسنات</t>
  </si>
  <si>
    <t>12727*306288*306290</t>
  </si>
  <si>
    <t>زينه الطويسي</t>
  </si>
  <si>
    <t>يوسف محمد السبوع</t>
  </si>
  <si>
    <t>1272*231006*237611</t>
  </si>
  <si>
    <t>محمد يونس محمد الحسنات</t>
  </si>
  <si>
    <t>12855*25759*285446</t>
  </si>
  <si>
    <t>12826*287184*287253</t>
  </si>
  <si>
    <t>ضياء الدين يونس الحسنات</t>
  </si>
  <si>
    <t>عبدالله محمد عبدالله  السبوع</t>
  </si>
  <si>
    <t>12727*316653*316657</t>
  </si>
  <si>
    <t>ماريا صدام سلمان الخليفات</t>
  </si>
  <si>
    <t>مريم محمد الفلاحات</t>
  </si>
  <si>
    <t>محمد عبدالله سبوع</t>
  </si>
  <si>
    <t>12826*287210*287342</t>
  </si>
  <si>
    <t>صدام سلمان الخليفات</t>
  </si>
  <si>
    <t>12727*306288*306289</t>
  </si>
  <si>
    <t>لبنى عيسى هارون الطويسي</t>
  </si>
  <si>
    <t>12727*316653*31660</t>
  </si>
  <si>
    <t>12727*316653*316658</t>
  </si>
  <si>
    <t>محمد صدام سلمان الخليفات</t>
  </si>
  <si>
    <t>سلمى هاشم خليل الطويسي</t>
  </si>
  <si>
    <t>12727*230775*231985</t>
  </si>
  <si>
    <t>خوله محمد الحسنات</t>
  </si>
  <si>
    <t>12855*25759*23701</t>
  </si>
  <si>
    <t>وليد سليمان علي العلايا</t>
  </si>
  <si>
    <t>12855*25759*237901</t>
  </si>
  <si>
    <t>12855*25759*39295</t>
  </si>
  <si>
    <t>12826*287184*287252</t>
  </si>
  <si>
    <t>سلمى يونس الحسنات</t>
  </si>
  <si>
    <t>12826*287184*287251</t>
  </si>
  <si>
    <t>12893*316653*316654</t>
  </si>
  <si>
    <t>12893*316653*0</t>
  </si>
  <si>
    <t>12893*306288*306289</t>
  </si>
  <si>
    <t>لبنى عيسى الطويسي</t>
  </si>
  <si>
    <t>12893*316653*316658</t>
  </si>
  <si>
    <t>ماريا صدام الخليفات</t>
  </si>
  <si>
    <t>رغد يوسف النوافلة</t>
  </si>
  <si>
    <t>287187*287248</t>
  </si>
  <si>
    <t>12893*230798*232052</t>
  </si>
  <si>
    <t>يقين جودة محمود الخليفات</t>
  </si>
  <si>
    <t>جسار وليد العلايا</t>
  </si>
  <si>
    <t>صافي القيمة</t>
  </si>
  <si>
    <t>القيمة المطلوبة</t>
  </si>
  <si>
    <t>المدفوع</t>
  </si>
  <si>
    <t>المتبقي</t>
  </si>
  <si>
    <t>12893*231006*231969</t>
  </si>
  <si>
    <t>فاطمة سليمان سعد سعد القريات</t>
  </si>
  <si>
    <t>12855*25759*0</t>
  </si>
  <si>
    <t>دنيا عبدالرؤوف الخطيب</t>
  </si>
  <si>
    <t>12893*230798*232054</t>
  </si>
  <si>
    <t>12855*25759*205511</t>
  </si>
  <si>
    <t>لين وليد سليمان العلايا</t>
  </si>
  <si>
    <t>12893*306288*306290</t>
  </si>
  <si>
    <t>زينه هاشم الطويسي</t>
  </si>
  <si>
    <t>12855/25759/285446</t>
  </si>
  <si>
    <t>سلسبيل عيسى الحسنات</t>
  </si>
  <si>
    <t>12893*231006*0</t>
  </si>
  <si>
    <t>بسمة عبدالمطلب الحسنات</t>
  </si>
  <si>
    <t>12893*230886*316764</t>
  </si>
  <si>
    <t>عزالدين شريف موسى النوافلة</t>
  </si>
  <si>
    <t>12893*230886*0</t>
  </si>
  <si>
    <t>12893*230886*231966</t>
  </si>
  <si>
    <t>12893*316653*316655</t>
  </si>
  <si>
    <t>12893*230798*239081</t>
  </si>
  <si>
    <t>12893*306288*306293</t>
  </si>
  <si>
    <t>امير هاشم الطويسي</t>
  </si>
  <si>
    <t>رجوة علي فراس السطوحي</t>
  </si>
  <si>
    <t>12893*316653*316657</t>
  </si>
  <si>
    <t>ماريا صدام خليفات</t>
  </si>
  <si>
    <t>رجوه علي السطوحي</t>
  </si>
  <si>
    <t>محمد هارون السعيدين</t>
  </si>
  <si>
    <t>هدوى نصار محمد المراعيه</t>
  </si>
  <si>
    <t>12727*231010*232067</t>
  </si>
  <si>
    <t>ماجد ابراهيم محمد المراعيه</t>
  </si>
  <si>
    <t>12727*231010*232078</t>
  </si>
  <si>
    <t>رهام ابراهيم محمد المراعيه</t>
  </si>
  <si>
    <t>12727*231010*232077</t>
  </si>
  <si>
    <t>هبه محمد السعيدين</t>
  </si>
  <si>
    <t>أحمد العقرباوي</t>
  </si>
  <si>
    <t>حسان المومني</t>
  </si>
  <si>
    <t>هديل الجازي</t>
  </si>
  <si>
    <t>هبة السعيديين</t>
  </si>
  <si>
    <t>عبدالله العمارين</t>
  </si>
  <si>
    <t>علاءالدين الحسنات</t>
  </si>
  <si>
    <t>12893*230877*0</t>
  </si>
  <si>
    <t>اياس علي نعيمي</t>
  </si>
  <si>
    <t>12885*324724*329244</t>
  </si>
  <si>
    <t>هديل سليمان صبيح الجازي</t>
  </si>
  <si>
    <t>12893*230850*232146</t>
  </si>
  <si>
    <t>ندا الحسنات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</si>
</sst>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\ _د_._ا_._‏_-;\-* #,##0.000\ _د_._ا_._‏_-;_-* &quot;-&quot;???\ _د_._ا_._‏_-;_-@_-"/>
  </numFmts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12">
    <dxf>
      <numFmt numFmtId="164" formatCode="_-* #,##0.000\ _د_._ا_._‏_-;\-* #,##0.000\ _د_._ا_._‏_-;_-* &quot;-&quot;???\ _د_._ا_._‏_-;_-@_-"/>
    </dxf>
    <dxf>
      <numFmt numFmtId="164" formatCode="_-* #,##0.000\ _د_._ا_._‏_-;\-* #,##0.000\ _د_._ا_._‏_-;_-* &quot;-&quot;???\ _د_._ا_._‏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numFmt numFmtId="164" formatCode="_-* #,##0.000\ _د_._ا_._‏_-;\-* #,##0.000\ _د_._ا_._‏_-;_-* &quot;-&quot;???\ _د_._ا_._‏_-;_-@_-"/>
      <fill>
        <patternFill patternType="solid">
          <fgColor indexed="64"/>
          <bgColor indexed="1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CAA9DC-BFE0-43FC-AC56-280E1F1086BB}" name="Table1" displayName="Table1" ref="A1:L180" totalsRowShown="0" headerRowDxfId="11">
  <autoFilter ref="A1:L180" xr:uid="{0FCAA9DC-BFE0-43FC-AC56-280E1F1086BB}"/>
  <sortState xmlns:xlrd2="http://schemas.microsoft.com/office/spreadsheetml/2017/richdata2" ref="A2:L174">
    <sortCondition ref="F1:F174"/>
  </sortState>
  <tableColumns count="12">
    <tableColumn id="1" xr3:uid="{60C6F871-C16F-4E0C-BCFA-8355ABD999C9}" name="الرقم" dataDxfId="10"/>
    <tableColumn id="2" xr3:uid="{16663A49-EAEA-4D0C-AEE4-F16F12092E0B}" name="رقم الموظف /رقم البطاقة" dataDxfId="9"/>
    <tableColumn id="3" xr3:uid="{E695BC9D-90B5-4017-835E-DE39F27EC4B5}" name="اسم المريض" dataDxfId="8"/>
    <tableColumn id="4" xr3:uid="{4FA0F61B-0974-4290-8AF9-64F3425CF95F}" name="رقم النموذج" dataDxfId="7"/>
    <tableColumn id="5" xr3:uid="{FA7C7B11-59CD-43FE-8614-AE77C814F7B1}" name="نوع المستفيد" dataDxfId="6"/>
    <tableColumn id="6" xr3:uid="{A5C7FB1D-369A-430A-90FD-DECEB437BB07}" name="تاريخ البيع" dataDxfId="5"/>
    <tableColumn id="7" xr3:uid="{A0C6C549-4E6F-40C8-8B90-0D7D85B722AF}" name="قيمة الفاتورة" dataDxfId="4"/>
    <tableColumn id="8" xr3:uid="{FE5B0B26-736F-4D13-A599-E33B398493F1}" name="قيمة المشاركة" dataDxfId="3"/>
    <tableColumn id="9" xr3:uid="{BC1FF825-92ED-4149-A1D2-B9B13F698346}" name="صافي القيمة" dataDxfId="2"/>
    <tableColumn id="10" xr3:uid="{856C6145-2E1C-4B6E-9442-8F25AAAF88C3}" name="القيمة المطلوبة" dataDxfId="1">
      <calculatedColumnFormula>G2*0.94-H2</calculatedColumnFormula>
    </tableColumn>
    <tableColumn id="11" xr3:uid="{93671F58-AEBB-42C2-8ECB-4A20CA480AFD}" name="المدفوع"/>
    <tableColumn id="12" xr3:uid="{3CB96BCB-F76A-4AB9-8336-BDA8FF662F9F}" name="المتبقي" dataDxfId="0">
      <calculatedColumnFormula>J2-K2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C926-0A16-40E2-AC7F-885A2855875E}">
  <dimension ref="A1:L180"/>
  <sheetViews>
    <sheetView rightToLeft="1" tabSelected="1" workbookViewId="0">
      <pane ySplit="1" topLeftCell="A171" activePane="bottomLeft" state="frozen"/>
      <selection pane="bottomLeft" activeCell="H188" sqref="H188"/>
    </sheetView>
  </sheetViews>
  <sheetFormatPr defaultRowHeight="13.8" x14ac:dyDescent="0.25"/>
  <cols>
    <col min="1" max="1" width="5.19921875" customWidth="1"/>
    <col min="2" max="2" width="18" bestFit="1" customWidth="1"/>
    <col min="3" max="3" width="35.296875" bestFit="1" customWidth="1"/>
    <col min="4" max="4" width="9.296875" customWidth="1"/>
    <col min="5" max="5" width="10" customWidth="1"/>
    <col min="6" max="6" width="9.296875" bestFit="1" customWidth="1"/>
    <col min="7" max="7" width="10.8984375" style="6" customWidth="1"/>
    <col min="8" max="8" width="11.3984375" style="6" customWidth="1"/>
    <col min="9" max="9" width="13.3984375" style="6" bestFit="1" customWidth="1"/>
    <col min="10" max="10" width="12.19921875" style="6" customWidth="1"/>
    <col min="11" max="11" width="7.8984375" style="6" customWidth="1"/>
    <col min="12" max="12" width="10.09765625" style="6" bestFit="1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156</v>
      </c>
      <c r="J1" s="4" t="s">
        <v>157</v>
      </c>
      <c r="K1" s="4" t="s">
        <v>158</v>
      </c>
      <c r="L1" s="4" t="s">
        <v>159</v>
      </c>
    </row>
    <row r="2" spans="1:12" ht="14.4" x14ac:dyDescent="0.3">
      <c r="A2" s="2">
        <v>1</v>
      </c>
      <c r="B2" s="2" t="s">
        <v>8</v>
      </c>
      <c r="C2" s="2" t="s">
        <v>9</v>
      </c>
      <c r="D2" s="2">
        <v>80334991</v>
      </c>
      <c r="E2" s="2" t="s">
        <v>10</v>
      </c>
      <c r="F2" s="3">
        <v>45668</v>
      </c>
      <c r="G2" s="5">
        <v>21.26</v>
      </c>
      <c r="H2" s="5">
        <v>0</v>
      </c>
      <c r="I2" s="5">
        <v>21.26</v>
      </c>
      <c r="J2" s="6">
        <f t="shared" ref="J2:J33" si="0">G2*0.94-H2</f>
        <v>19.984400000000001</v>
      </c>
      <c r="L2" s="6">
        <f t="shared" ref="L2:L33" si="1">J2-K2</f>
        <v>19.984400000000001</v>
      </c>
    </row>
    <row r="3" spans="1:12" ht="14.4" x14ac:dyDescent="0.3">
      <c r="A3" s="2">
        <v>2</v>
      </c>
      <c r="B3" s="2" t="s">
        <v>11</v>
      </c>
      <c r="C3" s="2" t="s">
        <v>12</v>
      </c>
      <c r="D3" s="2">
        <v>803340113</v>
      </c>
      <c r="E3" s="2" t="s">
        <v>10</v>
      </c>
      <c r="F3" s="3">
        <v>45678</v>
      </c>
      <c r="G3" s="5">
        <v>26.36</v>
      </c>
      <c r="H3" s="5">
        <v>0</v>
      </c>
      <c r="I3" s="5">
        <v>26.36</v>
      </c>
      <c r="J3" s="6">
        <f t="shared" si="0"/>
        <v>24.778399999999998</v>
      </c>
      <c r="L3" s="6">
        <f t="shared" si="1"/>
        <v>24.778399999999998</v>
      </c>
    </row>
    <row r="4" spans="1:12" ht="14.4" x14ac:dyDescent="0.3">
      <c r="A4" s="2">
        <v>3</v>
      </c>
      <c r="B4" s="2" t="s">
        <v>13</v>
      </c>
      <c r="C4" s="2" t="s">
        <v>14</v>
      </c>
      <c r="D4" s="2">
        <v>803340749</v>
      </c>
      <c r="E4" s="2" t="s">
        <v>10</v>
      </c>
      <c r="F4" s="3">
        <v>45680</v>
      </c>
      <c r="G4" s="5">
        <v>43.42</v>
      </c>
      <c r="H4" s="5">
        <v>0</v>
      </c>
      <c r="I4" s="5">
        <v>43.42</v>
      </c>
      <c r="J4" s="6">
        <f t="shared" si="0"/>
        <v>40.814799999999998</v>
      </c>
      <c r="L4" s="6">
        <f t="shared" si="1"/>
        <v>40.814799999999998</v>
      </c>
    </row>
    <row r="5" spans="1:12" ht="14.4" x14ac:dyDescent="0.3">
      <c r="A5" s="2">
        <v>4</v>
      </c>
      <c r="B5" s="2" t="s">
        <v>15</v>
      </c>
      <c r="C5" s="2" t="s">
        <v>16</v>
      </c>
      <c r="D5" s="2">
        <v>803341137</v>
      </c>
      <c r="E5" s="2" t="s">
        <v>10</v>
      </c>
      <c r="F5" s="3">
        <v>45683</v>
      </c>
      <c r="G5" s="5">
        <v>3.64</v>
      </c>
      <c r="H5" s="5">
        <v>0</v>
      </c>
      <c r="I5" s="5">
        <v>3.64</v>
      </c>
      <c r="J5" s="6">
        <f t="shared" si="0"/>
        <v>3.4215999999999998</v>
      </c>
      <c r="L5" s="6">
        <f t="shared" si="1"/>
        <v>3.4215999999999998</v>
      </c>
    </row>
    <row r="6" spans="1:12" ht="14.4" x14ac:dyDescent="0.3">
      <c r="A6" s="2">
        <v>5</v>
      </c>
      <c r="B6" s="2" t="s">
        <v>15</v>
      </c>
      <c r="C6" s="2" t="s">
        <v>16</v>
      </c>
      <c r="D6" s="2">
        <v>803341102</v>
      </c>
      <c r="E6" s="2" t="s">
        <v>10</v>
      </c>
      <c r="F6" s="3">
        <v>45683</v>
      </c>
      <c r="G6" s="5">
        <v>3.84</v>
      </c>
      <c r="H6" s="5">
        <v>0</v>
      </c>
      <c r="I6" s="5">
        <v>3.84</v>
      </c>
      <c r="J6" s="6">
        <f t="shared" si="0"/>
        <v>3.6095999999999995</v>
      </c>
      <c r="L6" s="6">
        <f t="shared" si="1"/>
        <v>3.6095999999999995</v>
      </c>
    </row>
    <row r="7" spans="1:12" ht="14.4" x14ac:dyDescent="0.3">
      <c r="A7" s="2">
        <v>6</v>
      </c>
      <c r="B7" s="2" t="s">
        <v>13</v>
      </c>
      <c r="C7" s="2" t="s">
        <v>17</v>
      </c>
      <c r="D7" s="2">
        <v>803340750</v>
      </c>
      <c r="E7" s="2" t="s">
        <v>10</v>
      </c>
      <c r="F7" s="3">
        <v>45683</v>
      </c>
      <c r="G7" s="5">
        <v>28.92</v>
      </c>
      <c r="H7" s="5">
        <v>0</v>
      </c>
      <c r="I7" s="5">
        <v>28.92</v>
      </c>
      <c r="J7" s="6">
        <f t="shared" si="0"/>
        <v>27.184799999999999</v>
      </c>
      <c r="L7" s="6">
        <f t="shared" si="1"/>
        <v>27.184799999999999</v>
      </c>
    </row>
    <row r="8" spans="1:12" ht="14.4" x14ac:dyDescent="0.3">
      <c r="A8" s="2">
        <v>7</v>
      </c>
      <c r="B8" s="2" t="s">
        <v>18</v>
      </c>
      <c r="C8" s="2" t="s">
        <v>19</v>
      </c>
      <c r="D8" s="2">
        <v>803345969</v>
      </c>
      <c r="E8" s="2" t="s">
        <v>10</v>
      </c>
      <c r="F8" s="3">
        <v>45689</v>
      </c>
      <c r="G8" s="5">
        <v>13.67</v>
      </c>
      <c r="H8" s="5">
        <v>1.367</v>
      </c>
      <c r="I8" s="5">
        <v>12.303000000000001</v>
      </c>
      <c r="J8" s="6">
        <f t="shared" si="0"/>
        <v>11.482799999999997</v>
      </c>
      <c r="L8" s="6">
        <f t="shared" si="1"/>
        <v>11.482799999999997</v>
      </c>
    </row>
    <row r="9" spans="1:12" ht="14.4" x14ac:dyDescent="0.3">
      <c r="A9" s="2">
        <v>8</v>
      </c>
      <c r="B9" s="2" t="s">
        <v>20</v>
      </c>
      <c r="C9" s="2" t="s">
        <v>21</v>
      </c>
      <c r="D9" s="2">
        <v>803347068</v>
      </c>
      <c r="E9" s="2" t="s">
        <v>10</v>
      </c>
      <c r="F9" s="3">
        <v>45692</v>
      </c>
      <c r="G9" s="5">
        <v>25.11</v>
      </c>
      <c r="H9" s="5">
        <v>2.5110000000000001</v>
      </c>
      <c r="I9" s="5">
        <v>22.599</v>
      </c>
      <c r="J9" s="6">
        <f t="shared" si="0"/>
        <v>21.092399999999998</v>
      </c>
      <c r="L9" s="6">
        <f t="shared" si="1"/>
        <v>21.092399999999998</v>
      </c>
    </row>
    <row r="10" spans="1:12" ht="14.4" x14ac:dyDescent="0.3">
      <c r="A10" s="2">
        <v>9</v>
      </c>
      <c r="B10" s="2" t="s">
        <v>22</v>
      </c>
      <c r="C10" s="2" t="s">
        <v>23</v>
      </c>
      <c r="D10" s="2">
        <v>803353344</v>
      </c>
      <c r="E10" s="2" t="s">
        <v>24</v>
      </c>
      <c r="F10" s="3">
        <v>45704</v>
      </c>
      <c r="G10" s="5">
        <v>25.4</v>
      </c>
      <c r="H10" s="5">
        <v>2.54</v>
      </c>
      <c r="I10" s="5">
        <v>22.86</v>
      </c>
      <c r="J10" s="6">
        <f t="shared" si="0"/>
        <v>21.335999999999999</v>
      </c>
      <c r="L10" s="6">
        <f t="shared" si="1"/>
        <v>21.335999999999999</v>
      </c>
    </row>
    <row r="11" spans="1:12" ht="14.4" x14ac:dyDescent="0.3">
      <c r="A11" s="2">
        <v>10</v>
      </c>
      <c r="B11" s="2" t="s">
        <v>25</v>
      </c>
      <c r="C11" s="2" t="s">
        <v>26</v>
      </c>
      <c r="D11" s="2">
        <v>803355607</v>
      </c>
      <c r="E11" s="2" t="s">
        <v>10</v>
      </c>
      <c r="F11" s="3">
        <v>45711</v>
      </c>
      <c r="G11" s="5">
        <v>14.92</v>
      </c>
      <c r="H11" s="5">
        <v>2.984</v>
      </c>
      <c r="I11" s="5">
        <v>11.936</v>
      </c>
      <c r="J11" s="6">
        <f t="shared" si="0"/>
        <v>11.040799999999999</v>
      </c>
      <c r="L11" s="6">
        <f t="shared" si="1"/>
        <v>11.040799999999999</v>
      </c>
    </row>
    <row r="12" spans="1:12" ht="14.4" x14ac:dyDescent="0.3">
      <c r="A12" s="2">
        <v>11</v>
      </c>
      <c r="B12" s="2" t="s">
        <v>27</v>
      </c>
      <c r="C12" s="2" t="s">
        <v>28</v>
      </c>
      <c r="D12" s="2">
        <v>803355604</v>
      </c>
      <c r="E12" s="2" t="s">
        <v>10</v>
      </c>
      <c r="F12" s="3">
        <v>45711</v>
      </c>
      <c r="G12" s="5">
        <v>13.23</v>
      </c>
      <c r="H12" s="5">
        <v>2.6459999999999999</v>
      </c>
      <c r="I12" s="5">
        <v>10.584</v>
      </c>
      <c r="J12" s="6">
        <f t="shared" si="0"/>
        <v>9.7901999999999987</v>
      </c>
      <c r="L12" s="6">
        <f t="shared" si="1"/>
        <v>9.7901999999999987</v>
      </c>
    </row>
    <row r="13" spans="1:12" ht="14.4" x14ac:dyDescent="0.3">
      <c r="A13" s="2">
        <v>12</v>
      </c>
      <c r="B13" s="2" t="s">
        <v>29</v>
      </c>
      <c r="C13" s="2" t="s">
        <v>30</v>
      </c>
      <c r="D13" s="2">
        <v>803355612</v>
      </c>
      <c r="E13" s="2" t="s">
        <v>10</v>
      </c>
      <c r="F13" s="3">
        <v>45711</v>
      </c>
      <c r="G13" s="5">
        <v>53.68</v>
      </c>
      <c r="H13" s="5">
        <v>10.736000000000001</v>
      </c>
      <c r="I13" s="5">
        <v>42.944000000000003</v>
      </c>
      <c r="J13" s="6">
        <f t="shared" si="0"/>
        <v>39.723199999999991</v>
      </c>
      <c r="L13" s="6">
        <f t="shared" si="1"/>
        <v>39.723199999999991</v>
      </c>
    </row>
    <row r="14" spans="1:12" ht="14.4" x14ac:dyDescent="0.3">
      <c r="A14" s="2">
        <v>13</v>
      </c>
      <c r="B14" s="2" t="s">
        <v>31</v>
      </c>
      <c r="C14" s="2" t="s">
        <v>32</v>
      </c>
      <c r="D14" s="2">
        <v>803356809</v>
      </c>
      <c r="E14" s="2" t="s">
        <v>10</v>
      </c>
      <c r="F14" s="3">
        <v>45715</v>
      </c>
      <c r="G14" s="5">
        <v>66.599999999999994</v>
      </c>
      <c r="H14" s="5">
        <v>6.66</v>
      </c>
      <c r="I14" s="5">
        <v>59.94</v>
      </c>
      <c r="J14" s="6">
        <f t="shared" si="0"/>
        <v>55.943999999999988</v>
      </c>
      <c r="L14" s="6">
        <f t="shared" si="1"/>
        <v>55.943999999999988</v>
      </c>
    </row>
    <row r="15" spans="1:12" ht="14.4" x14ac:dyDescent="0.3">
      <c r="A15" s="2">
        <v>14</v>
      </c>
      <c r="B15" s="2" t="s">
        <v>33</v>
      </c>
      <c r="C15" s="2" t="s">
        <v>34</v>
      </c>
      <c r="D15" s="2">
        <v>803361338</v>
      </c>
      <c r="E15" s="2" t="s">
        <v>10</v>
      </c>
      <c r="F15" s="3">
        <v>45719</v>
      </c>
      <c r="G15" s="5">
        <v>24.78</v>
      </c>
      <c r="H15" s="5">
        <v>0</v>
      </c>
      <c r="I15" s="5">
        <v>24.78</v>
      </c>
      <c r="J15" s="6">
        <f t="shared" si="0"/>
        <v>23.293199999999999</v>
      </c>
      <c r="L15" s="6">
        <f t="shared" si="1"/>
        <v>23.293199999999999</v>
      </c>
    </row>
    <row r="16" spans="1:12" ht="14.4" x14ac:dyDescent="0.3">
      <c r="A16" s="2">
        <v>15</v>
      </c>
      <c r="B16" s="2" t="s">
        <v>35</v>
      </c>
      <c r="C16" s="2" t="s">
        <v>36</v>
      </c>
      <c r="D16" s="2">
        <v>803361531</v>
      </c>
      <c r="E16" s="2" t="s">
        <v>10</v>
      </c>
      <c r="F16" s="3">
        <v>45720</v>
      </c>
      <c r="G16" s="5">
        <v>25.63</v>
      </c>
      <c r="H16" s="5">
        <v>2.5630000000000002</v>
      </c>
      <c r="I16" s="5">
        <v>23.067</v>
      </c>
      <c r="J16" s="6">
        <f t="shared" si="0"/>
        <v>21.529199999999999</v>
      </c>
      <c r="L16" s="6">
        <f t="shared" si="1"/>
        <v>21.529199999999999</v>
      </c>
    </row>
    <row r="17" spans="1:12" ht="14.4" x14ac:dyDescent="0.3">
      <c r="A17" s="2">
        <v>16</v>
      </c>
      <c r="B17" s="2" t="s">
        <v>37</v>
      </c>
      <c r="C17" s="2" t="s">
        <v>38</v>
      </c>
      <c r="D17" s="2">
        <v>803361537</v>
      </c>
      <c r="E17" s="2" t="s">
        <v>10</v>
      </c>
      <c r="F17" s="3">
        <v>45720</v>
      </c>
      <c r="G17" s="5">
        <v>36.770000000000003</v>
      </c>
      <c r="H17" s="5">
        <v>3.677</v>
      </c>
      <c r="I17" s="5">
        <v>33.093000000000004</v>
      </c>
      <c r="J17" s="6">
        <f t="shared" si="0"/>
        <v>30.886800000000001</v>
      </c>
      <c r="L17" s="6">
        <f t="shared" si="1"/>
        <v>30.886800000000001</v>
      </c>
    </row>
    <row r="18" spans="1:12" ht="14.4" x14ac:dyDescent="0.3">
      <c r="A18" s="2">
        <v>17</v>
      </c>
      <c r="B18" s="2" t="s">
        <v>39</v>
      </c>
      <c r="C18" s="2" t="s">
        <v>40</v>
      </c>
      <c r="D18" s="2">
        <v>803361728</v>
      </c>
      <c r="E18" s="2" t="s">
        <v>24</v>
      </c>
      <c r="F18" s="3">
        <v>45720</v>
      </c>
      <c r="G18" s="5">
        <v>39.909999999999997</v>
      </c>
      <c r="H18" s="5">
        <v>3.9910000000000001</v>
      </c>
      <c r="I18" s="5">
        <v>35.918999999999997</v>
      </c>
      <c r="J18" s="6">
        <f t="shared" si="0"/>
        <v>33.524399999999993</v>
      </c>
      <c r="L18" s="6">
        <f t="shared" si="1"/>
        <v>33.524399999999993</v>
      </c>
    </row>
    <row r="19" spans="1:12" ht="14.4" x14ac:dyDescent="0.3">
      <c r="A19" s="2">
        <v>18</v>
      </c>
      <c r="B19" s="2">
        <v>316764</v>
      </c>
      <c r="C19" s="2" t="s">
        <v>41</v>
      </c>
      <c r="D19" s="2">
        <v>316764</v>
      </c>
      <c r="E19" s="2" t="s">
        <v>10</v>
      </c>
      <c r="F19" s="3">
        <v>45721</v>
      </c>
      <c r="G19" s="5">
        <v>14.05</v>
      </c>
      <c r="H19" s="5">
        <v>1.405</v>
      </c>
      <c r="I19" s="5">
        <v>12.645</v>
      </c>
      <c r="J19" s="6">
        <f t="shared" si="0"/>
        <v>11.802000000000001</v>
      </c>
      <c r="L19" s="6">
        <f t="shared" si="1"/>
        <v>11.802000000000001</v>
      </c>
    </row>
    <row r="20" spans="1:12" ht="14.4" x14ac:dyDescent="0.3">
      <c r="A20" s="2">
        <v>19</v>
      </c>
      <c r="B20" s="2">
        <v>30797</v>
      </c>
      <c r="C20" s="2" t="s">
        <v>42</v>
      </c>
      <c r="D20" s="2">
        <v>307697</v>
      </c>
      <c r="E20" s="2" t="s">
        <v>10</v>
      </c>
      <c r="F20" s="3">
        <v>45721</v>
      </c>
      <c r="G20" s="5">
        <v>19.690000000000001</v>
      </c>
      <c r="H20" s="5">
        <v>1.9690000000000001</v>
      </c>
      <c r="I20" s="5">
        <v>17.721</v>
      </c>
      <c r="J20" s="6">
        <f t="shared" si="0"/>
        <v>16.5396</v>
      </c>
      <c r="L20" s="6">
        <f t="shared" si="1"/>
        <v>16.5396</v>
      </c>
    </row>
    <row r="21" spans="1:12" ht="14.4" x14ac:dyDescent="0.3">
      <c r="A21" s="2">
        <v>20</v>
      </c>
      <c r="B21" s="2" t="s">
        <v>43</v>
      </c>
      <c r="C21" s="2" t="s">
        <v>44</v>
      </c>
      <c r="D21" s="2">
        <v>803363428</v>
      </c>
      <c r="E21" s="2" t="s">
        <v>10</v>
      </c>
      <c r="F21" s="3">
        <v>45723</v>
      </c>
      <c r="G21" s="5">
        <v>32.29</v>
      </c>
      <c r="H21" s="5">
        <v>3.2290000000000001</v>
      </c>
      <c r="I21" s="5">
        <v>29.061</v>
      </c>
      <c r="J21" s="6">
        <f t="shared" si="0"/>
        <v>27.1236</v>
      </c>
      <c r="L21" s="6">
        <f t="shared" si="1"/>
        <v>27.1236</v>
      </c>
    </row>
    <row r="22" spans="1:12" ht="14.4" x14ac:dyDescent="0.3">
      <c r="A22" s="2">
        <v>21</v>
      </c>
      <c r="B22" s="2" t="s">
        <v>45</v>
      </c>
      <c r="C22" s="2" t="s">
        <v>46</v>
      </c>
      <c r="D22" s="2">
        <v>803363429</v>
      </c>
      <c r="E22" s="2" t="s">
        <v>10</v>
      </c>
      <c r="F22" s="3">
        <v>45723</v>
      </c>
      <c r="G22" s="5">
        <v>43.09</v>
      </c>
      <c r="H22" s="5">
        <v>4.3090000000000002</v>
      </c>
      <c r="I22" s="5">
        <v>38.780999999999999</v>
      </c>
      <c r="J22" s="6">
        <f t="shared" si="0"/>
        <v>36.195600000000006</v>
      </c>
      <c r="L22" s="6">
        <f t="shared" si="1"/>
        <v>36.195600000000006</v>
      </c>
    </row>
    <row r="23" spans="1:12" ht="14.4" x14ac:dyDescent="0.3">
      <c r="A23" s="2">
        <v>22</v>
      </c>
      <c r="B23" s="2" t="s">
        <v>47</v>
      </c>
      <c r="C23" s="2" t="s">
        <v>48</v>
      </c>
      <c r="D23" s="2">
        <v>803363425</v>
      </c>
      <c r="E23" s="2" t="s">
        <v>24</v>
      </c>
      <c r="F23" s="3">
        <v>45724</v>
      </c>
      <c r="G23" s="5">
        <v>15.49</v>
      </c>
      <c r="H23" s="5">
        <v>1.5489999999999999</v>
      </c>
      <c r="I23" s="5">
        <v>13.941000000000001</v>
      </c>
      <c r="J23" s="6">
        <f t="shared" si="0"/>
        <v>13.0116</v>
      </c>
      <c r="L23" s="6">
        <f t="shared" si="1"/>
        <v>13.0116</v>
      </c>
    </row>
    <row r="24" spans="1:12" ht="14.4" x14ac:dyDescent="0.3">
      <c r="A24" s="2">
        <v>23</v>
      </c>
      <c r="B24" s="2" t="s">
        <v>49</v>
      </c>
      <c r="C24" s="2" t="s">
        <v>50</v>
      </c>
      <c r="D24" s="2">
        <v>803363422</v>
      </c>
      <c r="E24" s="2" t="s">
        <v>10</v>
      </c>
      <c r="F24" s="3">
        <v>45724</v>
      </c>
      <c r="G24" s="5">
        <v>17.29</v>
      </c>
      <c r="H24" s="5">
        <v>1.7290000000000001</v>
      </c>
      <c r="I24" s="5">
        <v>15.561</v>
      </c>
      <c r="J24" s="6">
        <f t="shared" si="0"/>
        <v>14.523599999999998</v>
      </c>
      <c r="L24" s="6">
        <f t="shared" si="1"/>
        <v>14.523599999999998</v>
      </c>
    </row>
    <row r="25" spans="1:12" ht="14.4" x14ac:dyDescent="0.3">
      <c r="A25" s="2">
        <v>24</v>
      </c>
      <c r="B25" s="2">
        <v>271781</v>
      </c>
      <c r="C25" s="2" t="s">
        <v>51</v>
      </c>
      <c r="D25" s="2">
        <v>803363929</v>
      </c>
      <c r="E25" s="2" t="s">
        <v>10</v>
      </c>
      <c r="F25" s="3">
        <v>45725</v>
      </c>
      <c r="G25" s="5">
        <v>12.06</v>
      </c>
      <c r="H25" s="5">
        <v>1.206</v>
      </c>
      <c r="I25" s="5">
        <v>10.853999999999999</v>
      </c>
      <c r="J25" s="6">
        <f t="shared" si="0"/>
        <v>10.1304</v>
      </c>
      <c r="L25" s="6">
        <f t="shared" si="1"/>
        <v>10.1304</v>
      </c>
    </row>
    <row r="26" spans="1:12" ht="14.4" x14ac:dyDescent="0.3">
      <c r="A26" s="2">
        <v>25</v>
      </c>
      <c r="B26" s="2">
        <v>230798</v>
      </c>
      <c r="C26" s="2" t="s">
        <v>40</v>
      </c>
      <c r="D26" s="2">
        <v>803363989</v>
      </c>
      <c r="E26" s="2" t="s">
        <v>24</v>
      </c>
      <c r="F26" s="3">
        <v>45725</v>
      </c>
      <c r="G26" s="5">
        <v>8.31</v>
      </c>
      <c r="H26" s="5">
        <v>0.83099999999999996</v>
      </c>
      <c r="I26" s="5">
        <v>7.4790000000000001</v>
      </c>
      <c r="J26" s="6">
        <f t="shared" si="0"/>
        <v>6.9803999999999995</v>
      </c>
      <c r="L26" s="6">
        <f t="shared" si="1"/>
        <v>6.9803999999999995</v>
      </c>
    </row>
    <row r="27" spans="1:12" ht="14.4" x14ac:dyDescent="0.3">
      <c r="A27" s="2">
        <v>26</v>
      </c>
      <c r="B27" s="2">
        <v>239081</v>
      </c>
      <c r="C27" s="2" t="s">
        <v>52</v>
      </c>
      <c r="D27" s="2">
        <v>803363924</v>
      </c>
      <c r="E27" s="2" t="s">
        <v>10</v>
      </c>
      <c r="F27" s="3">
        <v>45725</v>
      </c>
      <c r="G27" s="5">
        <v>16.61</v>
      </c>
      <c r="H27" s="5">
        <v>1.661</v>
      </c>
      <c r="I27" s="5">
        <v>14.949</v>
      </c>
      <c r="J27" s="6">
        <f t="shared" si="0"/>
        <v>13.952399999999999</v>
      </c>
      <c r="L27" s="6">
        <f t="shared" si="1"/>
        <v>13.952399999999999</v>
      </c>
    </row>
    <row r="28" spans="1:12" ht="14.4" x14ac:dyDescent="0.3">
      <c r="A28" s="2">
        <v>27</v>
      </c>
      <c r="B28" s="2" t="s">
        <v>53</v>
      </c>
      <c r="C28" s="2" t="s">
        <v>54</v>
      </c>
      <c r="D28" s="2">
        <v>803364366</v>
      </c>
      <c r="E28" s="2" t="s">
        <v>24</v>
      </c>
      <c r="F28" s="3">
        <v>45726</v>
      </c>
      <c r="G28" s="5">
        <v>33.130000000000003</v>
      </c>
      <c r="H28" s="5">
        <v>3.3130000000000002</v>
      </c>
      <c r="I28" s="5">
        <v>29.817</v>
      </c>
      <c r="J28" s="6">
        <f t="shared" si="0"/>
        <v>27.8292</v>
      </c>
      <c r="L28" s="6">
        <f t="shared" si="1"/>
        <v>27.8292</v>
      </c>
    </row>
    <row r="29" spans="1:12" ht="14.4" x14ac:dyDescent="0.3">
      <c r="A29" s="2">
        <v>1</v>
      </c>
      <c r="B29" s="2">
        <v>287344</v>
      </c>
      <c r="C29" s="2" t="s">
        <v>198</v>
      </c>
      <c r="D29" s="2">
        <v>803364566</v>
      </c>
      <c r="E29" s="2" t="s">
        <v>24</v>
      </c>
      <c r="F29" s="3">
        <v>45727</v>
      </c>
      <c r="G29" s="2">
        <v>21.21</v>
      </c>
      <c r="H29" s="2">
        <v>0</v>
      </c>
      <c r="I29" s="2">
        <v>21.21</v>
      </c>
      <c r="J29" s="6">
        <f t="shared" si="0"/>
        <v>19.9374</v>
      </c>
      <c r="K29"/>
      <c r="L29" s="6">
        <f t="shared" si="1"/>
        <v>19.9374</v>
      </c>
    </row>
    <row r="30" spans="1:12" ht="14.4" x14ac:dyDescent="0.3">
      <c r="A30" s="2">
        <v>28</v>
      </c>
      <c r="B30" s="2">
        <v>287184</v>
      </c>
      <c r="C30" s="2" t="s">
        <v>34</v>
      </c>
      <c r="D30" s="2">
        <v>803365338</v>
      </c>
      <c r="E30" s="2" t="s">
        <v>10</v>
      </c>
      <c r="F30" s="3">
        <v>45730</v>
      </c>
      <c r="G30" s="5">
        <v>15.18</v>
      </c>
      <c r="H30" s="5">
        <v>0</v>
      </c>
      <c r="I30" s="5">
        <v>15.18</v>
      </c>
      <c r="J30" s="6">
        <f t="shared" si="0"/>
        <v>14.2692</v>
      </c>
      <c r="L30" s="6">
        <f t="shared" si="1"/>
        <v>14.2692</v>
      </c>
    </row>
    <row r="31" spans="1:12" ht="14.4" x14ac:dyDescent="0.3">
      <c r="A31" s="2">
        <v>29</v>
      </c>
      <c r="B31" s="2" t="s">
        <v>55</v>
      </c>
      <c r="C31" s="2" t="s">
        <v>56</v>
      </c>
      <c r="D31" s="2">
        <v>803365425</v>
      </c>
      <c r="E31" s="2" t="s">
        <v>10</v>
      </c>
      <c r="F31" s="3">
        <v>45731</v>
      </c>
      <c r="G31" s="5">
        <v>14.56</v>
      </c>
      <c r="H31" s="5">
        <v>1.456</v>
      </c>
      <c r="I31" s="5">
        <v>13.103999999999999</v>
      </c>
      <c r="J31" s="6">
        <f t="shared" si="0"/>
        <v>12.230399999999999</v>
      </c>
      <c r="L31" s="6">
        <f t="shared" si="1"/>
        <v>12.230399999999999</v>
      </c>
    </row>
    <row r="32" spans="1:12" ht="14.4" x14ac:dyDescent="0.3">
      <c r="A32" s="2">
        <v>30</v>
      </c>
      <c r="B32" s="2" t="s">
        <v>57</v>
      </c>
      <c r="C32" s="2" t="s">
        <v>58</v>
      </c>
      <c r="D32" s="2">
        <v>803365979</v>
      </c>
      <c r="E32" s="2" t="s">
        <v>24</v>
      </c>
      <c r="F32" s="3">
        <v>45732</v>
      </c>
      <c r="G32" s="5">
        <v>33.01</v>
      </c>
      <c r="H32" s="5">
        <v>6.6020000000000003</v>
      </c>
      <c r="I32" s="5">
        <v>26.408000000000001</v>
      </c>
      <c r="J32" s="6">
        <f t="shared" si="0"/>
        <v>24.427399999999995</v>
      </c>
      <c r="L32" s="6">
        <f t="shared" si="1"/>
        <v>24.427399999999995</v>
      </c>
    </row>
    <row r="33" spans="1:12" ht="14.4" x14ac:dyDescent="0.3">
      <c r="A33" s="2">
        <v>31</v>
      </c>
      <c r="B33" s="2" t="s">
        <v>37</v>
      </c>
      <c r="C33" s="2" t="s">
        <v>59</v>
      </c>
      <c r="D33" s="2">
        <v>803369034</v>
      </c>
      <c r="E33" s="2" t="s">
        <v>10</v>
      </c>
      <c r="F33" s="3">
        <v>45740</v>
      </c>
      <c r="G33" s="5">
        <v>41.99</v>
      </c>
      <c r="H33" s="5">
        <v>4.1989999999999998</v>
      </c>
      <c r="I33" s="5">
        <v>37.790999999999997</v>
      </c>
      <c r="J33" s="6">
        <f t="shared" si="0"/>
        <v>35.271599999999999</v>
      </c>
      <c r="L33" s="6">
        <f t="shared" si="1"/>
        <v>35.271599999999999</v>
      </c>
    </row>
    <row r="34" spans="1:12" ht="14.4" x14ac:dyDescent="0.3">
      <c r="A34" s="2">
        <v>32</v>
      </c>
      <c r="B34" s="2" t="s">
        <v>60</v>
      </c>
      <c r="C34" s="2" t="s">
        <v>61</v>
      </c>
      <c r="D34" s="2">
        <v>803369265</v>
      </c>
      <c r="E34" s="2" t="s">
        <v>10</v>
      </c>
      <c r="F34" s="3">
        <v>45741</v>
      </c>
      <c r="G34" s="5">
        <v>25.15</v>
      </c>
      <c r="H34" s="5">
        <v>2.5150000000000001</v>
      </c>
      <c r="I34" s="5">
        <v>22.635000000000002</v>
      </c>
      <c r="J34" s="6">
        <f t="shared" ref="J34:J65" si="2">G34*0.94-H34</f>
        <v>21.125999999999998</v>
      </c>
      <c r="L34" s="6">
        <f t="shared" ref="L34:L65" si="3">J34-K34</f>
        <v>21.125999999999998</v>
      </c>
    </row>
    <row r="35" spans="1:12" ht="14.4" x14ac:dyDescent="0.3">
      <c r="A35" s="2">
        <v>33</v>
      </c>
      <c r="B35" s="2" t="s">
        <v>62</v>
      </c>
      <c r="C35" s="2" t="s">
        <v>63</v>
      </c>
      <c r="D35" s="2">
        <v>803369260</v>
      </c>
      <c r="E35" s="2" t="s">
        <v>10</v>
      </c>
      <c r="F35" s="3">
        <v>45741</v>
      </c>
      <c r="G35" s="5">
        <v>28.27</v>
      </c>
      <c r="H35" s="5">
        <v>2.827</v>
      </c>
      <c r="I35" s="5">
        <v>25.443000000000001</v>
      </c>
      <c r="J35" s="6">
        <f t="shared" si="2"/>
        <v>23.7468</v>
      </c>
      <c r="L35" s="6">
        <f t="shared" si="3"/>
        <v>23.7468</v>
      </c>
    </row>
    <row r="36" spans="1:12" ht="14.4" x14ac:dyDescent="0.3">
      <c r="A36" s="2">
        <v>34</v>
      </c>
      <c r="B36" s="2" t="s">
        <v>64</v>
      </c>
      <c r="C36" s="2" t="s">
        <v>65</v>
      </c>
      <c r="D36" s="2">
        <v>803374177</v>
      </c>
      <c r="E36" s="2" t="s">
        <v>10</v>
      </c>
      <c r="F36" s="3">
        <v>45746</v>
      </c>
      <c r="G36" s="5">
        <v>27.54</v>
      </c>
      <c r="H36" s="5">
        <v>0</v>
      </c>
      <c r="I36" s="5">
        <v>27.54</v>
      </c>
      <c r="J36" s="6">
        <f t="shared" si="2"/>
        <v>25.887599999999999</v>
      </c>
      <c r="L36" s="6">
        <f t="shared" si="3"/>
        <v>25.887599999999999</v>
      </c>
    </row>
    <row r="37" spans="1:12" ht="14.4" x14ac:dyDescent="0.3">
      <c r="A37" s="2">
        <v>35</v>
      </c>
      <c r="B37" s="2" t="s">
        <v>15</v>
      </c>
      <c r="C37" s="2" t="s">
        <v>66</v>
      </c>
      <c r="D37" s="2">
        <v>803374476</v>
      </c>
      <c r="E37" s="2" t="s">
        <v>10</v>
      </c>
      <c r="F37" s="3">
        <v>45749</v>
      </c>
      <c r="G37" s="5">
        <v>17.7</v>
      </c>
      <c r="H37" s="5">
        <v>0</v>
      </c>
      <c r="I37" s="5">
        <v>17.7</v>
      </c>
      <c r="J37" s="6">
        <f t="shared" si="2"/>
        <v>16.637999999999998</v>
      </c>
      <c r="L37" s="6">
        <f t="shared" si="3"/>
        <v>16.637999999999998</v>
      </c>
    </row>
    <row r="38" spans="1:12" ht="14.4" x14ac:dyDescent="0.3">
      <c r="A38" s="2">
        <v>36</v>
      </c>
      <c r="B38" s="2" t="s">
        <v>67</v>
      </c>
      <c r="C38" s="2" t="s">
        <v>68</v>
      </c>
      <c r="D38" s="2">
        <v>803374474</v>
      </c>
      <c r="E38" s="2" t="s">
        <v>10</v>
      </c>
      <c r="F38" s="3">
        <v>45749</v>
      </c>
      <c r="G38" s="5">
        <v>50.31</v>
      </c>
      <c r="H38" s="5">
        <v>0</v>
      </c>
      <c r="I38" s="5">
        <v>50.31</v>
      </c>
      <c r="J38" s="6">
        <f t="shared" si="2"/>
        <v>47.291400000000003</v>
      </c>
      <c r="L38" s="6">
        <f t="shared" si="3"/>
        <v>47.291400000000003</v>
      </c>
    </row>
    <row r="39" spans="1:12" ht="14.4" x14ac:dyDescent="0.3">
      <c r="A39" s="2">
        <v>37</v>
      </c>
      <c r="B39" s="2" t="s">
        <v>69</v>
      </c>
      <c r="C39" s="2" t="s">
        <v>51</v>
      </c>
      <c r="D39" s="2">
        <v>803374823</v>
      </c>
      <c r="E39" s="2" t="s">
        <v>10</v>
      </c>
      <c r="F39" s="3">
        <v>45751</v>
      </c>
      <c r="G39" s="5">
        <v>43.57</v>
      </c>
      <c r="H39" s="5">
        <v>4.3570000000000002</v>
      </c>
      <c r="I39" s="5">
        <v>39.213000000000001</v>
      </c>
      <c r="J39" s="6">
        <f t="shared" si="2"/>
        <v>36.598799999999997</v>
      </c>
      <c r="L39" s="6">
        <f t="shared" si="3"/>
        <v>36.598799999999997</v>
      </c>
    </row>
    <row r="40" spans="1:12" ht="14.4" x14ac:dyDescent="0.3">
      <c r="A40" s="2">
        <v>38</v>
      </c>
      <c r="B40" s="2" t="s">
        <v>70</v>
      </c>
      <c r="C40" s="2" t="s">
        <v>71</v>
      </c>
      <c r="D40" s="2">
        <v>803379394</v>
      </c>
      <c r="E40" s="2" t="s">
        <v>24</v>
      </c>
      <c r="F40" s="3">
        <v>45759</v>
      </c>
      <c r="G40" s="5">
        <v>8.17</v>
      </c>
      <c r="H40" s="5">
        <v>0.81699999999999995</v>
      </c>
      <c r="I40" s="5">
        <v>7.3529999999999998</v>
      </c>
      <c r="J40" s="6">
        <f t="shared" si="2"/>
        <v>6.8627999999999991</v>
      </c>
      <c r="L40" s="6">
        <f t="shared" si="3"/>
        <v>6.8627999999999991</v>
      </c>
    </row>
    <row r="41" spans="1:12" ht="14.4" x14ac:dyDescent="0.3">
      <c r="A41" s="2">
        <v>39</v>
      </c>
      <c r="B41" s="2" t="s">
        <v>72</v>
      </c>
      <c r="C41" s="2" t="s">
        <v>73</v>
      </c>
      <c r="D41" s="2">
        <v>803382234</v>
      </c>
      <c r="E41" s="2" t="s">
        <v>10</v>
      </c>
      <c r="F41" s="3">
        <v>45766</v>
      </c>
      <c r="G41" s="5">
        <v>41.76</v>
      </c>
      <c r="H41" s="5">
        <v>4.1760000000000002</v>
      </c>
      <c r="I41" s="5">
        <v>37.584000000000003</v>
      </c>
      <c r="J41" s="6">
        <f t="shared" si="2"/>
        <v>35.078399999999995</v>
      </c>
      <c r="L41" s="6">
        <f t="shared" si="3"/>
        <v>35.078399999999995</v>
      </c>
    </row>
    <row r="42" spans="1:12" ht="14.4" x14ac:dyDescent="0.3">
      <c r="A42" s="2">
        <v>40</v>
      </c>
      <c r="B42" s="2" t="s">
        <v>69</v>
      </c>
      <c r="C42" s="2" t="s">
        <v>51</v>
      </c>
      <c r="D42" s="2">
        <v>803384272</v>
      </c>
      <c r="E42" s="2" t="s">
        <v>10</v>
      </c>
      <c r="F42" s="3">
        <v>45768</v>
      </c>
      <c r="G42" s="5">
        <v>16.8</v>
      </c>
      <c r="H42" s="5">
        <v>1.68</v>
      </c>
      <c r="I42" s="5">
        <v>15.12</v>
      </c>
      <c r="J42" s="6">
        <f t="shared" si="2"/>
        <v>14.112</v>
      </c>
      <c r="L42" s="6">
        <f t="shared" si="3"/>
        <v>14.112</v>
      </c>
    </row>
    <row r="43" spans="1:12" ht="14.4" x14ac:dyDescent="0.3">
      <c r="A43" s="2">
        <v>2</v>
      </c>
      <c r="B43" s="2">
        <v>329206</v>
      </c>
      <c r="C43" s="2" t="s">
        <v>197</v>
      </c>
      <c r="D43" s="2">
        <v>803385384</v>
      </c>
      <c r="E43" s="2" t="s">
        <v>24</v>
      </c>
      <c r="F43" s="3">
        <v>45769</v>
      </c>
      <c r="G43" s="2">
        <v>3.12</v>
      </c>
      <c r="H43" s="2">
        <v>0.624</v>
      </c>
      <c r="I43" s="2">
        <v>2.496</v>
      </c>
      <c r="J43" s="6">
        <f t="shared" si="2"/>
        <v>2.3087999999999997</v>
      </c>
      <c r="K43"/>
      <c r="L43" s="6">
        <f t="shared" si="3"/>
        <v>2.3087999999999997</v>
      </c>
    </row>
    <row r="44" spans="1:12" ht="14.4" x14ac:dyDescent="0.3">
      <c r="A44" s="2">
        <v>41</v>
      </c>
      <c r="B44" s="2" t="s">
        <v>74</v>
      </c>
      <c r="C44" s="2" t="s">
        <v>75</v>
      </c>
      <c r="D44" s="2">
        <v>803385793</v>
      </c>
      <c r="E44" s="2" t="s">
        <v>10</v>
      </c>
      <c r="F44" s="3">
        <v>45770</v>
      </c>
      <c r="G44" s="5">
        <v>8.41</v>
      </c>
      <c r="H44" s="5">
        <v>0.84099999999999997</v>
      </c>
      <c r="I44" s="5">
        <v>7.569</v>
      </c>
      <c r="J44" s="6">
        <f t="shared" si="2"/>
        <v>7.0643999999999991</v>
      </c>
      <c r="L44" s="6">
        <f t="shared" si="3"/>
        <v>7.0643999999999991</v>
      </c>
    </row>
    <row r="45" spans="1:12" ht="14.4" x14ac:dyDescent="0.3">
      <c r="A45" s="2">
        <v>42</v>
      </c>
      <c r="B45" s="2" t="s">
        <v>33</v>
      </c>
      <c r="C45" s="2" t="s">
        <v>34</v>
      </c>
      <c r="D45" s="2">
        <v>803386081</v>
      </c>
      <c r="E45" s="2" t="s">
        <v>10</v>
      </c>
      <c r="F45" s="3">
        <v>45771</v>
      </c>
      <c r="G45" s="5">
        <v>52.25</v>
      </c>
      <c r="H45" s="5">
        <v>0</v>
      </c>
      <c r="I45" s="5">
        <v>52.25</v>
      </c>
      <c r="J45" s="6">
        <f t="shared" si="2"/>
        <v>49.114999999999995</v>
      </c>
      <c r="L45" s="6">
        <f t="shared" si="3"/>
        <v>49.114999999999995</v>
      </c>
    </row>
    <row r="46" spans="1:12" ht="14.4" x14ac:dyDescent="0.3">
      <c r="A46" s="2">
        <v>43</v>
      </c>
      <c r="B46" s="2" t="s">
        <v>76</v>
      </c>
      <c r="C46" s="2" t="s">
        <v>77</v>
      </c>
      <c r="D46" s="2">
        <v>803387044</v>
      </c>
      <c r="E46" s="2" t="s">
        <v>10</v>
      </c>
      <c r="F46" s="3">
        <v>45774</v>
      </c>
      <c r="G46" s="5">
        <v>13.28</v>
      </c>
      <c r="H46" s="5">
        <v>1.3280000000000001</v>
      </c>
      <c r="I46" s="5">
        <v>11.952</v>
      </c>
      <c r="J46" s="6">
        <f t="shared" si="2"/>
        <v>11.155199999999999</v>
      </c>
      <c r="L46" s="6">
        <f t="shared" si="3"/>
        <v>11.155199999999999</v>
      </c>
    </row>
    <row r="47" spans="1:12" ht="14.4" x14ac:dyDescent="0.3">
      <c r="A47" s="2">
        <v>44</v>
      </c>
      <c r="B47" s="2">
        <v>306288</v>
      </c>
      <c r="C47" s="2" t="s">
        <v>78</v>
      </c>
      <c r="D47" s="2">
        <v>803387663</v>
      </c>
      <c r="E47" s="2" t="s">
        <v>10</v>
      </c>
      <c r="F47" s="3">
        <v>45775</v>
      </c>
      <c r="G47" s="5">
        <v>26.56</v>
      </c>
      <c r="H47" s="5">
        <v>2.6560000000000001</v>
      </c>
      <c r="I47" s="5">
        <v>23.904</v>
      </c>
      <c r="J47" s="6">
        <f t="shared" si="2"/>
        <v>22.310399999999998</v>
      </c>
      <c r="L47" s="6">
        <f t="shared" si="3"/>
        <v>22.310399999999998</v>
      </c>
    </row>
    <row r="48" spans="1:12" ht="14.4" x14ac:dyDescent="0.3">
      <c r="A48" s="2">
        <v>3</v>
      </c>
      <c r="B48" s="2">
        <v>231981</v>
      </c>
      <c r="C48" s="2" t="s">
        <v>196</v>
      </c>
      <c r="D48" s="2">
        <v>803386983</v>
      </c>
      <c r="E48" s="2" t="s">
        <v>24</v>
      </c>
      <c r="F48" s="3">
        <v>45776</v>
      </c>
      <c r="G48" s="2">
        <v>21.99</v>
      </c>
      <c r="H48" s="2">
        <v>2.1989999999999998</v>
      </c>
      <c r="I48" s="2">
        <v>19.791</v>
      </c>
      <c r="J48" s="6">
        <f t="shared" si="2"/>
        <v>18.471599999999995</v>
      </c>
      <c r="K48"/>
      <c r="L48" s="6">
        <f t="shared" si="3"/>
        <v>18.471599999999995</v>
      </c>
    </row>
    <row r="49" spans="1:12" ht="14.4" x14ac:dyDescent="0.3">
      <c r="A49" s="2">
        <v>45</v>
      </c>
      <c r="B49" s="2" t="s">
        <v>79</v>
      </c>
      <c r="C49" s="2" t="s">
        <v>80</v>
      </c>
      <c r="D49" s="2">
        <v>803391308</v>
      </c>
      <c r="E49" s="2" t="s">
        <v>24</v>
      </c>
      <c r="F49" s="3">
        <v>45777</v>
      </c>
      <c r="G49" s="5">
        <v>24.41</v>
      </c>
      <c r="H49" s="5">
        <v>2.4409999999999998</v>
      </c>
      <c r="I49" s="5">
        <v>21.969000000000001</v>
      </c>
      <c r="J49" s="6">
        <f t="shared" si="2"/>
        <v>20.5044</v>
      </c>
      <c r="L49" s="6">
        <f t="shared" si="3"/>
        <v>20.5044</v>
      </c>
    </row>
    <row r="50" spans="1:12" ht="14.4" x14ac:dyDescent="0.3">
      <c r="A50" s="2">
        <v>46</v>
      </c>
      <c r="B50" s="2" t="s">
        <v>81</v>
      </c>
      <c r="C50" s="2" t="s">
        <v>82</v>
      </c>
      <c r="D50" s="2">
        <v>803391322</v>
      </c>
      <c r="E50" s="2" t="s">
        <v>10</v>
      </c>
      <c r="F50" s="3">
        <v>45777</v>
      </c>
      <c r="G50" s="5">
        <v>24.2</v>
      </c>
      <c r="H50" s="5">
        <v>2.42</v>
      </c>
      <c r="I50" s="5">
        <v>21.78</v>
      </c>
      <c r="J50" s="6">
        <f t="shared" si="2"/>
        <v>20.327999999999996</v>
      </c>
      <c r="L50" s="6">
        <f t="shared" si="3"/>
        <v>20.327999999999996</v>
      </c>
    </row>
    <row r="51" spans="1:12" ht="14.4" x14ac:dyDescent="0.3">
      <c r="A51" s="2">
        <v>47</v>
      </c>
      <c r="B51" s="2" t="s">
        <v>83</v>
      </c>
      <c r="C51" s="2" t="s">
        <v>84</v>
      </c>
      <c r="D51" s="2">
        <v>803391327</v>
      </c>
      <c r="E51" s="2" t="s">
        <v>10</v>
      </c>
      <c r="F51" s="3">
        <v>45777</v>
      </c>
      <c r="G51" s="5">
        <v>22.02</v>
      </c>
      <c r="H51" s="5">
        <v>2.202</v>
      </c>
      <c r="I51" s="5">
        <v>19.818000000000001</v>
      </c>
      <c r="J51" s="6">
        <f t="shared" si="2"/>
        <v>18.4968</v>
      </c>
      <c r="L51" s="6">
        <f t="shared" si="3"/>
        <v>18.4968</v>
      </c>
    </row>
    <row r="52" spans="1:12" ht="14.4" x14ac:dyDescent="0.3">
      <c r="A52" s="2">
        <v>48</v>
      </c>
      <c r="B52" s="2" t="s">
        <v>85</v>
      </c>
      <c r="C52" s="2" t="s">
        <v>86</v>
      </c>
      <c r="D52" s="2">
        <v>803391529</v>
      </c>
      <c r="E52" s="2" t="s">
        <v>24</v>
      </c>
      <c r="F52" s="3">
        <v>45778</v>
      </c>
      <c r="G52" s="5">
        <v>21.45</v>
      </c>
      <c r="H52" s="5">
        <v>2.145</v>
      </c>
      <c r="I52" s="5">
        <v>19.305</v>
      </c>
      <c r="J52" s="6">
        <f t="shared" si="2"/>
        <v>18.017999999999997</v>
      </c>
      <c r="L52" s="6">
        <f t="shared" si="3"/>
        <v>18.017999999999997</v>
      </c>
    </row>
    <row r="53" spans="1:12" ht="14.4" x14ac:dyDescent="0.3">
      <c r="A53" s="2">
        <v>49</v>
      </c>
      <c r="B53" s="2" t="s">
        <v>43</v>
      </c>
      <c r="C53" s="2" t="s">
        <v>87</v>
      </c>
      <c r="D53" s="2">
        <v>803396441</v>
      </c>
      <c r="E53" s="2" t="s">
        <v>10</v>
      </c>
      <c r="F53" s="3">
        <v>45792</v>
      </c>
      <c r="G53" s="5">
        <v>14.41</v>
      </c>
      <c r="H53" s="5">
        <v>1.4410000000000001</v>
      </c>
      <c r="I53" s="5">
        <v>12.968999999999999</v>
      </c>
      <c r="J53" s="6">
        <f t="shared" si="2"/>
        <v>12.104399999999998</v>
      </c>
      <c r="L53" s="6">
        <f t="shared" si="3"/>
        <v>12.104399999999998</v>
      </c>
    </row>
    <row r="54" spans="1:12" ht="14.4" x14ac:dyDescent="0.3">
      <c r="A54" s="2">
        <v>50</v>
      </c>
      <c r="B54" s="2">
        <v>307697</v>
      </c>
      <c r="C54" s="2" t="s">
        <v>88</v>
      </c>
      <c r="D54" s="2">
        <v>803396861</v>
      </c>
      <c r="E54" s="2" t="s">
        <v>10</v>
      </c>
      <c r="F54" s="3">
        <v>45794</v>
      </c>
      <c r="G54" s="5">
        <v>31.24</v>
      </c>
      <c r="H54" s="5">
        <v>3.1240000000000001</v>
      </c>
      <c r="I54" s="5">
        <v>28.116</v>
      </c>
      <c r="J54" s="6">
        <f t="shared" si="2"/>
        <v>26.241599999999998</v>
      </c>
      <c r="L54" s="6">
        <f t="shared" si="3"/>
        <v>26.241599999999998</v>
      </c>
    </row>
    <row r="55" spans="1:12" ht="14.4" x14ac:dyDescent="0.3">
      <c r="A55" s="2">
        <v>51</v>
      </c>
      <c r="B55" s="2">
        <v>231966</v>
      </c>
      <c r="C55" s="2" t="s">
        <v>89</v>
      </c>
      <c r="D55" s="2">
        <v>803396862</v>
      </c>
      <c r="E55" s="2" t="s">
        <v>10</v>
      </c>
      <c r="F55" s="3">
        <v>45794</v>
      </c>
      <c r="G55" s="5">
        <v>24.75</v>
      </c>
      <c r="H55" s="5">
        <v>2.4750000000000001</v>
      </c>
      <c r="I55" s="5">
        <v>22.274999999999999</v>
      </c>
      <c r="J55" s="6">
        <f t="shared" si="2"/>
        <v>20.789999999999996</v>
      </c>
      <c r="L55" s="6">
        <f t="shared" si="3"/>
        <v>20.789999999999996</v>
      </c>
    </row>
    <row r="56" spans="1:12" ht="14.4" x14ac:dyDescent="0.3">
      <c r="A56" s="2">
        <v>52</v>
      </c>
      <c r="B56" s="2">
        <v>230886</v>
      </c>
      <c r="C56" s="2" t="s">
        <v>80</v>
      </c>
      <c r="D56" s="2">
        <v>803396859</v>
      </c>
      <c r="E56" s="2" t="s">
        <v>24</v>
      </c>
      <c r="F56" s="3">
        <v>45794</v>
      </c>
      <c r="G56" s="5">
        <v>43.62</v>
      </c>
      <c r="H56" s="5">
        <v>4.3620000000000001</v>
      </c>
      <c r="I56" s="5">
        <v>39.258000000000003</v>
      </c>
      <c r="J56" s="6">
        <f t="shared" si="2"/>
        <v>36.640799999999992</v>
      </c>
      <c r="L56" s="6">
        <f t="shared" si="3"/>
        <v>36.640799999999992</v>
      </c>
    </row>
    <row r="57" spans="1:12" ht="14.4" x14ac:dyDescent="0.3">
      <c r="A57" s="2">
        <v>53</v>
      </c>
      <c r="B57" s="2" t="s">
        <v>90</v>
      </c>
      <c r="C57" s="2" t="s">
        <v>91</v>
      </c>
      <c r="D57" s="2">
        <v>803399350</v>
      </c>
      <c r="E57" s="2" t="s">
        <v>10</v>
      </c>
      <c r="F57" s="3">
        <v>45795</v>
      </c>
      <c r="G57" s="5">
        <v>26.16</v>
      </c>
      <c r="H57" s="5">
        <v>2.6160000000000001</v>
      </c>
      <c r="I57" s="5">
        <v>23.544</v>
      </c>
      <c r="J57" s="6">
        <f t="shared" si="2"/>
        <v>21.974399999999999</v>
      </c>
      <c r="L57" s="6">
        <f t="shared" si="3"/>
        <v>21.974399999999999</v>
      </c>
    </row>
    <row r="58" spans="1:12" ht="14.4" x14ac:dyDescent="0.3">
      <c r="A58" s="2">
        <v>54</v>
      </c>
      <c r="B58" s="2" t="s">
        <v>76</v>
      </c>
      <c r="C58" s="2" t="s">
        <v>77</v>
      </c>
      <c r="D58" s="2">
        <v>803408915</v>
      </c>
      <c r="E58" s="2" t="s">
        <v>10</v>
      </c>
      <c r="F58" s="3">
        <v>45818</v>
      </c>
      <c r="G58" s="5">
        <v>31.42</v>
      </c>
      <c r="H58" s="5">
        <v>3.1419999999999999</v>
      </c>
      <c r="I58" s="5">
        <v>28.277999999999999</v>
      </c>
      <c r="J58" s="6">
        <f t="shared" si="2"/>
        <v>26.392800000000001</v>
      </c>
      <c r="L58" s="6">
        <f t="shared" si="3"/>
        <v>26.392800000000001</v>
      </c>
    </row>
    <row r="59" spans="1:12" ht="14.4" x14ac:dyDescent="0.3">
      <c r="A59" s="2">
        <v>55</v>
      </c>
      <c r="B59" s="2" t="s">
        <v>83</v>
      </c>
      <c r="C59" s="2" t="s">
        <v>92</v>
      </c>
      <c r="D59" s="2">
        <v>803408914</v>
      </c>
      <c r="E59" s="2" t="s">
        <v>10</v>
      </c>
      <c r="F59" s="3">
        <v>45818</v>
      </c>
      <c r="G59" s="5">
        <v>22.59</v>
      </c>
      <c r="H59" s="5">
        <v>2.2589999999999999</v>
      </c>
      <c r="I59" s="5">
        <v>20.331</v>
      </c>
      <c r="J59" s="6">
        <f t="shared" si="2"/>
        <v>18.9756</v>
      </c>
      <c r="L59" s="6">
        <f t="shared" si="3"/>
        <v>18.9756</v>
      </c>
    </row>
    <row r="60" spans="1:12" ht="14.4" x14ac:dyDescent="0.3">
      <c r="A60" s="2">
        <v>56</v>
      </c>
      <c r="B60" s="2" t="s">
        <v>31</v>
      </c>
      <c r="C60" s="2" t="s">
        <v>32</v>
      </c>
      <c r="D60" s="2">
        <v>803409630</v>
      </c>
      <c r="E60" s="2" t="s">
        <v>10</v>
      </c>
      <c r="F60" s="3">
        <v>45822</v>
      </c>
      <c r="G60" s="5">
        <v>60.18</v>
      </c>
      <c r="H60" s="5">
        <v>6.0179999999999998</v>
      </c>
      <c r="I60" s="5">
        <v>54.161999999999999</v>
      </c>
      <c r="J60" s="6">
        <f t="shared" si="2"/>
        <v>50.551199999999994</v>
      </c>
      <c r="L60" s="6">
        <f t="shared" si="3"/>
        <v>50.551199999999994</v>
      </c>
    </row>
    <row r="61" spans="1:12" ht="14.4" x14ac:dyDescent="0.3">
      <c r="A61" s="2">
        <v>57</v>
      </c>
      <c r="B61" s="2">
        <v>12727</v>
      </c>
      <c r="C61" s="2" t="s">
        <v>93</v>
      </c>
      <c r="D61" s="2">
        <v>803411346</v>
      </c>
      <c r="E61" s="2" t="s">
        <v>24</v>
      </c>
      <c r="F61" s="3">
        <v>45825</v>
      </c>
      <c r="G61" s="5">
        <v>36.380000000000003</v>
      </c>
      <c r="H61" s="5">
        <v>7.2759999999999998</v>
      </c>
      <c r="I61" s="5">
        <v>29.103999999999999</v>
      </c>
      <c r="J61" s="6">
        <f t="shared" si="2"/>
        <v>26.921200000000002</v>
      </c>
      <c r="L61" s="6">
        <f t="shared" si="3"/>
        <v>26.921200000000002</v>
      </c>
    </row>
    <row r="62" spans="1:12" ht="14.4" x14ac:dyDescent="0.3">
      <c r="A62" s="2">
        <v>58</v>
      </c>
      <c r="B62" s="2" t="s">
        <v>94</v>
      </c>
      <c r="C62" s="2" t="s">
        <v>95</v>
      </c>
      <c r="D62" s="2">
        <v>803411655</v>
      </c>
      <c r="E62" s="2" t="s">
        <v>10</v>
      </c>
      <c r="F62" s="3">
        <v>45830</v>
      </c>
      <c r="G62" s="5">
        <v>33.5</v>
      </c>
      <c r="H62" s="5">
        <v>3.35</v>
      </c>
      <c r="I62" s="5">
        <v>30.15</v>
      </c>
      <c r="J62" s="6">
        <f t="shared" si="2"/>
        <v>28.139999999999997</v>
      </c>
      <c r="L62" s="6">
        <f t="shared" si="3"/>
        <v>28.139999999999997</v>
      </c>
    </row>
    <row r="63" spans="1:12" ht="14.4" x14ac:dyDescent="0.3">
      <c r="A63" s="2">
        <v>59</v>
      </c>
      <c r="B63" s="2" t="s">
        <v>33</v>
      </c>
      <c r="C63" s="2" t="s">
        <v>34</v>
      </c>
      <c r="D63" s="2">
        <v>803412117</v>
      </c>
      <c r="E63" s="2" t="s">
        <v>10</v>
      </c>
      <c r="F63" s="3">
        <v>45831</v>
      </c>
      <c r="G63" s="5">
        <v>10.54</v>
      </c>
      <c r="H63" s="5">
        <v>0</v>
      </c>
      <c r="I63" s="5">
        <v>10.54</v>
      </c>
      <c r="J63" s="6">
        <f t="shared" si="2"/>
        <v>9.9075999999999986</v>
      </c>
      <c r="L63" s="6">
        <f t="shared" si="3"/>
        <v>9.9075999999999986</v>
      </c>
    </row>
    <row r="64" spans="1:12" ht="14.4" x14ac:dyDescent="0.3">
      <c r="A64" s="2">
        <v>60</v>
      </c>
      <c r="B64" s="2" t="s">
        <v>13</v>
      </c>
      <c r="C64" s="2" t="s">
        <v>17</v>
      </c>
      <c r="D64" s="2">
        <v>803413725</v>
      </c>
      <c r="E64" s="2" t="s">
        <v>10</v>
      </c>
      <c r="F64" s="3">
        <v>45833</v>
      </c>
      <c r="G64" s="5">
        <v>34.96</v>
      </c>
      <c r="H64" s="5">
        <v>0</v>
      </c>
      <c r="I64" s="5">
        <v>34.96</v>
      </c>
      <c r="J64" s="6">
        <f t="shared" si="2"/>
        <v>32.862400000000001</v>
      </c>
      <c r="L64" s="6">
        <f t="shared" si="3"/>
        <v>32.862400000000001</v>
      </c>
    </row>
    <row r="65" spans="1:12" ht="14.4" x14ac:dyDescent="0.3">
      <c r="A65" s="2">
        <v>61</v>
      </c>
      <c r="B65" s="2" t="s">
        <v>96</v>
      </c>
      <c r="C65" s="2" t="s">
        <v>97</v>
      </c>
      <c r="D65" s="2">
        <v>803413722</v>
      </c>
      <c r="E65" s="2" t="s">
        <v>10</v>
      </c>
      <c r="F65" s="3">
        <v>45833</v>
      </c>
      <c r="G65" s="5">
        <v>48.64</v>
      </c>
      <c r="H65" s="5">
        <v>0</v>
      </c>
      <c r="I65" s="5">
        <v>48.64</v>
      </c>
      <c r="J65" s="6">
        <f t="shared" si="2"/>
        <v>45.721599999999995</v>
      </c>
      <c r="L65" s="6">
        <f t="shared" si="3"/>
        <v>45.721599999999995</v>
      </c>
    </row>
    <row r="66" spans="1:12" ht="14.4" x14ac:dyDescent="0.3">
      <c r="A66" s="2">
        <v>62</v>
      </c>
      <c r="B66" s="2" t="s">
        <v>83</v>
      </c>
      <c r="C66" s="2" t="s">
        <v>92</v>
      </c>
      <c r="D66" s="2">
        <v>803418190</v>
      </c>
      <c r="E66" s="2" t="s">
        <v>10</v>
      </c>
      <c r="F66" s="3">
        <v>45838</v>
      </c>
      <c r="G66" s="5">
        <v>30.33</v>
      </c>
      <c r="H66" s="5">
        <v>3.0329999999999999</v>
      </c>
      <c r="I66" s="5">
        <v>27.297000000000001</v>
      </c>
      <c r="J66" s="6">
        <f t="shared" ref="J66:J97" si="4">G66*0.94-H66</f>
        <v>25.477199999999996</v>
      </c>
      <c r="L66" s="6">
        <f t="shared" ref="L66:L97" si="5">J66-K66</f>
        <v>25.477199999999996</v>
      </c>
    </row>
    <row r="67" spans="1:12" ht="14.4" x14ac:dyDescent="0.3">
      <c r="A67" s="2">
        <v>63</v>
      </c>
      <c r="B67" s="2" t="s">
        <v>79</v>
      </c>
      <c r="C67" s="2" t="s">
        <v>80</v>
      </c>
      <c r="D67" s="2">
        <v>803418188</v>
      </c>
      <c r="E67" s="2" t="s">
        <v>24</v>
      </c>
      <c r="F67" s="3">
        <v>45838</v>
      </c>
      <c r="G67" s="5">
        <v>54.28</v>
      </c>
      <c r="H67" s="5">
        <v>5.4279999999999999</v>
      </c>
      <c r="I67" s="5">
        <v>48.851999999999997</v>
      </c>
      <c r="J67" s="6">
        <f t="shared" si="4"/>
        <v>45.595199999999998</v>
      </c>
      <c r="L67" s="6">
        <f t="shared" si="5"/>
        <v>45.595199999999998</v>
      </c>
    </row>
    <row r="68" spans="1:12" ht="14.4" x14ac:dyDescent="0.3">
      <c r="A68" s="2">
        <v>64</v>
      </c>
      <c r="B68" s="2">
        <v>230798</v>
      </c>
      <c r="C68" s="2" t="s">
        <v>40</v>
      </c>
      <c r="D68" s="2">
        <v>803418214</v>
      </c>
      <c r="E68" s="2" t="s">
        <v>24</v>
      </c>
      <c r="F68" s="3">
        <v>45838</v>
      </c>
      <c r="G68" s="5">
        <v>9.89</v>
      </c>
      <c r="H68" s="5">
        <v>0.98899999999999999</v>
      </c>
      <c r="I68" s="5">
        <v>8.9009999999999998</v>
      </c>
      <c r="J68" s="6">
        <f t="shared" si="4"/>
        <v>8.307599999999999</v>
      </c>
      <c r="L68" s="6">
        <f t="shared" si="5"/>
        <v>8.307599999999999</v>
      </c>
    </row>
    <row r="69" spans="1:12" ht="14.4" x14ac:dyDescent="0.3">
      <c r="A69" s="2">
        <v>65</v>
      </c>
      <c r="B69" s="2" t="s">
        <v>98</v>
      </c>
      <c r="C69" s="2" t="s">
        <v>99</v>
      </c>
      <c r="D69" s="2">
        <v>803419065</v>
      </c>
      <c r="E69" s="2" t="s">
        <v>24</v>
      </c>
      <c r="F69" s="3">
        <v>45840</v>
      </c>
      <c r="G69" s="5">
        <v>39.21</v>
      </c>
      <c r="H69" s="5">
        <v>7.8419999999999996</v>
      </c>
      <c r="I69" s="5">
        <v>31.367999999999999</v>
      </c>
      <c r="J69" s="6">
        <f t="shared" si="4"/>
        <v>29.0154</v>
      </c>
      <c r="L69" s="6">
        <f t="shared" si="5"/>
        <v>29.0154</v>
      </c>
    </row>
    <row r="70" spans="1:12" ht="14.4" x14ac:dyDescent="0.3">
      <c r="A70" s="2">
        <v>66</v>
      </c>
      <c r="B70" s="2" t="s">
        <v>29</v>
      </c>
      <c r="C70" s="2" t="s">
        <v>30</v>
      </c>
      <c r="D70" s="2">
        <v>803418910</v>
      </c>
      <c r="E70" s="2" t="s">
        <v>10</v>
      </c>
      <c r="F70" s="3">
        <v>45841</v>
      </c>
      <c r="G70" s="5">
        <v>28.31</v>
      </c>
      <c r="H70" s="5">
        <v>5.6619999999999999</v>
      </c>
      <c r="I70" s="5">
        <v>22.648</v>
      </c>
      <c r="J70" s="6">
        <f t="shared" si="4"/>
        <v>20.949399999999997</v>
      </c>
      <c r="L70" s="6">
        <f t="shared" si="5"/>
        <v>20.949399999999997</v>
      </c>
    </row>
    <row r="71" spans="1:12" ht="14.4" x14ac:dyDescent="0.3">
      <c r="A71" s="2">
        <v>4</v>
      </c>
      <c r="B71" s="2">
        <v>329244</v>
      </c>
      <c r="C71" s="2" t="s">
        <v>195</v>
      </c>
      <c r="E71" s="2" t="s">
        <v>24</v>
      </c>
      <c r="F71" s="3">
        <v>45843</v>
      </c>
      <c r="G71" s="2">
        <v>14.63</v>
      </c>
      <c r="H71" s="2">
        <v>2.9260000000000002</v>
      </c>
      <c r="I71" s="2">
        <v>11.704000000000001</v>
      </c>
      <c r="J71" s="6">
        <f t="shared" si="4"/>
        <v>10.8262</v>
      </c>
      <c r="K71"/>
      <c r="L71" s="6">
        <f t="shared" si="5"/>
        <v>10.8262</v>
      </c>
    </row>
    <row r="72" spans="1:12" ht="14.4" x14ac:dyDescent="0.3">
      <c r="A72" s="2">
        <v>67</v>
      </c>
      <c r="B72" s="2" t="s">
        <v>43</v>
      </c>
      <c r="C72" s="2" t="s">
        <v>44</v>
      </c>
      <c r="D72" s="2">
        <v>803426072</v>
      </c>
      <c r="E72" s="2" t="s">
        <v>10</v>
      </c>
      <c r="F72" s="3">
        <v>45861</v>
      </c>
      <c r="G72" s="5">
        <v>8.4700000000000006</v>
      </c>
      <c r="H72" s="5">
        <v>0.84699999999999998</v>
      </c>
      <c r="I72" s="5">
        <v>7.6230000000000002</v>
      </c>
      <c r="J72" s="6">
        <f t="shared" si="4"/>
        <v>7.1148000000000007</v>
      </c>
      <c r="L72" s="6">
        <f t="shared" si="5"/>
        <v>7.1148000000000007</v>
      </c>
    </row>
    <row r="73" spans="1:12" ht="14.4" x14ac:dyDescent="0.3">
      <c r="A73" s="2">
        <v>68</v>
      </c>
      <c r="B73" s="2" t="s">
        <v>33</v>
      </c>
      <c r="C73" s="2" t="s">
        <v>34</v>
      </c>
      <c r="D73" s="2">
        <v>803427616</v>
      </c>
      <c r="E73" s="2" t="s">
        <v>10</v>
      </c>
      <c r="F73" s="3">
        <v>45865</v>
      </c>
      <c r="G73" s="5">
        <v>41.41</v>
      </c>
      <c r="H73" s="5">
        <v>0</v>
      </c>
      <c r="I73" s="5">
        <v>41.41</v>
      </c>
      <c r="J73" s="6">
        <f t="shared" si="4"/>
        <v>38.925399999999996</v>
      </c>
      <c r="L73" s="6">
        <f t="shared" si="5"/>
        <v>38.925399999999996</v>
      </c>
    </row>
    <row r="74" spans="1:12" ht="14.4" x14ac:dyDescent="0.3">
      <c r="A74" s="2">
        <v>69</v>
      </c>
      <c r="B74" s="2" t="s">
        <v>70</v>
      </c>
      <c r="C74" s="2" t="s">
        <v>71</v>
      </c>
      <c r="D74" s="2">
        <v>803427257</v>
      </c>
      <c r="E74" s="2" t="s">
        <v>24</v>
      </c>
      <c r="F74" s="3">
        <v>45867</v>
      </c>
      <c r="G74" s="5">
        <v>37.39</v>
      </c>
      <c r="H74" s="5">
        <v>3.7389999999999999</v>
      </c>
      <c r="I74" s="5">
        <v>33.651000000000003</v>
      </c>
      <c r="J74" s="6">
        <f t="shared" si="4"/>
        <v>31.407599999999999</v>
      </c>
      <c r="L74" s="6">
        <f t="shared" si="5"/>
        <v>31.407599999999999</v>
      </c>
    </row>
    <row r="75" spans="1:12" ht="14.4" x14ac:dyDescent="0.3">
      <c r="A75" s="2">
        <v>70</v>
      </c>
      <c r="B75" s="2" t="s">
        <v>22</v>
      </c>
      <c r="C75" s="2" t="s">
        <v>23</v>
      </c>
      <c r="D75" s="2">
        <v>803434136</v>
      </c>
      <c r="E75" s="2" t="s">
        <v>24</v>
      </c>
      <c r="F75" s="3">
        <v>45877</v>
      </c>
      <c r="G75" s="5">
        <v>25.6</v>
      </c>
      <c r="H75" s="5">
        <v>2.56</v>
      </c>
      <c r="I75" s="5">
        <v>23.04</v>
      </c>
      <c r="J75" s="6">
        <f t="shared" si="4"/>
        <v>21.504000000000001</v>
      </c>
      <c r="L75" s="6">
        <f t="shared" si="5"/>
        <v>21.504000000000001</v>
      </c>
    </row>
    <row r="76" spans="1:12" ht="14.4" x14ac:dyDescent="0.3">
      <c r="A76" s="2">
        <v>71</v>
      </c>
      <c r="B76" s="2" t="s">
        <v>100</v>
      </c>
      <c r="C76" s="2" t="s">
        <v>101</v>
      </c>
      <c r="D76" s="2">
        <v>803435071</v>
      </c>
      <c r="E76" s="2" t="s">
        <v>10</v>
      </c>
      <c r="F76" s="3">
        <v>45880</v>
      </c>
      <c r="G76" s="5">
        <v>38.229999999999997</v>
      </c>
      <c r="H76" s="5">
        <v>7.6459999999999999</v>
      </c>
      <c r="I76" s="5">
        <v>30.584</v>
      </c>
      <c r="J76" s="6">
        <f t="shared" si="4"/>
        <v>28.290199999999992</v>
      </c>
      <c r="L76" s="6">
        <f t="shared" si="5"/>
        <v>28.290199999999992</v>
      </c>
    </row>
    <row r="77" spans="1:12" ht="14.4" x14ac:dyDescent="0.3">
      <c r="A77" s="2">
        <v>72</v>
      </c>
      <c r="B77" s="2" t="s">
        <v>102</v>
      </c>
      <c r="C77" s="2" t="s">
        <v>103</v>
      </c>
      <c r="D77" s="2">
        <v>803435074</v>
      </c>
      <c r="E77" s="2" t="s">
        <v>10</v>
      </c>
      <c r="F77" s="3">
        <v>45880</v>
      </c>
      <c r="G77" s="5">
        <v>40.119999999999997</v>
      </c>
      <c r="H77" s="5">
        <v>8.0239999999999991</v>
      </c>
      <c r="I77" s="5">
        <v>32.095999999999997</v>
      </c>
      <c r="J77" s="6">
        <f t="shared" si="4"/>
        <v>29.688799999999993</v>
      </c>
      <c r="L77" s="6">
        <f t="shared" si="5"/>
        <v>29.688799999999993</v>
      </c>
    </row>
    <row r="78" spans="1:12" ht="14.4" x14ac:dyDescent="0.3">
      <c r="A78" s="2">
        <v>5</v>
      </c>
      <c r="B78" s="2">
        <v>7666500</v>
      </c>
      <c r="C78" s="2" t="s">
        <v>194</v>
      </c>
      <c r="D78" s="2">
        <v>803434208</v>
      </c>
      <c r="E78" s="2" t="s">
        <v>24</v>
      </c>
      <c r="F78" s="3">
        <v>45881</v>
      </c>
      <c r="G78" s="2">
        <v>22.86</v>
      </c>
      <c r="H78" s="2">
        <v>2.286</v>
      </c>
      <c r="I78" s="2">
        <v>20.574000000000002</v>
      </c>
      <c r="J78" s="6">
        <f t="shared" si="4"/>
        <v>19.202399999999997</v>
      </c>
      <c r="K78"/>
      <c r="L78" s="6">
        <f t="shared" si="5"/>
        <v>19.202399999999997</v>
      </c>
    </row>
    <row r="79" spans="1:12" ht="14.4" x14ac:dyDescent="0.3">
      <c r="A79" s="2">
        <v>73</v>
      </c>
      <c r="B79" s="2" t="s">
        <v>90</v>
      </c>
      <c r="C79" s="2" t="s">
        <v>104</v>
      </c>
      <c r="D79" s="2">
        <v>803434622</v>
      </c>
      <c r="E79" s="2" t="s">
        <v>10</v>
      </c>
      <c r="F79" s="3">
        <v>45882</v>
      </c>
      <c r="G79" s="5">
        <v>6.26</v>
      </c>
      <c r="H79" s="5">
        <v>0.626</v>
      </c>
      <c r="I79" s="5">
        <v>5.6340000000000003</v>
      </c>
      <c r="J79" s="6">
        <f t="shared" si="4"/>
        <v>5.2583999999999991</v>
      </c>
      <c r="L79" s="6">
        <f t="shared" si="5"/>
        <v>5.2583999999999991</v>
      </c>
    </row>
    <row r="80" spans="1:12" ht="14.4" x14ac:dyDescent="0.3">
      <c r="A80" s="2">
        <v>74</v>
      </c>
      <c r="B80" s="2" t="s">
        <v>37</v>
      </c>
      <c r="C80" s="2" t="s">
        <v>38</v>
      </c>
      <c r="D80" s="2">
        <v>803436524</v>
      </c>
      <c r="E80" s="2" t="s">
        <v>10</v>
      </c>
      <c r="F80" s="3">
        <v>45886</v>
      </c>
      <c r="G80" s="5">
        <v>22.73</v>
      </c>
      <c r="H80" s="5">
        <v>2.2730000000000001</v>
      </c>
      <c r="I80" s="5">
        <v>20.457000000000001</v>
      </c>
      <c r="J80" s="6">
        <f t="shared" si="4"/>
        <v>19.0932</v>
      </c>
      <c r="L80" s="6">
        <f t="shared" si="5"/>
        <v>19.0932</v>
      </c>
    </row>
    <row r="81" spans="1:12" ht="14.4" x14ac:dyDescent="0.3">
      <c r="A81" s="2">
        <v>75</v>
      </c>
      <c r="B81" s="2" t="s">
        <v>85</v>
      </c>
      <c r="C81" s="2" t="s">
        <v>86</v>
      </c>
      <c r="D81" s="2">
        <v>803439748</v>
      </c>
      <c r="E81" s="2" t="s">
        <v>24</v>
      </c>
      <c r="F81" s="3">
        <v>45893</v>
      </c>
      <c r="G81" s="5">
        <v>31.71</v>
      </c>
      <c r="H81" s="5">
        <v>3.1709999999999998</v>
      </c>
      <c r="I81" s="5">
        <v>28.539000000000001</v>
      </c>
      <c r="J81" s="6">
        <f t="shared" si="4"/>
        <v>26.636399999999998</v>
      </c>
      <c r="L81" s="6">
        <f t="shared" si="5"/>
        <v>26.636399999999998</v>
      </c>
    </row>
    <row r="82" spans="1:12" ht="14.4" x14ac:dyDescent="0.3">
      <c r="A82" s="2">
        <v>76</v>
      </c>
      <c r="B82" s="2">
        <v>232054</v>
      </c>
      <c r="C82" s="2" t="s">
        <v>44</v>
      </c>
      <c r="D82" s="2">
        <v>803438757</v>
      </c>
      <c r="E82" s="2" t="s">
        <v>10</v>
      </c>
      <c r="F82" s="3">
        <v>45893</v>
      </c>
      <c r="G82" s="5">
        <v>6.9</v>
      </c>
      <c r="H82" s="5">
        <v>0.69</v>
      </c>
      <c r="I82" s="5">
        <v>6.21</v>
      </c>
      <c r="J82" s="6">
        <f t="shared" si="4"/>
        <v>5.7959999999999994</v>
      </c>
      <c r="L82" s="6">
        <f t="shared" si="5"/>
        <v>5.7959999999999994</v>
      </c>
    </row>
    <row r="83" spans="1:12" ht="14.4" x14ac:dyDescent="0.3">
      <c r="A83" s="2">
        <v>77</v>
      </c>
      <c r="B83" s="2" t="s">
        <v>105</v>
      </c>
      <c r="C83" s="2" t="s">
        <v>34</v>
      </c>
      <c r="D83" s="2">
        <v>803439919</v>
      </c>
      <c r="E83" s="2" t="s">
        <v>10</v>
      </c>
      <c r="F83" s="3">
        <v>45893</v>
      </c>
      <c r="G83" s="5">
        <v>43.45</v>
      </c>
      <c r="H83" s="5">
        <v>0</v>
      </c>
      <c r="I83" s="5">
        <v>43.45</v>
      </c>
      <c r="J83" s="6">
        <f t="shared" si="4"/>
        <v>40.843000000000004</v>
      </c>
      <c r="L83" s="6">
        <f t="shared" si="5"/>
        <v>40.843000000000004</v>
      </c>
    </row>
    <row r="84" spans="1:12" ht="14.4" x14ac:dyDescent="0.3">
      <c r="A84" s="2">
        <v>78</v>
      </c>
      <c r="B84" s="2" t="s">
        <v>106</v>
      </c>
      <c r="C84" s="2" t="s">
        <v>9</v>
      </c>
      <c r="D84" s="2">
        <v>803439920</v>
      </c>
      <c r="E84" s="2" t="s">
        <v>10</v>
      </c>
      <c r="F84" s="3">
        <v>45893</v>
      </c>
      <c r="G84" s="5">
        <v>53.49</v>
      </c>
      <c r="H84" s="5">
        <v>0</v>
      </c>
      <c r="I84" s="5">
        <v>53.49</v>
      </c>
      <c r="J84" s="6">
        <f t="shared" si="4"/>
        <v>50.2806</v>
      </c>
      <c r="L84" s="6">
        <f t="shared" si="5"/>
        <v>50.2806</v>
      </c>
    </row>
    <row r="85" spans="1:12" ht="14.4" x14ac:dyDescent="0.3">
      <c r="A85" s="2">
        <v>79</v>
      </c>
      <c r="B85" s="2" t="s">
        <v>107</v>
      </c>
      <c r="C85" s="2" t="s">
        <v>108</v>
      </c>
      <c r="D85" s="2">
        <v>803440227</v>
      </c>
      <c r="E85" s="2" t="s">
        <v>24</v>
      </c>
      <c r="F85" s="3">
        <v>45894</v>
      </c>
      <c r="G85" s="5">
        <v>38.82</v>
      </c>
      <c r="H85" s="5">
        <v>0</v>
      </c>
      <c r="I85" s="5">
        <v>38.82</v>
      </c>
      <c r="J85" s="6">
        <f t="shared" si="4"/>
        <v>36.4908</v>
      </c>
      <c r="L85" s="6">
        <f t="shared" si="5"/>
        <v>36.4908</v>
      </c>
    </row>
    <row r="86" spans="1:12" ht="14.4" x14ac:dyDescent="0.3">
      <c r="A86" s="2">
        <v>80</v>
      </c>
      <c r="B86" s="2" t="s">
        <v>109</v>
      </c>
      <c r="C86" s="2" t="s">
        <v>14</v>
      </c>
      <c r="D86" s="2">
        <v>803440230</v>
      </c>
      <c r="E86" s="2" t="s">
        <v>10</v>
      </c>
      <c r="F86" s="3">
        <v>45894</v>
      </c>
      <c r="G86" s="5">
        <v>51.66</v>
      </c>
      <c r="H86" s="5">
        <v>0</v>
      </c>
      <c r="I86" s="5">
        <v>51.66</v>
      </c>
      <c r="J86" s="6">
        <f t="shared" si="4"/>
        <v>48.560399999999994</v>
      </c>
      <c r="L86" s="6">
        <f t="shared" si="5"/>
        <v>48.560399999999994</v>
      </c>
    </row>
    <row r="87" spans="1:12" ht="14.4" x14ac:dyDescent="0.3">
      <c r="A87" s="2">
        <v>81</v>
      </c>
      <c r="B87" s="2" t="s">
        <v>110</v>
      </c>
      <c r="C87" s="2" t="s">
        <v>66</v>
      </c>
      <c r="D87" s="2">
        <v>803440235</v>
      </c>
      <c r="E87" s="2" t="s">
        <v>10</v>
      </c>
      <c r="F87" s="3">
        <v>45894</v>
      </c>
      <c r="G87" s="5">
        <v>28.1</v>
      </c>
      <c r="H87" s="5">
        <v>0</v>
      </c>
      <c r="I87" s="5">
        <v>28.1</v>
      </c>
      <c r="J87" s="6">
        <f t="shared" si="4"/>
        <v>26.414000000000001</v>
      </c>
      <c r="L87" s="6">
        <f t="shared" si="5"/>
        <v>26.414000000000001</v>
      </c>
    </row>
    <row r="88" spans="1:12" ht="14.4" x14ac:dyDescent="0.3">
      <c r="A88" s="2">
        <v>82</v>
      </c>
      <c r="B88" s="2" t="s">
        <v>111</v>
      </c>
      <c r="C88" s="2" t="s">
        <v>112</v>
      </c>
      <c r="D88" s="2">
        <v>803439943</v>
      </c>
      <c r="E88" s="2" t="s">
        <v>24</v>
      </c>
      <c r="F88" s="3">
        <v>45894</v>
      </c>
      <c r="G88" s="5">
        <v>28.52</v>
      </c>
      <c r="H88" s="5">
        <v>2.8519999999999999</v>
      </c>
      <c r="I88" s="5">
        <v>25.667999999999999</v>
      </c>
      <c r="J88" s="6">
        <f t="shared" si="4"/>
        <v>23.956799999999998</v>
      </c>
      <c r="L88" s="6">
        <f t="shared" si="5"/>
        <v>23.956799999999998</v>
      </c>
    </row>
    <row r="89" spans="1:12" ht="14.4" x14ac:dyDescent="0.3">
      <c r="A89" s="2">
        <v>83</v>
      </c>
      <c r="B89" s="2" t="s">
        <v>113</v>
      </c>
      <c r="C89" s="2" t="s">
        <v>114</v>
      </c>
      <c r="D89" s="2">
        <v>803449020</v>
      </c>
      <c r="E89" s="2" t="s">
        <v>10</v>
      </c>
      <c r="F89" s="3">
        <v>45907</v>
      </c>
      <c r="G89" s="5">
        <v>11.93</v>
      </c>
      <c r="H89" s="5">
        <v>0</v>
      </c>
      <c r="I89" s="5">
        <v>11.93</v>
      </c>
      <c r="J89" s="6">
        <f t="shared" si="4"/>
        <v>11.2142</v>
      </c>
      <c r="L89" s="6">
        <f t="shared" si="5"/>
        <v>11.2142</v>
      </c>
    </row>
    <row r="90" spans="1:12" ht="14.4" x14ac:dyDescent="0.3">
      <c r="A90" s="2">
        <v>84</v>
      </c>
      <c r="B90" s="2" t="s">
        <v>115</v>
      </c>
      <c r="C90" s="2" t="s">
        <v>116</v>
      </c>
      <c r="D90" s="2">
        <v>803449936</v>
      </c>
      <c r="E90" s="2" t="s">
        <v>10</v>
      </c>
      <c r="F90" s="3">
        <v>45910</v>
      </c>
      <c r="G90" s="5">
        <v>22.16</v>
      </c>
      <c r="H90" s="5">
        <v>2.2160000000000002</v>
      </c>
      <c r="I90" s="5">
        <v>19.943999999999999</v>
      </c>
      <c r="J90" s="6">
        <f t="shared" si="4"/>
        <v>18.614399999999996</v>
      </c>
      <c r="L90" s="6">
        <f t="shared" si="5"/>
        <v>18.614399999999996</v>
      </c>
    </row>
    <row r="91" spans="1:12" ht="14.4" x14ac:dyDescent="0.3">
      <c r="A91" s="2">
        <v>85</v>
      </c>
      <c r="B91" s="2" t="s">
        <v>106</v>
      </c>
      <c r="C91" s="2" t="s">
        <v>9</v>
      </c>
      <c r="D91" s="2">
        <v>803449928</v>
      </c>
      <c r="E91" s="2" t="s">
        <v>10</v>
      </c>
      <c r="F91" s="3">
        <v>45913</v>
      </c>
      <c r="G91" s="5">
        <v>25.44</v>
      </c>
      <c r="H91" s="5">
        <v>0</v>
      </c>
      <c r="I91" s="5">
        <v>25.44</v>
      </c>
      <c r="J91" s="6">
        <f t="shared" si="4"/>
        <v>23.913599999999999</v>
      </c>
      <c r="L91" s="6">
        <f t="shared" si="5"/>
        <v>23.913599999999999</v>
      </c>
    </row>
    <row r="92" spans="1:12" ht="14.4" x14ac:dyDescent="0.3">
      <c r="A92" s="2">
        <v>86</v>
      </c>
      <c r="B92" s="2" t="s">
        <v>35</v>
      </c>
      <c r="C92" s="2" t="s">
        <v>36</v>
      </c>
      <c r="D92" s="2">
        <v>803451015</v>
      </c>
      <c r="E92" s="2" t="s">
        <v>10</v>
      </c>
      <c r="F92" s="3">
        <v>45915</v>
      </c>
      <c r="G92" s="5">
        <v>12.36</v>
      </c>
      <c r="H92" s="5">
        <v>1.236</v>
      </c>
      <c r="I92" s="5">
        <v>11.124000000000001</v>
      </c>
      <c r="J92" s="6">
        <f t="shared" si="4"/>
        <v>10.382399999999999</v>
      </c>
      <c r="L92" s="6">
        <f t="shared" si="5"/>
        <v>10.382399999999999</v>
      </c>
    </row>
    <row r="93" spans="1:12" ht="14.4" x14ac:dyDescent="0.3">
      <c r="A93" s="2">
        <v>87</v>
      </c>
      <c r="B93" s="2" t="s">
        <v>47</v>
      </c>
      <c r="C93" s="2" t="s">
        <v>117</v>
      </c>
      <c r="D93" s="2">
        <v>80341880</v>
      </c>
      <c r="E93" s="2" t="s">
        <v>10</v>
      </c>
      <c r="F93" s="3">
        <v>45916</v>
      </c>
      <c r="G93" s="5">
        <v>15.09</v>
      </c>
      <c r="H93" s="5">
        <v>1.5089999999999999</v>
      </c>
      <c r="I93" s="5">
        <v>13.581</v>
      </c>
      <c r="J93" s="6">
        <f t="shared" si="4"/>
        <v>12.675599999999999</v>
      </c>
      <c r="L93" s="6">
        <f t="shared" si="5"/>
        <v>12.675599999999999</v>
      </c>
    </row>
    <row r="94" spans="1:12" ht="14.4" x14ac:dyDescent="0.3">
      <c r="A94" s="2">
        <v>88</v>
      </c>
      <c r="B94" s="2" t="s">
        <v>118</v>
      </c>
      <c r="C94" s="2" t="s">
        <v>50</v>
      </c>
      <c r="D94" s="2">
        <v>803451879</v>
      </c>
      <c r="E94" s="2" t="s">
        <v>10</v>
      </c>
      <c r="F94" s="3">
        <v>45916</v>
      </c>
      <c r="G94" s="5">
        <v>23.55</v>
      </c>
      <c r="H94" s="5">
        <v>2.355</v>
      </c>
      <c r="I94" s="5">
        <v>21.195</v>
      </c>
      <c r="J94" s="6">
        <f t="shared" si="4"/>
        <v>19.782</v>
      </c>
      <c r="L94" s="6">
        <f t="shared" si="5"/>
        <v>19.782</v>
      </c>
    </row>
    <row r="95" spans="1:12" ht="14.4" x14ac:dyDescent="0.3">
      <c r="A95" s="2">
        <v>89</v>
      </c>
      <c r="B95" s="2" t="s">
        <v>22</v>
      </c>
      <c r="C95" s="2" t="s">
        <v>23</v>
      </c>
      <c r="D95" s="2">
        <v>803451882</v>
      </c>
      <c r="E95" s="2" t="s">
        <v>24</v>
      </c>
      <c r="F95" s="3">
        <v>45918</v>
      </c>
      <c r="G95" s="5">
        <v>39.94</v>
      </c>
      <c r="H95" s="5">
        <v>3.9940000000000002</v>
      </c>
      <c r="I95" s="5">
        <v>35.945999999999998</v>
      </c>
      <c r="J95" s="6">
        <f t="shared" si="4"/>
        <v>33.549599999999998</v>
      </c>
      <c r="L95" s="6">
        <f t="shared" si="5"/>
        <v>33.549599999999998</v>
      </c>
    </row>
    <row r="96" spans="1:12" ht="14.4" x14ac:dyDescent="0.3">
      <c r="A96" s="2">
        <v>90</v>
      </c>
      <c r="B96" s="2" t="s">
        <v>105</v>
      </c>
      <c r="C96" s="2" t="s">
        <v>119</v>
      </c>
      <c r="D96" s="2">
        <v>803452760</v>
      </c>
      <c r="E96" s="2" t="s">
        <v>10</v>
      </c>
      <c r="F96" s="3">
        <v>45920</v>
      </c>
      <c r="G96" s="5">
        <v>10.029999999999999</v>
      </c>
      <c r="H96" s="5">
        <v>0</v>
      </c>
      <c r="I96" s="5">
        <v>10.029999999999999</v>
      </c>
      <c r="J96" s="6">
        <f t="shared" si="4"/>
        <v>9.4281999999999986</v>
      </c>
      <c r="L96" s="6">
        <f t="shared" si="5"/>
        <v>9.4281999999999986</v>
      </c>
    </row>
    <row r="97" spans="1:12" ht="14.4" x14ac:dyDescent="0.3">
      <c r="A97" s="2">
        <v>91</v>
      </c>
      <c r="B97" s="2" t="s">
        <v>120</v>
      </c>
      <c r="C97" s="2" t="s">
        <v>73</v>
      </c>
      <c r="D97" s="2">
        <v>803452765</v>
      </c>
      <c r="E97" s="2" t="s">
        <v>10</v>
      </c>
      <c r="F97" s="3">
        <v>45923</v>
      </c>
      <c r="G97" s="5">
        <v>16.329999999999998</v>
      </c>
      <c r="H97" s="5">
        <v>1.633</v>
      </c>
      <c r="I97" s="5">
        <v>14.696999999999999</v>
      </c>
      <c r="J97" s="6">
        <f t="shared" si="4"/>
        <v>13.717199999999998</v>
      </c>
      <c r="L97" s="6">
        <f t="shared" si="5"/>
        <v>13.717199999999998</v>
      </c>
    </row>
    <row r="98" spans="1:12" ht="14.4" x14ac:dyDescent="0.3">
      <c r="A98" s="2">
        <v>92</v>
      </c>
      <c r="B98" s="2" t="s">
        <v>120</v>
      </c>
      <c r="C98" s="2" t="s">
        <v>73</v>
      </c>
      <c r="D98" s="2">
        <v>803454787</v>
      </c>
      <c r="E98" s="2" t="s">
        <v>10</v>
      </c>
      <c r="F98" s="3">
        <v>45928</v>
      </c>
      <c r="G98" s="5">
        <v>25.64</v>
      </c>
      <c r="H98" s="5">
        <v>2.5640000000000001</v>
      </c>
      <c r="I98" s="5">
        <v>23.076000000000001</v>
      </c>
      <c r="J98" s="6">
        <f t="shared" ref="J98:J129" si="6">G98*0.94-H98</f>
        <v>21.537599999999998</v>
      </c>
      <c r="L98" s="6">
        <f t="shared" ref="L98:L129" si="7">J98-K98</f>
        <v>21.537599999999998</v>
      </c>
    </row>
    <row r="99" spans="1:12" ht="14.4" x14ac:dyDescent="0.3">
      <c r="A99" s="2">
        <v>93</v>
      </c>
      <c r="B99" s="2" t="s">
        <v>121</v>
      </c>
      <c r="C99" s="2" t="s">
        <v>122</v>
      </c>
      <c r="D99" s="2">
        <v>80346956</v>
      </c>
      <c r="E99" s="2" t="s">
        <v>24</v>
      </c>
      <c r="F99" s="3">
        <v>45939</v>
      </c>
      <c r="G99" s="5">
        <v>8.9700000000000006</v>
      </c>
      <c r="H99" s="5">
        <v>0</v>
      </c>
      <c r="I99" s="5">
        <v>8.9700000000000006</v>
      </c>
      <c r="J99" s="6">
        <f t="shared" si="6"/>
        <v>8.4318000000000008</v>
      </c>
      <c r="L99" s="6">
        <f t="shared" si="7"/>
        <v>8.4318000000000008</v>
      </c>
    </row>
    <row r="100" spans="1:12" ht="14.4" x14ac:dyDescent="0.3">
      <c r="A100" s="2">
        <v>94</v>
      </c>
      <c r="B100" s="2" t="s">
        <v>49</v>
      </c>
      <c r="C100" s="2" t="s">
        <v>123</v>
      </c>
      <c r="D100" s="2">
        <v>803464831</v>
      </c>
      <c r="E100" s="2" t="s">
        <v>10</v>
      </c>
      <c r="F100" s="3">
        <v>45942</v>
      </c>
      <c r="G100" s="5">
        <v>18.66</v>
      </c>
      <c r="H100" s="5">
        <v>1.8660000000000001</v>
      </c>
      <c r="I100" s="5">
        <v>16.794</v>
      </c>
      <c r="J100" s="6">
        <f t="shared" si="6"/>
        <v>15.674399999999999</v>
      </c>
      <c r="L100" s="6">
        <f t="shared" si="7"/>
        <v>15.674399999999999</v>
      </c>
    </row>
    <row r="101" spans="1:12" ht="14.4" x14ac:dyDescent="0.3">
      <c r="A101" s="2">
        <v>6</v>
      </c>
      <c r="B101" s="2">
        <v>2668774</v>
      </c>
      <c r="C101" s="2" t="s">
        <v>193</v>
      </c>
      <c r="D101" s="2">
        <v>803465374</v>
      </c>
      <c r="E101" s="2" t="s">
        <v>24</v>
      </c>
      <c r="F101" s="3">
        <v>45944</v>
      </c>
      <c r="G101" s="2">
        <v>20.41</v>
      </c>
      <c r="H101" s="2">
        <v>2.0409999999999999</v>
      </c>
      <c r="I101" s="2">
        <v>18.369</v>
      </c>
      <c r="J101" s="6">
        <f t="shared" si="6"/>
        <v>17.144399999999997</v>
      </c>
      <c r="K101"/>
      <c r="L101" s="6">
        <f t="shared" si="7"/>
        <v>17.144399999999997</v>
      </c>
    </row>
    <row r="102" spans="1:12" ht="14.4" x14ac:dyDescent="0.3">
      <c r="A102" s="2">
        <v>95</v>
      </c>
      <c r="B102" s="2" t="s">
        <v>124</v>
      </c>
      <c r="C102" s="2" t="s">
        <v>125</v>
      </c>
      <c r="D102" s="2">
        <v>803467950</v>
      </c>
      <c r="E102" s="2" t="s">
        <v>10</v>
      </c>
      <c r="F102" s="3">
        <v>45953</v>
      </c>
      <c r="G102" s="5">
        <v>59.84</v>
      </c>
      <c r="H102" s="5">
        <v>5.984</v>
      </c>
      <c r="I102" s="5">
        <v>53.856000000000002</v>
      </c>
      <c r="J102" s="6">
        <f t="shared" si="6"/>
        <v>50.265599999999999</v>
      </c>
      <c r="L102" s="6">
        <f t="shared" si="7"/>
        <v>50.265599999999999</v>
      </c>
    </row>
    <row r="103" spans="1:12" ht="14.4" x14ac:dyDescent="0.3">
      <c r="A103" s="2">
        <v>96</v>
      </c>
      <c r="B103" s="2" t="s">
        <v>81</v>
      </c>
      <c r="C103" s="2" t="s">
        <v>126</v>
      </c>
      <c r="D103" s="2">
        <v>803467906</v>
      </c>
      <c r="E103" s="2" t="s">
        <v>10</v>
      </c>
      <c r="F103" s="3">
        <v>45955</v>
      </c>
      <c r="G103" s="5">
        <v>23.71</v>
      </c>
      <c r="H103" s="5">
        <v>2.371</v>
      </c>
      <c r="I103" s="5">
        <v>21.338999999999999</v>
      </c>
      <c r="J103" s="6">
        <f t="shared" si="6"/>
        <v>19.916399999999999</v>
      </c>
      <c r="L103" s="6">
        <f t="shared" si="7"/>
        <v>19.916399999999999</v>
      </c>
    </row>
    <row r="104" spans="1:12" ht="14.4" x14ac:dyDescent="0.3">
      <c r="A104" s="2">
        <v>97</v>
      </c>
      <c r="B104" s="2" t="s">
        <v>79</v>
      </c>
      <c r="C104" s="2" t="s">
        <v>80</v>
      </c>
      <c r="D104" s="2">
        <v>803467912</v>
      </c>
      <c r="E104" s="2" t="s">
        <v>24</v>
      </c>
      <c r="F104" s="3">
        <v>45955</v>
      </c>
      <c r="G104" s="5">
        <v>29.29</v>
      </c>
      <c r="H104" s="5">
        <v>2.9289999999999998</v>
      </c>
      <c r="I104" s="5">
        <v>26.361000000000001</v>
      </c>
      <c r="J104" s="6">
        <f t="shared" si="6"/>
        <v>24.6036</v>
      </c>
      <c r="L104" s="6">
        <f t="shared" si="7"/>
        <v>24.6036</v>
      </c>
    </row>
    <row r="105" spans="1:12" ht="14.4" x14ac:dyDescent="0.3">
      <c r="A105" s="2">
        <v>98</v>
      </c>
      <c r="B105" s="2" t="s">
        <v>22</v>
      </c>
      <c r="C105" s="2" t="s">
        <v>127</v>
      </c>
      <c r="D105" s="2">
        <v>803468201</v>
      </c>
      <c r="E105" s="2" t="s">
        <v>24</v>
      </c>
      <c r="F105" s="3">
        <v>45955</v>
      </c>
      <c r="G105" s="5">
        <v>34.25</v>
      </c>
      <c r="H105" s="5">
        <v>3.4249999999999998</v>
      </c>
      <c r="I105" s="5">
        <v>30.824999999999999</v>
      </c>
      <c r="J105" s="6">
        <f t="shared" si="6"/>
        <v>28.77</v>
      </c>
      <c r="L105" s="6">
        <f t="shared" si="7"/>
        <v>28.77</v>
      </c>
    </row>
    <row r="106" spans="1:12" ht="14.4" x14ac:dyDescent="0.3">
      <c r="A106" s="2">
        <v>99</v>
      </c>
      <c r="B106" s="2" t="s">
        <v>128</v>
      </c>
      <c r="C106" s="2" t="s">
        <v>68</v>
      </c>
      <c r="D106" s="2">
        <v>803468175</v>
      </c>
      <c r="E106" s="2" t="s">
        <v>10</v>
      </c>
      <c r="F106" s="3">
        <v>45960</v>
      </c>
      <c r="G106" s="5">
        <v>46.11</v>
      </c>
      <c r="H106" s="5">
        <v>0</v>
      </c>
      <c r="I106" s="5">
        <v>46.11</v>
      </c>
      <c r="J106" s="6">
        <f t="shared" si="6"/>
        <v>43.343399999999995</v>
      </c>
      <c r="L106" s="6">
        <f t="shared" si="7"/>
        <v>43.343399999999995</v>
      </c>
    </row>
    <row r="107" spans="1:12" ht="14.4" x14ac:dyDescent="0.3">
      <c r="A107" s="2">
        <v>100</v>
      </c>
      <c r="B107" s="2" t="s">
        <v>85</v>
      </c>
      <c r="C107" s="2" t="s">
        <v>129</v>
      </c>
      <c r="D107" s="2">
        <v>803476085</v>
      </c>
      <c r="E107" s="2" t="s">
        <v>24</v>
      </c>
      <c r="F107" s="3">
        <v>45966</v>
      </c>
      <c r="G107" s="5">
        <v>19.89</v>
      </c>
      <c r="H107" s="5">
        <v>1.9890000000000001</v>
      </c>
      <c r="I107" s="5">
        <v>17.901</v>
      </c>
      <c r="J107" s="6">
        <f t="shared" si="6"/>
        <v>16.707599999999999</v>
      </c>
      <c r="L107" s="6">
        <f t="shared" si="7"/>
        <v>16.707599999999999</v>
      </c>
    </row>
    <row r="108" spans="1:12" ht="14.4" x14ac:dyDescent="0.3">
      <c r="A108" s="2">
        <v>101</v>
      </c>
      <c r="B108" s="2" t="s">
        <v>130</v>
      </c>
      <c r="C108" s="2" t="s">
        <v>131</v>
      </c>
      <c r="D108" s="2">
        <v>803479332</v>
      </c>
      <c r="E108" s="2" t="s">
        <v>10</v>
      </c>
      <c r="F108" s="3">
        <v>45972</v>
      </c>
      <c r="G108" s="5">
        <v>5.67</v>
      </c>
      <c r="H108" s="5">
        <v>0.56699999999999995</v>
      </c>
      <c r="I108" s="5">
        <v>5.1029999999999998</v>
      </c>
      <c r="J108" s="6">
        <f t="shared" si="6"/>
        <v>4.7627999999999995</v>
      </c>
      <c r="L108" s="6">
        <f t="shared" si="7"/>
        <v>4.7627999999999995</v>
      </c>
    </row>
    <row r="109" spans="1:12" ht="14.4" x14ac:dyDescent="0.3">
      <c r="A109" s="2">
        <v>102</v>
      </c>
      <c r="B109" s="2" t="s">
        <v>132</v>
      </c>
      <c r="C109" s="2" t="s">
        <v>56</v>
      </c>
      <c r="D109" s="2">
        <v>803481862</v>
      </c>
      <c r="E109" s="2" t="s">
        <v>10</v>
      </c>
      <c r="F109" s="3">
        <v>45981</v>
      </c>
      <c r="G109" s="5">
        <v>12.96</v>
      </c>
      <c r="H109" s="5">
        <v>1.296</v>
      </c>
      <c r="I109" s="5">
        <v>11.664</v>
      </c>
      <c r="J109" s="6">
        <f t="shared" si="6"/>
        <v>10.8864</v>
      </c>
      <c r="L109" s="6">
        <f t="shared" si="7"/>
        <v>10.8864</v>
      </c>
    </row>
    <row r="110" spans="1:12" ht="14.4" x14ac:dyDescent="0.3">
      <c r="A110" s="2">
        <v>103</v>
      </c>
      <c r="B110" s="2" t="s">
        <v>133</v>
      </c>
      <c r="C110" s="2" t="s">
        <v>134</v>
      </c>
      <c r="D110" s="2">
        <v>803481860</v>
      </c>
      <c r="E110" s="2" t="s">
        <v>10</v>
      </c>
      <c r="F110" s="3">
        <v>45981</v>
      </c>
      <c r="G110" s="5">
        <v>23.49</v>
      </c>
      <c r="H110" s="5">
        <v>2.3490000000000002</v>
      </c>
      <c r="I110" s="5">
        <v>21.140999999999998</v>
      </c>
      <c r="J110" s="6">
        <f t="shared" si="6"/>
        <v>19.731599999999997</v>
      </c>
      <c r="L110" s="6">
        <f t="shared" si="7"/>
        <v>19.731599999999997</v>
      </c>
    </row>
    <row r="111" spans="1:12" ht="14.4" x14ac:dyDescent="0.3">
      <c r="A111" s="2">
        <v>104</v>
      </c>
      <c r="B111" s="2">
        <v>39295</v>
      </c>
      <c r="C111" s="2" t="s">
        <v>19</v>
      </c>
      <c r="D111" s="2">
        <v>803482589</v>
      </c>
      <c r="E111" s="2" t="s">
        <v>10</v>
      </c>
      <c r="F111" s="3">
        <v>45985</v>
      </c>
      <c r="G111" s="5">
        <v>25.38</v>
      </c>
      <c r="H111" s="5">
        <v>2.5379999999999998</v>
      </c>
      <c r="I111" s="5">
        <v>22.841999999999999</v>
      </c>
      <c r="J111" s="6">
        <f t="shared" si="6"/>
        <v>21.319199999999999</v>
      </c>
      <c r="L111" s="6">
        <f t="shared" si="7"/>
        <v>21.319199999999999</v>
      </c>
    </row>
    <row r="112" spans="1:12" ht="14.4" x14ac:dyDescent="0.3">
      <c r="A112" s="2">
        <v>105</v>
      </c>
      <c r="B112" s="2">
        <v>285446</v>
      </c>
      <c r="C112" s="2" t="s">
        <v>73</v>
      </c>
      <c r="D112" s="2">
        <v>803482588</v>
      </c>
      <c r="E112" s="2" t="s">
        <v>10</v>
      </c>
      <c r="F112" s="3">
        <v>45985</v>
      </c>
      <c r="G112" s="5">
        <v>28.63</v>
      </c>
      <c r="H112" s="5">
        <v>2.863</v>
      </c>
      <c r="I112" s="5">
        <v>25.766999999999999</v>
      </c>
      <c r="J112" s="6">
        <f t="shared" si="6"/>
        <v>24.049199999999999</v>
      </c>
      <c r="L112" s="6">
        <f t="shared" si="7"/>
        <v>24.049199999999999</v>
      </c>
    </row>
    <row r="113" spans="1:12" ht="14.4" x14ac:dyDescent="0.3">
      <c r="A113" s="2">
        <v>106</v>
      </c>
      <c r="B113" s="2">
        <v>306291</v>
      </c>
      <c r="C113" s="2" t="s">
        <v>135</v>
      </c>
      <c r="D113" s="2">
        <v>803484144</v>
      </c>
      <c r="E113" s="2" t="s">
        <v>10</v>
      </c>
      <c r="F113" s="3">
        <v>45985</v>
      </c>
      <c r="G113" s="5">
        <v>39.39</v>
      </c>
      <c r="H113" s="5">
        <v>3.9390000000000001</v>
      </c>
      <c r="I113" s="5">
        <v>35.451000000000001</v>
      </c>
      <c r="J113" s="6">
        <f t="shared" si="6"/>
        <v>33.087600000000002</v>
      </c>
      <c r="L113" s="6">
        <f t="shared" si="7"/>
        <v>33.087600000000002</v>
      </c>
    </row>
    <row r="114" spans="1:12" ht="14.4" x14ac:dyDescent="0.3">
      <c r="A114" s="2">
        <v>107</v>
      </c>
      <c r="B114" s="2" t="s">
        <v>136</v>
      </c>
      <c r="C114" s="2" t="s">
        <v>137</v>
      </c>
      <c r="D114" s="2">
        <v>803484608</v>
      </c>
      <c r="E114" s="2" t="s">
        <v>10</v>
      </c>
      <c r="F114" s="3">
        <v>45987</v>
      </c>
      <c r="G114" s="5">
        <v>24.05</v>
      </c>
      <c r="H114" s="5">
        <v>2.4049999999999998</v>
      </c>
      <c r="I114" s="5">
        <v>21.645</v>
      </c>
      <c r="J114" s="6">
        <f t="shared" si="6"/>
        <v>20.201999999999998</v>
      </c>
      <c r="L114" s="6">
        <f t="shared" si="7"/>
        <v>20.201999999999998</v>
      </c>
    </row>
    <row r="115" spans="1:12" ht="14.4" x14ac:dyDescent="0.3">
      <c r="A115" s="2">
        <v>108</v>
      </c>
      <c r="B115" s="2" t="s">
        <v>138</v>
      </c>
      <c r="C115" s="2" t="s">
        <v>139</v>
      </c>
      <c r="D115" s="2">
        <v>803484332</v>
      </c>
      <c r="E115" s="2" t="s">
        <v>10</v>
      </c>
      <c r="F115" s="3">
        <v>45988</v>
      </c>
      <c r="G115" s="5">
        <v>38.82</v>
      </c>
      <c r="H115" s="5">
        <v>3.8820000000000001</v>
      </c>
      <c r="I115" s="5">
        <v>34.938000000000002</v>
      </c>
      <c r="J115" s="6">
        <f t="shared" si="6"/>
        <v>32.608800000000002</v>
      </c>
      <c r="L115" s="6">
        <f t="shared" si="7"/>
        <v>32.608800000000002</v>
      </c>
    </row>
    <row r="116" spans="1:12" ht="14.4" x14ac:dyDescent="0.3">
      <c r="A116" s="2">
        <v>7</v>
      </c>
      <c r="B116" s="2" t="s">
        <v>94</v>
      </c>
      <c r="C116" s="2" t="s">
        <v>192</v>
      </c>
      <c r="D116" s="2">
        <v>803489090</v>
      </c>
      <c r="E116" s="2" t="s">
        <v>10</v>
      </c>
      <c r="F116" s="3">
        <v>45991</v>
      </c>
      <c r="G116" s="2">
        <v>10.65</v>
      </c>
      <c r="H116" s="2">
        <v>1.0649999999999999</v>
      </c>
      <c r="I116" s="2">
        <v>9.5850000000000009</v>
      </c>
      <c r="J116" s="6">
        <f t="shared" si="6"/>
        <v>8.9459999999999997</v>
      </c>
      <c r="K116"/>
      <c r="L116" s="6">
        <f t="shared" si="7"/>
        <v>8.9459999999999997</v>
      </c>
    </row>
    <row r="117" spans="1:12" ht="14.4" x14ac:dyDescent="0.3">
      <c r="A117" s="2">
        <v>8</v>
      </c>
      <c r="B117" s="2" t="s">
        <v>191</v>
      </c>
      <c r="C117" s="2" t="s">
        <v>190</v>
      </c>
      <c r="D117" s="2">
        <v>803490628</v>
      </c>
      <c r="E117" s="2" t="s">
        <v>10</v>
      </c>
      <c r="F117" s="3">
        <v>45993</v>
      </c>
      <c r="G117" s="2">
        <v>9.7100000000000009</v>
      </c>
      <c r="H117" s="2">
        <v>0.97099999999999997</v>
      </c>
      <c r="I117" s="2">
        <v>8.7390000000000008</v>
      </c>
      <c r="J117" s="6">
        <f t="shared" si="6"/>
        <v>8.1563999999999997</v>
      </c>
      <c r="K117"/>
      <c r="L117" s="6">
        <f t="shared" si="7"/>
        <v>8.1563999999999997</v>
      </c>
    </row>
    <row r="118" spans="1:12" ht="14.4" x14ac:dyDescent="0.3">
      <c r="A118" s="2">
        <v>9</v>
      </c>
      <c r="B118" s="2" t="s">
        <v>189</v>
      </c>
      <c r="C118" s="2" t="s">
        <v>188</v>
      </c>
      <c r="D118" s="2">
        <v>803490618</v>
      </c>
      <c r="E118" s="2" t="s">
        <v>10</v>
      </c>
      <c r="F118" s="3">
        <v>45993</v>
      </c>
      <c r="G118" s="2">
        <v>16.3</v>
      </c>
      <c r="H118" s="2">
        <v>1.63</v>
      </c>
      <c r="I118" s="2">
        <v>14.67</v>
      </c>
      <c r="J118" s="6">
        <f t="shared" si="6"/>
        <v>13.692</v>
      </c>
      <c r="K118"/>
      <c r="L118" s="6">
        <f t="shared" si="7"/>
        <v>13.692</v>
      </c>
    </row>
    <row r="119" spans="1:12" ht="14.4" x14ac:dyDescent="0.3">
      <c r="A119" s="2">
        <v>10</v>
      </c>
      <c r="B119" s="2" t="s">
        <v>187</v>
      </c>
      <c r="C119" s="2" t="s">
        <v>186</v>
      </c>
      <c r="D119" s="2">
        <v>803490622</v>
      </c>
      <c r="E119" s="2" t="s">
        <v>10</v>
      </c>
      <c r="F119" s="3">
        <v>45993</v>
      </c>
      <c r="G119" s="2">
        <v>18.48</v>
      </c>
      <c r="H119" s="2">
        <v>1.8480000000000001</v>
      </c>
      <c r="I119" s="2">
        <v>16.632000000000001</v>
      </c>
      <c r="J119" s="6">
        <f t="shared" si="6"/>
        <v>15.523199999999997</v>
      </c>
      <c r="K119"/>
      <c r="L119" s="6">
        <f t="shared" si="7"/>
        <v>15.523199999999997</v>
      </c>
    </row>
    <row r="120" spans="1:12" ht="14.4" x14ac:dyDescent="0.3">
      <c r="A120" s="2">
        <v>109</v>
      </c>
      <c r="B120" s="2" t="s">
        <v>39</v>
      </c>
      <c r="C120" s="2" t="s">
        <v>40</v>
      </c>
      <c r="D120" s="2">
        <v>803492642</v>
      </c>
      <c r="E120" s="2" t="s">
        <v>24</v>
      </c>
      <c r="F120" s="3">
        <v>45998</v>
      </c>
      <c r="G120" s="5">
        <v>21.19</v>
      </c>
      <c r="H120" s="5">
        <v>2.1190000000000002</v>
      </c>
      <c r="I120" s="5">
        <v>19.071000000000002</v>
      </c>
      <c r="J120" s="6">
        <f t="shared" si="6"/>
        <v>17.799600000000002</v>
      </c>
      <c r="L120" s="6">
        <f t="shared" si="7"/>
        <v>17.799600000000002</v>
      </c>
    </row>
    <row r="121" spans="1:12" ht="14.4" x14ac:dyDescent="0.3">
      <c r="A121" s="2">
        <v>110</v>
      </c>
      <c r="B121" s="2" t="s">
        <v>109</v>
      </c>
      <c r="C121" s="2" t="s">
        <v>14</v>
      </c>
      <c r="D121" s="2">
        <v>803494259</v>
      </c>
      <c r="E121" s="2" t="s">
        <v>10</v>
      </c>
      <c r="F121" s="3">
        <v>46002</v>
      </c>
      <c r="G121" s="5">
        <v>38.15</v>
      </c>
      <c r="H121" s="5">
        <v>0</v>
      </c>
      <c r="I121" s="5">
        <v>38.15</v>
      </c>
      <c r="J121" s="6">
        <f t="shared" si="6"/>
        <v>35.860999999999997</v>
      </c>
      <c r="L121" s="6">
        <f t="shared" si="7"/>
        <v>35.860999999999997</v>
      </c>
    </row>
    <row r="122" spans="1:12" ht="14.4" x14ac:dyDescent="0.3">
      <c r="A122" s="2">
        <v>111</v>
      </c>
      <c r="B122" s="2">
        <v>287248</v>
      </c>
      <c r="C122" s="2" t="s">
        <v>34</v>
      </c>
      <c r="D122" s="2">
        <v>803495926</v>
      </c>
      <c r="E122" s="2" t="s">
        <v>10</v>
      </c>
      <c r="F122" s="3">
        <v>46008</v>
      </c>
      <c r="G122" s="5">
        <v>6.57</v>
      </c>
      <c r="H122" s="5">
        <v>0</v>
      </c>
      <c r="I122" s="5">
        <v>6.57</v>
      </c>
      <c r="J122" s="6">
        <f t="shared" si="6"/>
        <v>6.1757999999999997</v>
      </c>
      <c r="L122" s="6">
        <f t="shared" si="7"/>
        <v>6.1757999999999997</v>
      </c>
    </row>
    <row r="123" spans="1:12" ht="14.4" x14ac:dyDescent="0.3">
      <c r="A123" s="2">
        <v>112</v>
      </c>
      <c r="B123" s="2" t="s">
        <v>140</v>
      </c>
      <c r="C123" s="2" t="s">
        <v>139</v>
      </c>
      <c r="D123" s="2">
        <v>803496639</v>
      </c>
      <c r="E123" s="2" t="s">
        <v>24</v>
      </c>
      <c r="F123" s="3">
        <v>46012</v>
      </c>
      <c r="G123" s="5">
        <v>37.369999999999997</v>
      </c>
      <c r="H123" s="5">
        <v>3.7370000000000001</v>
      </c>
      <c r="I123" s="5">
        <v>33.633000000000003</v>
      </c>
      <c r="J123" s="6">
        <f t="shared" si="6"/>
        <v>31.390799999999992</v>
      </c>
      <c r="L123" s="6">
        <f t="shared" si="7"/>
        <v>31.390799999999992</v>
      </c>
    </row>
    <row r="124" spans="1:12" ht="14.4" x14ac:dyDescent="0.3">
      <c r="A124" s="2">
        <v>113</v>
      </c>
      <c r="B124" s="2" t="s">
        <v>141</v>
      </c>
      <c r="C124" s="2" t="s">
        <v>19</v>
      </c>
      <c r="D124" s="2">
        <v>803496004</v>
      </c>
      <c r="E124" s="2" t="s">
        <v>10</v>
      </c>
      <c r="F124" s="3">
        <v>46012</v>
      </c>
      <c r="G124" s="5">
        <v>10.81</v>
      </c>
      <c r="H124" s="5">
        <v>1.081</v>
      </c>
      <c r="I124" s="5">
        <v>9.7289999999999992</v>
      </c>
      <c r="J124" s="6">
        <f t="shared" si="6"/>
        <v>9.0804000000000009</v>
      </c>
      <c r="L124" s="6">
        <f t="shared" si="7"/>
        <v>9.0804000000000009</v>
      </c>
    </row>
    <row r="125" spans="1:12" ht="14.4" x14ac:dyDescent="0.3">
      <c r="A125" s="2">
        <v>114</v>
      </c>
      <c r="B125" s="2" t="s">
        <v>121</v>
      </c>
      <c r="C125" s="2" t="s">
        <v>122</v>
      </c>
      <c r="D125" s="2">
        <v>803497315</v>
      </c>
      <c r="E125" s="2" t="s">
        <v>10</v>
      </c>
      <c r="F125" s="3">
        <v>46013</v>
      </c>
      <c r="G125" s="5">
        <v>13.18</v>
      </c>
      <c r="H125" s="5">
        <v>0</v>
      </c>
      <c r="I125" s="5">
        <v>13.18</v>
      </c>
      <c r="J125" s="6">
        <f t="shared" si="6"/>
        <v>12.389199999999999</v>
      </c>
      <c r="L125" s="6">
        <f t="shared" si="7"/>
        <v>12.389199999999999</v>
      </c>
    </row>
    <row r="126" spans="1:12" ht="14.4" x14ac:dyDescent="0.3">
      <c r="A126" s="2">
        <v>115</v>
      </c>
      <c r="B126" s="2" t="s">
        <v>142</v>
      </c>
      <c r="C126" s="2" t="s">
        <v>143</v>
      </c>
      <c r="D126" s="2">
        <v>803497312</v>
      </c>
      <c r="E126" s="2" t="s">
        <v>10</v>
      </c>
      <c r="F126" s="3">
        <v>46014</v>
      </c>
      <c r="G126" s="5">
        <v>29.2</v>
      </c>
      <c r="H126" s="5">
        <v>0</v>
      </c>
      <c r="I126" s="5">
        <v>29.2</v>
      </c>
      <c r="J126" s="6">
        <f t="shared" si="6"/>
        <v>27.447999999999997</v>
      </c>
      <c r="L126" s="6">
        <f t="shared" si="7"/>
        <v>27.447999999999997</v>
      </c>
    </row>
    <row r="127" spans="1:12" ht="14.4" x14ac:dyDescent="0.3">
      <c r="A127" s="2">
        <v>116</v>
      </c>
      <c r="B127" s="2" t="s">
        <v>130</v>
      </c>
      <c r="C127" s="2" t="s">
        <v>131</v>
      </c>
      <c r="D127" s="2">
        <v>803498251</v>
      </c>
      <c r="E127" s="2" t="s">
        <v>10</v>
      </c>
      <c r="F127" s="3">
        <v>46016</v>
      </c>
      <c r="G127" s="5">
        <v>32.950000000000003</v>
      </c>
      <c r="H127" s="5">
        <v>3.2949999999999999</v>
      </c>
      <c r="I127" s="5">
        <v>29.655000000000001</v>
      </c>
      <c r="J127" s="6">
        <f t="shared" si="6"/>
        <v>27.678000000000004</v>
      </c>
      <c r="L127" s="6">
        <f t="shared" si="7"/>
        <v>27.678000000000004</v>
      </c>
    </row>
    <row r="128" spans="1:12" ht="14.4" x14ac:dyDescent="0.3">
      <c r="A128" s="2">
        <v>117</v>
      </c>
      <c r="B128" s="2" t="s">
        <v>62</v>
      </c>
      <c r="C128" s="2" t="s">
        <v>135</v>
      </c>
      <c r="D128" s="2">
        <v>803496717</v>
      </c>
      <c r="E128" s="2" t="s">
        <v>10</v>
      </c>
      <c r="F128" s="3">
        <v>46016</v>
      </c>
      <c r="G128" s="5">
        <v>37.159999999999997</v>
      </c>
      <c r="H128" s="5">
        <v>3.7160000000000002</v>
      </c>
      <c r="I128" s="5">
        <v>33.444000000000003</v>
      </c>
      <c r="J128" s="6">
        <f t="shared" si="6"/>
        <v>31.214399999999991</v>
      </c>
      <c r="L128" s="6">
        <f t="shared" si="7"/>
        <v>31.214399999999991</v>
      </c>
    </row>
    <row r="129" spans="1:12" ht="14.4" x14ac:dyDescent="0.3">
      <c r="A129" s="2">
        <v>118</v>
      </c>
      <c r="B129" s="2" t="s">
        <v>83</v>
      </c>
      <c r="C129" s="2" t="s">
        <v>92</v>
      </c>
      <c r="D129" s="2">
        <v>803498723</v>
      </c>
      <c r="E129" s="2" t="s">
        <v>24</v>
      </c>
      <c r="F129" s="3">
        <v>46018</v>
      </c>
      <c r="G129" s="5">
        <v>37.380000000000003</v>
      </c>
      <c r="H129" s="5">
        <v>3.738</v>
      </c>
      <c r="I129" s="5">
        <v>33.642000000000003</v>
      </c>
      <c r="J129" s="6">
        <f t="shared" si="6"/>
        <v>31.3992</v>
      </c>
      <c r="L129" s="6">
        <f t="shared" si="7"/>
        <v>31.3992</v>
      </c>
    </row>
    <row r="130" spans="1:12" ht="14.4" x14ac:dyDescent="0.3">
      <c r="A130" s="2">
        <v>119</v>
      </c>
      <c r="B130" s="2" t="s">
        <v>79</v>
      </c>
      <c r="C130" s="2" t="s">
        <v>80</v>
      </c>
      <c r="D130" s="2">
        <v>803498730</v>
      </c>
      <c r="E130" s="2" t="s">
        <v>24</v>
      </c>
      <c r="F130" s="3">
        <v>46018</v>
      </c>
      <c r="G130" s="5">
        <v>37.700000000000003</v>
      </c>
      <c r="H130" s="5">
        <v>3.77</v>
      </c>
      <c r="I130" s="5">
        <v>33.93</v>
      </c>
      <c r="J130" s="6">
        <f t="shared" ref="J130:J161" si="8">G130*0.94-H130</f>
        <v>31.668000000000003</v>
      </c>
      <c r="L130" s="6">
        <f t="shared" ref="L130:L161" si="9">J130-K130</f>
        <v>31.668000000000003</v>
      </c>
    </row>
    <row r="131" spans="1:12" ht="14.4" x14ac:dyDescent="0.3">
      <c r="A131" s="2">
        <v>11</v>
      </c>
      <c r="B131" s="2">
        <v>12893</v>
      </c>
      <c r="C131" s="2" t="s">
        <v>185</v>
      </c>
      <c r="D131" s="2">
        <v>803503132</v>
      </c>
      <c r="E131" s="2" t="s">
        <v>24</v>
      </c>
      <c r="F131" s="3">
        <v>46023</v>
      </c>
      <c r="G131" s="2">
        <v>9.7200000000000006</v>
      </c>
      <c r="H131" s="2">
        <v>0.97199999999999998</v>
      </c>
      <c r="I131" s="2">
        <v>8.7479999999999993</v>
      </c>
      <c r="J131" s="6">
        <f t="shared" si="8"/>
        <v>8.1648000000000014</v>
      </c>
      <c r="K131"/>
      <c r="L131" s="6">
        <f t="shared" si="9"/>
        <v>8.1648000000000014</v>
      </c>
    </row>
    <row r="132" spans="1:12" ht="14.4" x14ac:dyDescent="0.3">
      <c r="A132" s="2">
        <v>120</v>
      </c>
      <c r="B132" s="2" t="s">
        <v>144</v>
      </c>
      <c r="C132" s="2" t="s">
        <v>12</v>
      </c>
      <c r="D132" s="2">
        <v>803507629</v>
      </c>
      <c r="E132" s="2" t="s">
        <v>10</v>
      </c>
      <c r="F132" s="3">
        <v>46039</v>
      </c>
      <c r="G132" s="5">
        <v>13.99</v>
      </c>
      <c r="H132" s="5">
        <v>0</v>
      </c>
      <c r="I132" s="5">
        <v>13.99</v>
      </c>
      <c r="J132" s="6">
        <f t="shared" si="8"/>
        <v>13.150599999999999</v>
      </c>
      <c r="L132" s="6">
        <f t="shared" si="9"/>
        <v>13.150599999999999</v>
      </c>
    </row>
    <row r="133" spans="1:12" ht="14.4" x14ac:dyDescent="0.3">
      <c r="A133" s="2">
        <v>121</v>
      </c>
      <c r="B133" s="2" t="s">
        <v>110</v>
      </c>
      <c r="C133" s="2" t="s">
        <v>66</v>
      </c>
      <c r="D133" s="2">
        <v>803509679</v>
      </c>
      <c r="E133" s="2" t="s">
        <v>10</v>
      </c>
      <c r="F133" s="3">
        <v>46046</v>
      </c>
      <c r="G133" s="5">
        <v>51.04</v>
      </c>
      <c r="H133" s="5">
        <v>0</v>
      </c>
      <c r="I133" s="5">
        <v>51.04</v>
      </c>
      <c r="J133" s="6">
        <f t="shared" si="8"/>
        <v>47.977599999999995</v>
      </c>
      <c r="L133" s="6">
        <f t="shared" si="9"/>
        <v>47.977599999999995</v>
      </c>
    </row>
    <row r="134" spans="1:12" ht="14.4" x14ac:dyDescent="0.3">
      <c r="A134" s="2">
        <v>122</v>
      </c>
      <c r="B134" s="2" t="s">
        <v>106</v>
      </c>
      <c r="C134" s="2" t="s">
        <v>9</v>
      </c>
      <c r="D134" s="2">
        <v>803509267</v>
      </c>
      <c r="E134" s="2" t="s">
        <v>10</v>
      </c>
      <c r="F134" s="3">
        <v>46046</v>
      </c>
      <c r="G134" s="5">
        <v>8.91</v>
      </c>
      <c r="H134" s="5">
        <v>0</v>
      </c>
      <c r="I134" s="5">
        <v>8.91</v>
      </c>
      <c r="J134" s="6">
        <f t="shared" si="8"/>
        <v>8.3753999999999991</v>
      </c>
      <c r="L134" s="6">
        <f t="shared" si="9"/>
        <v>8.3753999999999991</v>
      </c>
    </row>
    <row r="135" spans="1:12" ht="14.4" x14ac:dyDescent="0.3">
      <c r="A135" s="2">
        <v>123</v>
      </c>
      <c r="B135" s="2" t="s">
        <v>145</v>
      </c>
      <c r="C135" s="2" t="s">
        <v>32</v>
      </c>
      <c r="D135" s="2">
        <v>803510436</v>
      </c>
      <c r="E135" s="2" t="s">
        <v>10</v>
      </c>
      <c r="F135" s="3">
        <v>46048</v>
      </c>
      <c r="G135" s="5">
        <v>10.65</v>
      </c>
      <c r="H135" s="5">
        <v>1.0649999999999999</v>
      </c>
      <c r="I135" s="5">
        <v>9.5850000000000009</v>
      </c>
      <c r="J135" s="6">
        <f t="shared" si="8"/>
        <v>8.9459999999999997</v>
      </c>
      <c r="L135" s="6">
        <f t="shared" si="9"/>
        <v>8.9459999999999997</v>
      </c>
    </row>
    <row r="136" spans="1:12" ht="14.4" x14ac:dyDescent="0.3">
      <c r="A136" s="2">
        <v>124</v>
      </c>
      <c r="B136" s="2" t="s">
        <v>146</v>
      </c>
      <c r="C136" s="2" t="s">
        <v>86</v>
      </c>
      <c r="D136" s="2">
        <v>803517672</v>
      </c>
      <c r="E136" s="2" t="s">
        <v>24</v>
      </c>
      <c r="F136" s="3">
        <v>46056</v>
      </c>
      <c r="G136" s="5">
        <v>24.57</v>
      </c>
      <c r="H136" s="5">
        <v>2.4569999999999999</v>
      </c>
      <c r="I136" s="5">
        <v>22.113</v>
      </c>
      <c r="J136" s="6">
        <f t="shared" si="8"/>
        <v>20.6388</v>
      </c>
      <c r="L136" s="6">
        <f t="shared" si="9"/>
        <v>20.6388</v>
      </c>
    </row>
    <row r="137" spans="1:12" ht="14.4" x14ac:dyDescent="0.3">
      <c r="A137" s="2">
        <v>125</v>
      </c>
      <c r="B137" s="2">
        <v>316653</v>
      </c>
      <c r="C137" s="2" t="s">
        <v>86</v>
      </c>
      <c r="D137" s="2">
        <v>803519341</v>
      </c>
      <c r="E137" s="2" t="s">
        <v>24</v>
      </c>
      <c r="F137" s="3">
        <v>46061</v>
      </c>
      <c r="G137" s="5">
        <v>19.37</v>
      </c>
      <c r="H137" s="5">
        <v>1.9370000000000001</v>
      </c>
      <c r="I137" s="5">
        <v>17.433</v>
      </c>
      <c r="J137" s="6">
        <f t="shared" si="8"/>
        <v>16.270799999999998</v>
      </c>
      <c r="L137" s="6">
        <f t="shared" si="9"/>
        <v>16.270799999999998</v>
      </c>
    </row>
    <row r="138" spans="1:12" ht="14.4" x14ac:dyDescent="0.3">
      <c r="A138" s="2">
        <v>126</v>
      </c>
      <c r="B138" s="2" t="s">
        <v>147</v>
      </c>
      <c r="C138" s="2" t="s">
        <v>148</v>
      </c>
      <c r="D138" s="2">
        <v>803519172</v>
      </c>
      <c r="E138" s="2" t="s">
        <v>10</v>
      </c>
      <c r="F138" s="3">
        <v>46061</v>
      </c>
      <c r="G138" s="5">
        <v>31.08</v>
      </c>
      <c r="H138" s="5">
        <v>3.1080000000000001</v>
      </c>
      <c r="I138" s="5">
        <v>27.972000000000001</v>
      </c>
      <c r="J138" s="6">
        <f t="shared" si="8"/>
        <v>26.107199999999995</v>
      </c>
      <c r="L138" s="6">
        <f t="shared" si="9"/>
        <v>26.107199999999995</v>
      </c>
    </row>
    <row r="139" spans="1:12" ht="14.4" x14ac:dyDescent="0.3">
      <c r="A139" s="2">
        <v>127</v>
      </c>
      <c r="B139" s="2" t="s">
        <v>149</v>
      </c>
      <c r="C139" s="2" t="s">
        <v>134</v>
      </c>
      <c r="D139" s="2">
        <v>803522737</v>
      </c>
      <c r="E139" s="2" t="s">
        <v>10</v>
      </c>
      <c r="F139" s="3">
        <v>46068</v>
      </c>
      <c r="G139" s="5">
        <v>7.51</v>
      </c>
      <c r="H139" s="5">
        <v>0.751</v>
      </c>
      <c r="I139" s="5">
        <v>6.7590000000000003</v>
      </c>
      <c r="J139" s="6">
        <f t="shared" si="8"/>
        <v>6.3083999999999989</v>
      </c>
      <c r="L139" s="6">
        <f t="shared" si="9"/>
        <v>6.3083999999999989</v>
      </c>
    </row>
    <row r="140" spans="1:12" ht="14.4" x14ac:dyDescent="0.3">
      <c r="A140" s="2">
        <v>128</v>
      </c>
      <c r="B140" s="2">
        <v>316657</v>
      </c>
      <c r="C140" s="2" t="s">
        <v>150</v>
      </c>
      <c r="D140" s="2">
        <v>803523880</v>
      </c>
      <c r="E140" s="2" t="s">
        <v>10</v>
      </c>
      <c r="F140" s="3">
        <v>46070</v>
      </c>
      <c r="G140" s="5">
        <v>44.23</v>
      </c>
      <c r="H140" s="5">
        <v>4.423</v>
      </c>
      <c r="I140" s="5">
        <v>39.807000000000002</v>
      </c>
      <c r="J140" s="6">
        <f t="shared" si="8"/>
        <v>37.153199999999991</v>
      </c>
      <c r="L140" s="6">
        <f t="shared" si="9"/>
        <v>37.153199999999991</v>
      </c>
    </row>
    <row r="141" spans="1:12" ht="14.4" x14ac:dyDescent="0.3">
      <c r="A141" s="2">
        <v>129</v>
      </c>
      <c r="B141" s="2">
        <v>316653</v>
      </c>
      <c r="C141" s="2" t="s">
        <v>59</v>
      </c>
      <c r="D141" s="2">
        <v>803523877</v>
      </c>
      <c r="E141" s="2" t="s">
        <v>10</v>
      </c>
      <c r="F141" s="3">
        <v>46070</v>
      </c>
      <c r="G141" s="5">
        <v>54.38</v>
      </c>
      <c r="H141" s="5">
        <v>5.4379999999999997</v>
      </c>
      <c r="I141" s="5">
        <v>48.942</v>
      </c>
      <c r="J141" s="6">
        <f t="shared" si="8"/>
        <v>45.679199999999994</v>
      </c>
      <c r="L141" s="6">
        <f t="shared" si="9"/>
        <v>45.679199999999994</v>
      </c>
    </row>
    <row r="142" spans="1:12" ht="14.4" x14ac:dyDescent="0.3">
      <c r="A142" s="2">
        <v>130</v>
      </c>
      <c r="B142" s="2" t="s">
        <v>141</v>
      </c>
      <c r="C142" s="2" t="s">
        <v>19</v>
      </c>
      <c r="D142" s="2">
        <v>803525685</v>
      </c>
      <c r="E142" s="2" t="s">
        <v>10</v>
      </c>
      <c r="F142" s="3">
        <v>46077</v>
      </c>
      <c r="G142" s="5">
        <v>42.13</v>
      </c>
      <c r="H142" s="5">
        <v>4.2130000000000001</v>
      </c>
      <c r="I142" s="5">
        <v>37.917000000000002</v>
      </c>
      <c r="J142" s="6">
        <f t="shared" si="8"/>
        <v>35.389200000000002</v>
      </c>
      <c r="L142" s="6">
        <f t="shared" si="9"/>
        <v>35.389200000000002</v>
      </c>
    </row>
    <row r="143" spans="1:12" ht="14.4" x14ac:dyDescent="0.3">
      <c r="A143" s="2">
        <v>131</v>
      </c>
      <c r="B143" s="2">
        <v>5218220</v>
      </c>
      <c r="C143" s="2" t="s">
        <v>88</v>
      </c>
      <c r="D143" s="2">
        <v>803526247</v>
      </c>
      <c r="E143" s="2" t="s">
        <v>10</v>
      </c>
      <c r="F143" s="3">
        <v>46079</v>
      </c>
      <c r="G143" s="5">
        <v>33.19</v>
      </c>
      <c r="H143" s="5">
        <v>3.319</v>
      </c>
      <c r="I143" s="5">
        <v>29.870999999999999</v>
      </c>
      <c r="J143" s="6">
        <f t="shared" si="8"/>
        <v>27.879599999999996</v>
      </c>
      <c r="L143" s="6">
        <f t="shared" si="9"/>
        <v>27.879599999999996</v>
      </c>
    </row>
    <row r="144" spans="1:12" ht="14.4" x14ac:dyDescent="0.3">
      <c r="A144" s="2">
        <v>132</v>
      </c>
      <c r="B144" s="2">
        <v>7099954</v>
      </c>
      <c r="C144" s="2" t="s">
        <v>80</v>
      </c>
      <c r="D144" s="2">
        <v>803526244</v>
      </c>
      <c r="E144" s="2" t="s">
        <v>24</v>
      </c>
      <c r="F144" s="3">
        <v>46079</v>
      </c>
      <c r="G144" s="5">
        <v>55.59</v>
      </c>
      <c r="H144" s="5">
        <v>5.5590000000000002</v>
      </c>
      <c r="I144" s="5">
        <v>50.030999999999999</v>
      </c>
      <c r="J144" s="6">
        <f t="shared" si="8"/>
        <v>46.695600000000006</v>
      </c>
      <c r="L144" s="6">
        <f t="shared" si="9"/>
        <v>46.695600000000006</v>
      </c>
    </row>
    <row r="145" spans="1:12" ht="14.4" x14ac:dyDescent="0.3">
      <c r="A145" s="2">
        <v>133</v>
      </c>
      <c r="B145" s="2">
        <v>8500165</v>
      </c>
      <c r="C145" s="2" t="s">
        <v>151</v>
      </c>
      <c r="D145" s="2">
        <v>803526245</v>
      </c>
      <c r="E145" s="2" t="s">
        <v>10</v>
      </c>
      <c r="F145" s="3">
        <v>46079</v>
      </c>
      <c r="G145" s="5">
        <v>45.1</v>
      </c>
      <c r="H145" s="5">
        <v>4.51</v>
      </c>
      <c r="I145" s="5">
        <v>40.590000000000003</v>
      </c>
      <c r="J145" s="6">
        <f t="shared" si="8"/>
        <v>37.884</v>
      </c>
      <c r="L145" s="6">
        <f t="shared" si="9"/>
        <v>37.884</v>
      </c>
    </row>
    <row r="146" spans="1:12" ht="14.4" x14ac:dyDescent="0.3">
      <c r="A146" s="2">
        <v>134</v>
      </c>
      <c r="B146" s="2" t="s">
        <v>105</v>
      </c>
      <c r="C146" s="2" t="s">
        <v>34</v>
      </c>
      <c r="D146" s="2">
        <v>803530197</v>
      </c>
      <c r="E146" s="2" t="s">
        <v>10</v>
      </c>
      <c r="F146" s="3">
        <v>46083</v>
      </c>
      <c r="G146" s="5">
        <v>4.3499999999999996</v>
      </c>
      <c r="H146" s="5">
        <v>0</v>
      </c>
      <c r="I146" s="5">
        <v>4.3499999999999996</v>
      </c>
      <c r="J146" s="6">
        <f t="shared" si="8"/>
        <v>4.0889999999999995</v>
      </c>
      <c r="L146" s="6">
        <f t="shared" si="9"/>
        <v>4.0889999999999995</v>
      </c>
    </row>
    <row r="147" spans="1:12" ht="14.4" x14ac:dyDescent="0.3">
      <c r="A147" s="2">
        <v>135</v>
      </c>
      <c r="B147" s="2" t="s">
        <v>152</v>
      </c>
      <c r="C147" s="2" t="s">
        <v>34</v>
      </c>
      <c r="D147" s="2">
        <v>803531776</v>
      </c>
      <c r="E147" s="2" t="s">
        <v>10</v>
      </c>
      <c r="F147" s="3">
        <v>46088</v>
      </c>
      <c r="G147" s="5">
        <v>19.899999999999999</v>
      </c>
      <c r="H147" s="5">
        <v>0</v>
      </c>
      <c r="I147" s="5">
        <v>19.899999999999999</v>
      </c>
      <c r="J147" s="6">
        <f t="shared" si="8"/>
        <v>18.705999999999996</v>
      </c>
      <c r="L147" s="6">
        <f t="shared" si="9"/>
        <v>18.705999999999996</v>
      </c>
    </row>
    <row r="148" spans="1:12" ht="14.4" x14ac:dyDescent="0.3">
      <c r="A148" s="2">
        <v>136</v>
      </c>
      <c r="B148" s="2" t="s">
        <v>153</v>
      </c>
      <c r="C148" s="2" t="s">
        <v>154</v>
      </c>
      <c r="D148" s="2">
        <v>803532904</v>
      </c>
      <c r="E148" s="2" t="s">
        <v>10</v>
      </c>
      <c r="F148" s="3">
        <v>46091</v>
      </c>
      <c r="G148" s="5">
        <v>54.1</v>
      </c>
      <c r="H148" s="5">
        <v>5.41</v>
      </c>
      <c r="I148" s="5">
        <v>48.69</v>
      </c>
      <c r="J148" s="6">
        <f t="shared" si="8"/>
        <v>45.444000000000003</v>
      </c>
      <c r="L148" s="6">
        <f t="shared" si="9"/>
        <v>45.444000000000003</v>
      </c>
    </row>
    <row r="149" spans="1:12" ht="14.4" x14ac:dyDescent="0.3">
      <c r="A149" s="2">
        <v>137</v>
      </c>
      <c r="B149" s="2">
        <v>287184</v>
      </c>
      <c r="C149" s="2" t="s">
        <v>9</v>
      </c>
      <c r="D149" s="2">
        <v>803535026</v>
      </c>
      <c r="E149" s="2" t="s">
        <v>10</v>
      </c>
      <c r="F149" s="3">
        <v>46103</v>
      </c>
      <c r="G149" s="5">
        <v>51.19</v>
      </c>
      <c r="H149" s="5">
        <v>0</v>
      </c>
      <c r="I149" s="5">
        <v>51.19</v>
      </c>
      <c r="J149" s="6">
        <f t="shared" si="8"/>
        <v>48.118599999999994</v>
      </c>
      <c r="L149" s="6">
        <f t="shared" si="9"/>
        <v>48.118599999999994</v>
      </c>
    </row>
    <row r="150" spans="1:12" ht="14.4" x14ac:dyDescent="0.3">
      <c r="A150" s="2">
        <v>138</v>
      </c>
      <c r="B150" s="2" t="s">
        <v>120</v>
      </c>
      <c r="C150" s="2" t="s">
        <v>155</v>
      </c>
      <c r="D150" s="2">
        <v>803541827</v>
      </c>
      <c r="E150" s="2" t="s">
        <v>10</v>
      </c>
      <c r="F150" s="3">
        <v>46112</v>
      </c>
      <c r="G150" s="5">
        <v>34.94</v>
      </c>
      <c r="H150" s="5">
        <v>3.4940000000000002</v>
      </c>
      <c r="I150" s="5">
        <v>31.446000000000002</v>
      </c>
      <c r="J150" s="6">
        <f t="shared" si="8"/>
        <v>29.349599999999995</v>
      </c>
      <c r="L150" s="6">
        <f t="shared" si="9"/>
        <v>29.349599999999995</v>
      </c>
    </row>
    <row r="151" spans="1:12" ht="14.4" x14ac:dyDescent="0.3">
      <c r="A151" s="2">
        <v>1</v>
      </c>
      <c r="B151" s="2" t="s">
        <v>160</v>
      </c>
      <c r="C151" s="2" t="s">
        <v>161</v>
      </c>
      <c r="D151" s="2">
        <v>803542037</v>
      </c>
      <c r="E151" s="2" t="s">
        <v>10</v>
      </c>
      <c r="F151" s="3">
        <v>46116</v>
      </c>
      <c r="G151" s="2">
        <v>40</v>
      </c>
      <c r="H151" s="2">
        <v>4</v>
      </c>
      <c r="I151" s="2">
        <v>36</v>
      </c>
      <c r="J151" s="6">
        <f t="shared" si="8"/>
        <v>33.599999999999994</v>
      </c>
      <c r="K151"/>
      <c r="L151" s="6">
        <f t="shared" si="9"/>
        <v>33.599999999999994</v>
      </c>
    </row>
    <row r="152" spans="1:12" ht="14.4" x14ac:dyDescent="0.3">
      <c r="A152" s="2">
        <v>2</v>
      </c>
      <c r="B152" s="2" t="s">
        <v>162</v>
      </c>
      <c r="C152" s="2" t="s">
        <v>163</v>
      </c>
      <c r="D152" s="2">
        <v>803543346</v>
      </c>
      <c r="E152" s="2" t="s">
        <v>10</v>
      </c>
      <c r="F152" s="3">
        <v>46117</v>
      </c>
      <c r="G152" s="2">
        <v>29.07</v>
      </c>
      <c r="H152" s="2">
        <v>0</v>
      </c>
      <c r="I152" s="2">
        <v>29.07</v>
      </c>
      <c r="J152" s="6">
        <f t="shared" si="8"/>
        <v>27.325799999999997</v>
      </c>
      <c r="K152"/>
      <c r="L152" s="6">
        <f t="shared" si="9"/>
        <v>27.325799999999997</v>
      </c>
    </row>
    <row r="153" spans="1:12" ht="14.4" x14ac:dyDescent="0.3">
      <c r="A153" s="2">
        <v>3</v>
      </c>
      <c r="B153" s="2" t="s">
        <v>164</v>
      </c>
      <c r="C153" s="2" t="s">
        <v>44</v>
      </c>
      <c r="D153" s="2">
        <v>803543808</v>
      </c>
      <c r="E153" s="2" t="s">
        <v>10</v>
      </c>
      <c r="F153" s="3">
        <v>46118</v>
      </c>
      <c r="G153" s="2">
        <v>26.08</v>
      </c>
      <c r="H153" s="2">
        <v>2.6080000000000001</v>
      </c>
      <c r="I153" s="2">
        <v>23.472000000000001</v>
      </c>
      <c r="J153" s="6">
        <f t="shared" si="8"/>
        <v>21.907199999999996</v>
      </c>
      <c r="K153"/>
      <c r="L153" s="6">
        <f t="shared" si="9"/>
        <v>21.907199999999996</v>
      </c>
    </row>
    <row r="154" spans="1:12" ht="14.4" x14ac:dyDescent="0.3">
      <c r="A154" s="2">
        <v>4</v>
      </c>
      <c r="B154" s="2" t="s">
        <v>120</v>
      </c>
      <c r="C154" s="2" t="s">
        <v>73</v>
      </c>
      <c r="D154" s="2">
        <v>803544822</v>
      </c>
      <c r="E154" s="2" t="s">
        <v>10</v>
      </c>
      <c r="F154" s="3">
        <v>46123</v>
      </c>
      <c r="G154" s="2">
        <v>31.17</v>
      </c>
      <c r="H154" s="2">
        <v>3.117</v>
      </c>
      <c r="I154" s="2">
        <v>28.053000000000001</v>
      </c>
      <c r="J154" s="6">
        <f t="shared" si="8"/>
        <v>26.1828</v>
      </c>
      <c r="K154"/>
      <c r="L154" s="6">
        <f t="shared" si="9"/>
        <v>26.1828</v>
      </c>
    </row>
    <row r="155" spans="1:12" ht="14.4" x14ac:dyDescent="0.3">
      <c r="A155" s="2">
        <v>5</v>
      </c>
      <c r="B155" s="2" t="s">
        <v>165</v>
      </c>
      <c r="C155" s="2" t="s">
        <v>166</v>
      </c>
      <c r="D155" s="2">
        <v>803547807</v>
      </c>
      <c r="E155" s="2" t="s">
        <v>10</v>
      </c>
      <c r="F155" s="3">
        <v>46129</v>
      </c>
      <c r="G155" s="2">
        <v>26.92</v>
      </c>
      <c r="H155" s="2">
        <v>2.6920000000000002</v>
      </c>
      <c r="I155" s="2">
        <v>24.228000000000002</v>
      </c>
      <c r="J155" s="6">
        <f t="shared" si="8"/>
        <v>22.6128</v>
      </c>
      <c r="K155"/>
      <c r="L155" s="6">
        <f t="shared" si="9"/>
        <v>22.6128</v>
      </c>
    </row>
    <row r="156" spans="1:12" ht="14.4" x14ac:dyDescent="0.3">
      <c r="A156" s="2">
        <v>6</v>
      </c>
      <c r="B156" s="2" t="s">
        <v>105</v>
      </c>
      <c r="C156" s="2" t="s">
        <v>119</v>
      </c>
      <c r="D156" s="2">
        <v>803548408</v>
      </c>
      <c r="E156" s="2" t="s">
        <v>24</v>
      </c>
      <c r="F156" s="3">
        <v>46131</v>
      </c>
      <c r="G156" s="2">
        <v>24.88</v>
      </c>
      <c r="H156" s="2">
        <v>0</v>
      </c>
      <c r="I156" s="2">
        <v>24.88</v>
      </c>
      <c r="J156" s="6">
        <f t="shared" si="8"/>
        <v>23.387199999999996</v>
      </c>
      <c r="K156"/>
      <c r="L156" s="6">
        <f t="shared" si="9"/>
        <v>23.387199999999996</v>
      </c>
    </row>
    <row r="157" spans="1:12" ht="14.4" x14ac:dyDescent="0.3">
      <c r="A157" s="2">
        <v>7</v>
      </c>
      <c r="B157" s="2" t="s">
        <v>167</v>
      </c>
      <c r="C157" s="2" t="s">
        <v>168</v>
      </c>
      <c r="D157" s="2">
        <v>803549055</v>
      </c>
      <c r="E157" s="2" t="s">
        <v>10</v>
      </c>
      <c r="F157" s="3">
        <v>46133</v>
      </c>
      <c r="G157" s="2">
        <v>44.58</v>
      </c>
      <c r="H157" s="2">
        <v>4.4580000000000002</v>
      </c>
      <c r="I157" s="2">
        <v>40.122</v>
      </c>
      <c r="J157" s="6">
        <f t="shared" si="8"/>
        <v>37.447199999999995</v>
      </c>
      <c r="K157"/>
      <c r="L157" s="6">
        <f t="shared" si="9"/>
        <v>37.447199999999995</v>
      </c>
    </row>
    <row r="158" spans="1:12" ht="14.4" x14ac:dyDescent="0.3">
      <c r="A158" s="2">
        <v>8</v>
      </c>
      <c r="B158" s="2" t="s">
        <v>169</v>
      </c>
      <c r="C158" s="2" t="s">
        <v>73</v>
      </c>
      <c r="D158" s="2">
        <v>803551108</v>
      </c>
      <c r="E158" s="2" t="s">
        <v>10</v>
      </c>
      <c r="F158" s="3">
        <v>46139</v>
      </c>
      <c r="G158" s="2">
        <v>4.47</v>
      </c>
      <c r="H158" s="2">
        <v>0.44700000000000001</v>
      </c>
      <c r="I158" s="2">
        <v>4.0229999999999997</v>
      </c>
      <c r="J158" s="6">
        <f t="shared" si="8"/>
        <v>3.7547999999999995</v>
      </c>
      <c r="K158"/>
      <c r="L158" s="6">
        <f t="shared" si="9"/>
        <v>3.7547999999999995</v>
      </c>
    </row>
    <row r="159" spans="1:12" ht="14.4" x14ac:dyDescent="0.3">
      <c r="A159" s="2">
        <v>9</v>
      </c>
      <c r="B159" s="2">
        <v>803556753</v>
      </c>
      <c r="C159" s="2" t="s">
        <v>170</v>
      </c>
      <c r="D159" s="2">
        <v>803556753</v>
      </c>
      <c r="E159" s="2" t="s">
        <v>10</v>
      </c>
      <c r="F159" s="3">
        <v>46142</v>
      </c>
      <c r="G159" s="2">
        <v>47.87</v>
      </c>
      <c r="H159" s="2">
        <v>4.7869999999999999</v>
      </c>
      <c r="I159" s="2">
        <v>43.082999999999998</v>
      </c>
      <c r="J159" s="6">
        <f t="shared" si="8"/>
        <v>40.210799999999999</v>
      </c>
      <c r="K159"/>
      <c r="L159" s="6">
        <f t="shared" si="9"/>
        <v>40.210799999999999</v>
      </c>
    </row>
    <row r="160" spans="1:12" ht="14.4" x14ac:dyDescent="0.3">
      <c r="A160" s="2">
        <v>10</v>
      </c>
      <c r="B160" s="2" t="s">
        <v>171</v>
      </c>
      <c r="C160" s="2" t="s">
        <v>23</v>
      </c>
      <c r="D160" s="2">
        <v>803557092</v>
      </c>
      <c r="E160" s="2" t="s">
        <v>24</v>
      </c>
      <c r="F160" s="3">
        <v>46144</v>
      </c>
      <c r="G160" s="2">
        <v>25.17</v>
      </c>
      <c r="H160" s="2">
        <v>2.5169999999999999</v>
      </c>
      <c r="I160" s="2">
        <v>22.652999999999999</v>
      </c>
      <c r="J160" s="6">
        <f t="shared" si="8"/>
        <v>21.142800000000001</v>
      </c>
      <c r="K160"/>
      <c r="L160" s="6">
        <f t="shared" si="9"/>
        <v>21.142800000000001</v>
      </c>
    </row>
    <row r="161" spans="1:12" ht="14.4" x14ac:dyDescent="0.3">
      <c r="A161" s="2">
        <v>11</v>
      </c>
      <c r="B161" s="2" t="s">
        <v>106</v>
      </c>
      <c r="C161" s="2" t="s">
        <v>172</v>
      </c>
      <c r="D161" s="2">
        <v>803559538</v>
      </c>
      <c r="E161" s="2" t="s">
        <v>10</v>
      </c>
      <c r="F161" s="3">
        <v>46151</v>
      </c>
      <c r="G161" s="2">
        <v>95.2</v>
      </c>
      <c r="H161" s="2">
        <v>0</v>
      </c>
      <c r="I161" s="2">
        <v>95.2</v>
      </c>
      <c r="J161" s="6">
        <f t="shared" si="8"/>
        <v>89.488</v>
      </c>
      <c r="K161"/>
      <c r="L161" s="6">
        <f t="shared" si="9"/>
        <v>89.488</v>
      </c>
    </row>
    <row r="162" spans="1:12" ht="14.4" x14ac:dyDescent="0.3">
      <c r="A162" s="2">
        <v>12</v>
      </c>
      <c r="B162" s="2" t="s">
        <v>173</v>
      </c>
      <c r="C162" s="2" t="s">
        <v>174</v>
      </c>
      <c r="D162" s="2">
        <v>803561169</v>
      </c>
      <c r="E162" s="2" t="s">
        <v>10</v>
      </c>
      <c r="F162" s="3">
        <v>46156</v>
      </c>
      <c r="G162" s="2">
        <v>17.2</v>
      </c>
      <c r="H162" s="2">
        <v>1.72</v>
      </c>
      <c r="I162" s="2">
        <v>15.48</v>
      </c>
      <c r="J162" s="6">
        <f t="shared" ref="J162:J174" si="10">G162*0.94-H162</f>
        <v>14.447999999999999</v>
      </c>
      <c r="K162"/>
      <c r="L162" s="6">
        <f t="shared" ref="L162:L174" si="11">J162-K162</f>
        <v>14.447999999999999</v>
      </c>
    </row>
    <row r="163" spans="1:12" ht="14.4" x14ac:dyDescent="0.3">
      <c r="A163" s="2">
        <v>13</v>
      </c>
      <c r="B163" s="2" t="s">
        <v>175</v>
      </c>
      <c r="C163" s="2" t="s">
        <v>80</v>
      </c>
      <c r="D163" s="2">
        <v>803561175</v>
      </c>
      <c r="E163" s="2" t="s">
        <v>24</v>
      </c>
      <c r="F163" s="3">
        <v>46156</v>
      </c>
      <c r="G163" s="2">
        <v>45.52</v>
      </c>
      <c r="H163" s="2">
        <v>4.5519999999999996</v>
      </c>
      <c r="I163" s="2">
        <v>40.968000000000004</v>
      </c>
      <c r="J163" s="6">
        <f t="shared" si="10"/>
        <v>38.236800000000002</v>
      </c>
      <c r="L163" s="6">
        <f t="shared" si="11"/>
        <v>38.236800000000002</v>
      </c>
    </row>
    <row r="164" spans="1:12" ht="14.4" x14ac:dyDescent="0.3">
      <c r="A164" s="2">
        <v>14</v>
      </c>
      <c r="B164" s="2" t="s">
        <v>176</v>
      </c>
      <c r="C164" s="2" t="s">
        <v>92</v>
      </c>
      <c r="D164" s="2">
        <v>803561172</v>
      </c>
      <c r="E164" s="2" t="s">
        <v>10</v>
      </c>
      <c r="F164" s="3">
        <v>46156</v>
      </c>
      <c r="G164" s="2">
        <v>32.673000000000002</v>
      </c>
      <c r="H164" s="2">
        <v>3.2669999999999999</v>
      </c>
      <c r="I164" s="2">
        <v>29.405999999999999</v>
      </c>
      <c r="J164" s="6">
        <f t="shared" si="10"/>
        <v>27.445620000000002</v>
      </c>
      <c r="L164" s="6">
        <f t="shared" si="11"/>
        <v>27.445620000000002</v>
      </c>
    </row>
    <row r="165" spans="1:12" ht="14.4" x14ac:dyDescent="0.3">
      <c r="A165" s="2">
        <v>15</v>
      </c>
      <c r="B165" s="2" t="s">
        <v>140</v>
      </c>
      <c r="C165" s="2" t="s">
        <v>71</v>
      </c>
      <c r="D165" s="2">
        <v>803561579</v>
      </c>
      <c r="E165" s="2" t="s">
        <v>24</v>
      </c>
      <c r="F165" s="3">
        <v>46158</v>
      </c>
      <c r="G165" s="2">
        <v>7.22</v>
      </c>
      <c r="H165" s="2">
        <v>0.72199999999999998</v>
      </c>
      <c r="I165" s="2">
        <v>6.4980000000000002</v>
      </c>
      <c r="J165" s="6">
        <f t="shared" si="10"/>
        <v>6.0648</v>
      </c>
      <c r="L165" s="6">
        <f t="shared" si="11"/>
        <v>6.0648</v>
      </c>
    </row>
    <row r="166" spans="1:12" ht="14.4" x14ac:dyDescent="0.3">
      <c r="A166" s="2">
        <v>16</v>
      </c>
      <c r="B166" s="2" t="s">
        <v>177</v>
      </c>
      <c r="C166" s="2" t="s">
        <v>59</v>
      </c>
      <c r="D166" s="2">
        <v>803562184</v>
      </c>
      <c r="E166" s="2" t="s">
        <v>10</v>
      </c>
      <c r="F166" s="3">
        <v>46159</v>
      </c>
      <c r="G166" s="2">
        <v>55.34</v>
      </c>
      <c r="H166" s="2">
        <v>5.5339999999999998</v>
      </c>
      <c r="I166" s="2">
        <v>49.805999999999997</v>
      </c>
      <c r="J166" s="6">
        <f t="shared" si="10"/>
        <v>46.485599999999998</v>
      </c>
      <c r="L166" s="6">
        <f t="shared" si="11"/>
        <v>46.485599999999998</v>
      </c>
    </row>
    <row r="167" spans="1:12" ht="14.4" x14ac:dyDescent="0.3">
      <c r="A167" s="2">
        <v>17</v>
      </c>
      <c r="B167" s="2" t="s">
        <v>178</v>
      </c>
      <c r="C167" s="2" t="s">
        <v>52</v>
      </c>
      <c r="D167" s="2">
        <v>803562517</v>
      </c>
      <c r="E167" s="2" t="s">
        <v>10</v>
      </c>
      <c r="F167" s="3">
        <v>46160</v>
      </c>
      <c r="G167" s="2">
        <v>41.52</v>
      </c>
      <c r="H167" s="2">
        <v>4.1520000000000001</v>
      </c>
      <c r="I167" s="2">
        <v>37.368000000000002</v>
      </c>
      <c r="J167" s="6">
        <f t="shared" si="10"/>
        <v>34.876800000000003</v>
      </c>
      <c r="L167" s="6">
        <f t="shared" si="11"/>
        <v>34.876800000000003</v>
      </c>
    </row>
    <row r="168" spans="1:12" ht="14.4" x14ac:dyDescent="0.3">
      <c r="A168" s="2">
        <v>18</v>
      </c>
      <c r="B168" s="2" t="s">
        <v>164</v>
      </c>
      <c r="C168" s="2" t="s">
        <v>44</v>
      </c>
      <c r="D168" s="2">
        <v>803562515</v>
      </c>
      <c r="E168" s="2" t="s">
        <v>10</v>
      </c>
      <c r="F168" s="3">
        <v>46160</v>
      </c>
      <c r="G168" s="2">
        <v>35.4</v>
      </c>
      <c r="H168" s="2">
        <v>3.54</v>
      </c>
      <c r="I168" s="2">
        <v>31.86</v>
      </c>
      <c r="J168" s="6">
        <f t="shared" si="10"/>
        <v>29.735999999999997</v>
      </c>
      <c r="L168" s="6">
        <f t="shared" si="11"/>
        <v>29.735999999999997</v>
      </c>
    </row>
    <row r="169" spans="1:12" ht="14.4" x14ac:dyDescent="0.3">
      <c r="A169" s="2">
        <v>19</v>
      </c>
      <c r="B169" s="2" t="s">
        <v>147</v>
      </c>
      <c r="C169" s="2" t="s">
        <v>148</v>
      </c>
      <c r="D169" s="2">
        <v>803563637</v>
      </c>
      <c r="E169" s="2" t="s">
        <v>10</v>
      </c>
      <c r="F169" s="3">
        <v>46165</v>
      </c>
      <c r="G169" s="2">
        <v>46.97</v>
      </c>
      <c r="H169" s="2">
        <v>4.6970000000000001</v>
      </c>
      <c r="I169" s="2">
        <v>42.273000000000003</v>
      </c>
      <c r="J169" s="6">
        <f t="shared" si="10"/>
        <v>39.454799999999992</v>
      </c>
      <c r="L169" s="6">
        <f t="shared" si="11"/>
        <v>39.454799999999992</v>
      </c>
    </row>
    <row r="170" spans="1:12" ht="14.4" x14ac:dyDescent="0.3">
      <c r="A170" s="2">
        <v>20</v>
      </c>
      <c r="B170" s="2" t="s">
        <v>179</v>
      </c>
      <c r="C170" s="2" t="s">
        <v>180</v>
      </c>
      <c r="D170" s="2">
        <v>803564290</v>
      </c>
      <c r="E170" s="2" t="s">
        <v>10</v>
      </c>
      <c r="F170" s="3">
        <v>46167</v>
      </c>
      <c r="G170" s="2">
        <v>18.14</v>
      </c>
      <c r="H170" s="2">
        <v>1.8140000000000001</v>
      </c>
      <c r="I170" s="2">
        <v>16.326000000000001</v>
      </c>
      <c r="J170" s="6">
        <f t="shared" si="10"/>
        <v>15.2376</v>
      </c>
      <c r="L170" s="6">
        <f t="shared" si="11"/>
        <v>15.2376</v>
      </c>
    </row>
    <row r="171" spans="1:12" ht="14.4" x14ac:dyDescent="0.3">
      <c r="A171" s="2">
        <v>1</v>
      </c>
      <c r="B171" s="2" t="s">
        <v>162</v>
      </c>
      <c r="C171" s="2" t="s">
        <v>65</v>
      </c>
      <c r="D171" s="2">
        <v>803571669</v>
      </c>
      <c r="E171" s="2" t="s">
        <v>10</v>
      </c>
      <c r="F171" s="3">
        <v>46179</v>
      </c>
      <c r="G171" s="2">
        <v>37.65</v>
      </c>
      <c r="H171" s="2">
        <v>0</v>
      </c>
      <c r="I171" s="2">
        <v>37.65</v>
      </c>
      <c r="J171" s="6">
        <f t="shared" si="10"/>
        <v>35.390999999999998</v>
      </c>
      <c r="K171"/>
      <c r="L171" s="6">
        <f t="shared" si="11"/>
        <v>35.390999999999998</v>
      </c>
    </row>
    <row r="172" spans="1:12" ht="14.4" x14ac:dyDescent="0.3">
      <c r="A172" s="2">
        <v>12</v>
      </c>
      <c r="B172" s="2">
        <v>324973</v>
      </c>
      <c r="C172" s="2" t="s">
        <v>184</v>
      </c>
      <c r="D172" s="2">
        <v>803578175</v>
      </c>
      <c r="E172" s="2" t="s">
        <v>10</v>
      </c>
      <c r="F172" s="3">
        <v>46197</v>
      </c>
      <c r="G172" s="2">
        <v>4.26</v>
      </c>
      <c r="H172" s="2">
        <v>0.85199999999999998</v>
      </c>
      <c r="I172" s="2">
        <v>3.4079999999999999</v>
      </c>
      <c r="J172" s="6">
        <f t="shared" si="10"/>
        <v>3.1523999999999996</v>
      </c>
      <c r="K172"/>
      <c r="L172" s="6">
        <f t="shared" si="11"/>
        <v>3.1523999999999996</v>
      </c>
    </row>
    <row r="173" spans="1:12" ht="14.4" x14ac:dyDescent="0.3">
      <c r="A173" s="2">
        <v>2</v>
      </c>
      <c r="B173" s="2">
        <v>324973</v>
      </c>
      <c r="C173" s="2" t="s">
        <v>181</v>
      </c>
      <c r="D173" s="2">
        <v>803578175</v>
      </c>
      <c r="E173" s="2" t="s">
        <v>24</v>
      </c>
      <c r="F173" s="3">
        <v>46198</v>
      </c>
      <c r="G173" s="2">
        <v>8.0299999999999994</v>
      </c>
      <c r="H173" s="2">
        <v>1.6060000000000001</v>
      </c>
      <c r="I173" s="2">
        <v>6.4240000000000004</v>
      </c>
      <c r="J173" s="6">
        <f t="shared" si="10"/>
        <v>5.9421999999999988</v>
      </c>
      <c r="K173"/>
      <c r="L173" s="6">
        <f t="shared" si="11"/>
        <v>5.9421999999999988</v>
      </c>
    </row>
    <row r="174" spans="1:12" ht="14.4" x14ac:dyDescent="0.3">
      <c r="A174" s="2">
        <v>3</v>
      </c>
      <c r="B174" s="2" t="s">
        <v>182</v>
      </c>
      <c r="C174" s="2" t="s">
        <v>183</v>
      </c>
      <c r="D174" s="2">
        <v>803583258</v>
      </c>
      <c r="E174" s="2" t="s">
        <v>10</v>
      </c>
      <c r="F174" s="3">
        <v>46202</v>
      </c>
      <c r="G174" s="2">
        <v>45.18</v>
      </c>
      <c r="H174" s="2">
        <v>4.5179999999999998</v>
      </c>
      <c r="I174" s="2">
        <v>40.661999999999999</v>
      </c>
      <c r="J174" s="6">
        <f t="shared" si="10"/>
        <v>37.9512</v>
      </c>
      <c r="K174"/>
      <c r="L174" s="6">
        <f t="shared" si="11"/>
        <v>37.9512</v>
      </c>
    </row>
    <row r="175" spans="1:12" ht="14.4" x14ac:dyDescent="0.3">
      <c r="A175" s="2">
        <v>1</v>
      </c>
      <c r="B175" s="2" t="s">
        <v>199</v>
      </c>
      <c r="C175" s="2" t="s">
        <v>200</v>
      </c>
      <c r="D175" s="2">
        <v>803582957</v>
      </c>
      <c r="E175" s="2" t="s">
        <v>24</v>
      </c>
      <c r="F175" s="3">
        <v>46208</v>
      </c>
      <c r="G175" s="2">
        <v>23.16</v>
      </c>
      <c r="H175" s="2">
        <v>2.3159999999999998</v>
      </c>
      <c r="I175" s="2">
        <v>20.844000000000001</v>
      </c>
      <c r="J175" s="6">
        <f t="shared" ref="J175:J179" si="12">G175*0.94-H175</f>
        <v>19.4544</v>
      </c>
      <c r="K175"/>
      <c r="L175" s="6">
        <f t="shared" ref="L175:L179" si="13">J175-K175</f>
        <v>19.4544</v>
      </c>
    </row>
    <row r="176" spans="1:12" ht="14.4" x14ac:dyDescent="0.3">
      <c r="A176" s="2">
        <v>2</v>
      </c>
      <c r="B176" s="2" t="s">
        <v>165</v>
      </c>
      <c r="C176" s="2" t="s">
        <v>166</v>
      </c>
      <c r="D176" s="2">
        <v>803589459</v>
      </c>
      <c r="E176" s="2" t="s">
        <v>10</v>
      </c>
      <c r="F176" s="3">
        <v>46223</v>
      </c>
      <c r="G176" s="2">
        <v>43.09</v>
      </c>
      <c r="H176" s="2">
        <v>4.3090000000000002</v>
      </c>
      <c r="I176" s="2">
        <v>38.780999999999999</v>
      </c>
      <c r="J176" s="6">
        <f t="shared" si="12"/>
        <v>36.195600000000006</v>
      </c>
      <c r="K176"/>
      <c r="L176" s="6">
        <f t="shared" si="13"/>
        <v>36.195600000000006</v>
      </c>
    </row>
    <row r="177" spans="1:12" ht="14.4" x14ac:dyDescent="0.3">
      <c r="A177" s="2">
        <v>3</v>
      </c>
      <c r="B177" s="2" t="s">
        <v>201</v>
      </c>
      <c r="C177" s="2" t="s">
        <v>202</v>
      </c>
      <c r="D177" s="2">
        <v>803590151</v>
      </c>
      <c r="E177" s="2" t="s">
        <v>10</v>
      </c>
      <c r="F177" s="3">
        <v>46226</v>
      </c>
      <c r="G177" s="2">
        <v>69.44</v>
      </c>
      <c r="H177" s="2">
        <v>13.888</v>
      </c>
      <c r="I177" s="2">
        <v>55.552</v>
      </c>
      <c r="J177" s="6">
        <f t="shared" si="12"/>
        <v>51.38559999999999</v>
      </c>
      <c r="K177"/>
      <c r="L177" s="6">
        <f t="shared" si="13"/>
        <v>51.38559999999999</v>
      </c>
    </row>
    <row r="178" spans="1:12" ht="14.4" x14ac:dyDescent="0.3">
      <c r="A178" s="2">
        <v>4</v>
      </c>
      <c r="B178" s="2" t="s">
        <v>105</v>
      </c>
      <c r="C178" s="2" t="s">
        <v>34</v>
      </c>
      <c r="D178" s="2">
        <v>803590494</v>
      </c>
      <c r="E178" s="2" t="s">
        <v>10</v>
      </c>
      <c r="F178" s="3">
        <v>46226</v>
      </c>
      <c r="G178" s="2">
        <v>34.840000000000003</v>
      </c>
      <c r="H178" s="2">
        <v>0</v>
      </c>
      <c r="I178" s="2">
        <v>34.840000000000003</v>
      </c>
      <c r="J178" s="6">
        <f t="shared" si="12"/>
        <v>32.749600000000001</v>
      </c>
      <c r="K178"/>
      <c r="L178" s="6">
        <f t="shared" si="13"/>
        <v>32.749600000000001</v>
      </c>
    </row>
    <row r="179" spans="1:12" ht="14.4" x14ac:dyDescent="0.3">
      <c r="A179" s="2">
        <v>5</v>
      </c>
      <c r="B179" s="2" t="s">
        <v>171</v>
      </c>
      <c r="C179" s="2" t="s">
        <v>23</v>
      </c>
      <c r="D179" s="2">
        <v>803592452</v>
      </c>
      <c r="E179" s="2" t="s">
        <v>24</v>
      </c>
      <c r="F179" s="3">
        <v>46233</v>
      </c>
      <c r="G179" s="2">
        <v>32.56</v>
      </c>
      <c r="H179" s="2">
        <v>3.2559999999999998</v>
      </c>
      <c r="I179" s="2">
        <v>29.303999999999998</v>
      </c>
      <c r="J179" s="6">
        <f t="shared" si="12"/>
        <v>27.3504</v>
      </c>
      <c r="K179"/>
      <c r="L179" s="6">
        <f t="shared" si="13"/>
        <v>27.3504</v>
      </c>
    </row>
    <row r="180" spans="1:12" ht="14.4" x14ac:dyDescent="0.3">
      <c r="A180" s="2">
        <v>1</v>
      </c>
      <c r="B180" s="2" t="s">
        <v>203</v>
      </c>
      <c r="C180" s="2" t="s">
        <v>204</v>
      </c>
      <c r="D180" s="2">
        <v>803592418</v>
      </c>
      <c r="E180" s="2" t="s">
        <v>10</v>
      </c>
      <c r="F180" s="3">
        <v>46232</v>
      </c>
      <c r="G180" s="2">
        <v>15.64</v>
      </c>
      <c r="H180" s="2">
        <v>1.5640000000000001</v>
      </c>
      <c r="I180" s="2">
        <v>14.076000000000001</v>
      </c>
      <c r="J180" s="6">
        <f>G180*0.94-H180</f>
        <v>13.137599999999999</v>
      </c>
      <c r="K180"/>
      <c r="L180" s="6">
        <f>J180-K180</f>
        <v>13.137599999999999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2026-04-11T14:52:33Z</dcterms:created>
  <dcterms:modified xsi:type="dcterms:W3CDTF">2026-08-06T14:36:41Z</dcterms:modified>
</cp:coreProperties>
</file>