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5A8C04BE-7E4A-4B65-8EED-DAAA2990DF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Sheet1!$A$1241:$J$2157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57" i="1" l="1"/>
  <c r="J2157" i="1"/>
  <c r="H2156" i="1"/>
  <c r="J2156" i="1" s="1"/>
  <c r="L2156" i="1" s="1"/>
  <c r="H2155" i="1"/>
  <c r="J2155" i="1" s="1"/>
  <c r="L2155" i="1" s="1"/>
  <c r="L2154" i="1"/>
  <c r="J2154" i="1"/>
  <c r="L2153" i="1"/>
  <c r="J2153" i="1"/>
  <c r="L2152" i="1"/>
  <c r="J2152" i="1"/>
  <c r="L2151" i="1"/>
  <c r="J2151" i="1"/>
  <c r="L2150" i="1"/>
  <c r="J2150" i="1"/>
  <c r="L2149" i="1"/>
  <c r="J2149" i="1"/>
  <c r="L2148" i="1"/>
  <c r="J2148" i="1"/>
  <c r="L2147" i="1"/>
  <c r="J2147" i="1"/>
  <c r="L2146" i="1"/>
  <c r="J2146" i="1"/>
  <c r="L2145" i="1"/>
  <c r="J2145" i="1"/>
  <c r="L2144" i="1"/>
  <c r="J2144" i="1"/>
  <c r="L2143" i="1"/>
  <c r="J2143" i="1"/>
  <c r="L2142" i="1"/>
  <c r="J2142" i="1"/>
  <c r="L2141" i="1"/>
  <c r="J2141" i="1"/>
  <c r="L2140" i="1"/>
  <c r="J2140" i="1"/>
  <c r="L2139" i="1"/>
  <c r="J2139" i="1"/>
  <c r="L2138" i="1"/>
  <c r="J2138" i="1"/>
  <c r="L2137" i="1"/>
  <c r="J2137" i="1"/>
  <c r="L2136" i="1"/>
  <c r="J2136" i="1"/>
  <c r="L2135" i="1"/>
  <c r="J2135" i="1"/>
  <c r="L2134" i="1"/>
  <c r="J2134" i="1"/>
  <c r="L2133" i="1"/>
  <c r="J2133" i="1"/>
  <c r="L2132" i="1"/>
  <c r="J2132" i="1"/>
  <c r="L2131" i="1"/>
  <c r="J2131" i="1"/>
  <c r="L2130" i="1"/>
  <c r="J2130" i="1"/>
  <c r="L2129" i="1"/>
  <c r="J2129" i="1"/>
  <c r="L2128" i="1"/>
  <c r="J2128" i="1"/>
  <c r="L2127" i="1"/>
  <c r="J2127" i="1"/>
  <c r="L2126" i="1"/>
  <c r="J2126" i="1"/>
  <c r="L2125" i="1"/>
  <c r="J2125" i="1"/>
  <c r="L2124" i="1"/>
  <c r="J2124" i="1"/>
  <c r="L2123" i="1"/>
  <c r="J2123" i="1"/>
  <c r="L2122" i="1"/>
  <c r="J2122" i="1"/>
  <c r="L2121" i="1"/>
  <c r="J2121" i="1"/>
  <c r="L2120" i="1"/>
  <c r="J2120" i="1"/>
  <c r="L2119" i="1"/>
  <c r="J2119" i="1"/>
  <c r="L2118" i="1"/>
  <c r="J2118" i="1"/>
  <c r="L2117" i="1"/>
  <c r="J2117" i="1"/>
  <c r="L2116" i="1"/>
  <c r="J2116" i="1"/>
  <c r="L2115" i="1"/>
  <c r="J2115" i="1"/>
  <c r="L2114" i="1"/>
  <c r="J2114" i="1"/>
  <c r="L2113" i="1"/>
  <c r="J2113" i="1"/>
  <c r="L2112" i="1"/>
  <c r="J2112" i="1"/>
  <c r="L2111" i="1"/>
  <c r="J2111" i="1"/>
  <c r="L2110" i="1"/>
  <c r="J2110" i="1"/>
  <c r="L2109" i="1"/>
  <c r="J2109" i="1"/>
  <c r="L2108" i="1"/>
  <c r="J2108" i="1"/>
  <c r="L2107" i="1"/>
  <c r="J2107" i="1"/>
  <c r="L2106" i="1"/>
  <c r="J2106" i="1"/>
  <c r="L2105" i="1"/>
  <c r="J2105" i="1"/>
  <c r="L2104" i="1"/>
  <c r="J2104" i="1"/>
  <c r="L2103" i="1"/>
  <c r="J2103" i="1"/>
  <c r="L2102" i="1"/>
  <c r="J2102" i="1"/>
  <c r="L2101" i="1"/>
  <c r="J2101" i="1"/>
  <c r="L2100" i="1"/>
  <c r="J2100" i="1"/>
  <c r="L2099" i="1"/>
  <c r="J2099" i="1"/>
  <c r="L2098" i="1"/>
  <c r="J2098" i="1"/>
  <c r="L2097" i="1"/>
  <c r="J2097" i="1"/>
  <c r="L2096" i="1"/>
  <c r="J2096" i="1"/>
  <c r="L2095" i="1"/>
  <c r="J2095" i="1"/>
  <c r="L2094" i="1"/>
  <c r="J2094" i="1"/>
  <c r="L2093" i="1"/>
  <c r="J2093" i="1"/>
  <c r="L2092" i="1"/>
  <c r="J2092" i="1"/>
  <c r="L2091" i="1"/>
  <c r="J2091" i="1"/>
  <c r="L2090" i="1"/>
  <c r="J2090" i="1"/>
  <c r="L2089" i="1"/>
  <c r="J2089" i="1"/>
  <c r="L2088" i="1"/>
  <c r="J2088" i="1"/>
  <c r="L2087" i="1"/>
  <c r="J2087" i="1"/>
  <c r="L2086" i="1"/>
  <c r="J2086" i="1"/>
  <c r="L2085" i="1"/>
  <c r="J2085" i="1"/>
  <c r="L2084" i="1"/>
  <c r="J2084" i="1"/>
  <c r="L2083" i="1"/>
  <c r="J2083" i="1"/>
  <c r="L2082" i="1"/>
  <c r="J2082" i="1"/>
  <c r="L2081" i="1"/>
  <c r="J2081" i="1"/>
  <c r="L2080" i="1"/>
  <c r="J2080" i="1"/>
  <c r="L2079" i="1"/>
  <c r="J2079" i="1"/>
  <c r="L2078" i="1"/>
  <c r="J2078" i="1"/>
  <c r="L2077" i="1"/>
  <c r="J2077" i="1"/>
  <c r="L2076" i="1"/>
  <c r="J2076" i="1"/>
  <c r="L2075" i="1"/>
  <c r="J2075" i="1"/>
  <c r="L2074" i="1"/>
  <c r="J2074" i="1"/>
  <c r="L2073" i="1"/>
  <c r="J2073" i="1"/>
  <c r="L2072" i="1"/>
  <c r="J2072" i="1"/>
  <c r="L2071" i="1"/>
  <c r="J2071" i="1"/>
  <c r="L2070" i="1"/>
  <c r="J2070" i="1"/>
  <c r="L2069" i="1"/>
  <c r="J2069" i="1"/>
  <c r="L2068" i="1"/>
  <c r="J2068" i="1"/>
  <c r="L2067" i="1"/>
  <c r="J2067" i="1"/>
  <c r="L2066" i="1"/>
  <c r="J2066" i="1"/>
  <c r="L2065" i="1"/>
  <c r="J2065" i="1"/>
  <c r="L2064" i="1"/>
  <c r="J2064" i="1"/>
  <c r="L2063" i="1"/>
  <c r="J2063" i="1"/>
  <c r="L2062" i="1"/>
  <c r="J2062" i="1"/>
  <c r="L2061" i="1"/>
  <c r="J2061" i="1"/>
  <c r="L2060" i="1"/>
  <c r="J2060" i="1"/>
  <c r="L2059" i="1"/>
  <c r="J2059" i="1"/>
  <c r="L2058" i="1"/>
  <c r="J2058" i="1"/>
  <c r="L2057" i="1"/>
  <c r="J2057" i="1"/>
  <c r="L2056" i="1"/>
  <c r="J2056" i="1"/>
  <c r="L2055" i="1"/>
  <c r="J2055" i="1"/>
  <c r="L2054" i="1"/>
  <c r="J2054" i="1"/>
  <c r="L2053" i="1"/>
  <c r="J2053" i="1"/>
  <c r="L2052" i="1"/>
  <c r="J2052" i="1"/>
  <c r="L2051" i="1"/>
  <c r="J2051" i="1"/>
  <c r="L2050" i="1"/>
  <c r="J2050" i="1"/>
  <c r="L2049" i="1"/>
  <c r="J2049" i="1"/>
  <c r="L2048" i="1"/>
  <c r="J2048" i="1"/>
  <c r="L2047" i="1"/>
  <c r="J2047" i="1"/>
  <c r="L2046" i="1"/>
  <c r="J2046" i="1"/>
  <c r="L2045" i="1"/>
  <c r="J2045" i="1"/>
  <c r="L2044" i="1"/>
  <c r="J2044" i="1"/>
  <c r="L2043" i="1"/>
  <c r="J2043" i="1"/>
  <c r="L2042" i="1"/>
  <c r="J2042" i="1"/>
  <c r="L2041" i="1"/>
  <c r="J2041" i="1"/>
  <c r="L2040" i="1"/>
  <c r="J2040" i="1"/>
  <c r="L2039" i="1"/>
  <c r="J2039" i="1"/>
  <c r="L2038" i="1"/>
  <c r="J2038" i="1"/>
  <c r="L2037" i="1"/>
  <c r="J2037" i="1"/>
  <c r="L2036" i="1"/>
  <c r="J2036" i="1"/>
  <c r="L2035" i="1"/>
  <c r="J2035" i="1"/>
  <c r="L2034" i="1"/>
  <c r="J2034" i="1"/>
  <c r="L2033" i="1"/>
  <c r="J2033" i="1"/>
  <c r="L2032" i="1"/>
  <c r="J2032" i="1"/>
  <c r="L2031" i="1"/>
  <c r="J2031" i="1"/>
  <c r="L2030" i="1"/>
  <c r="J2030" i="1"/>
  <c r="L2029" i="1"/>
  <c r="J2029" i="1"/>
  <c r="L2028" i="1"/>
  <c r="J2028" i="1"/>
  <c r="L2027" i="1"/>
  <c r="J2027" i="1"/>
  <c r="L2026" i="1"/>
  <c r="J2026" i="1"/>
  <c r="L2025" i="1"/>
  <c r="J2025" i="1"/>
  <c r="L2024" i="1"/>
  <c r="J2024" i="1"/>
  <c r="L2023" i="1"/>
  <c r="J2023" i="1"/>
  <c r="L2022" i="1"/>
  <c r="J2022" i="1"/>
  <c r="L2021" i="1"/>
  <c r="J2021" i="1"/>
  <c r="L2020" i="1"/>
  <c r="J2020" i="1"/>
  <c r="L2019" i="1"/>
  <c r="J2019" i="1"/>
  <c r="L2018" i="1"/>
  <c r="J2018" i="1"/>
  <c r="L2017" i="1"/>
  <c r="J2017" i="1"/>
  <c r="L2016" i="1"/>
  <c r="J2016" i="1"/>
  <c r="L2015" i="1"/>
  <c r="J2015" i="1"/>
  <c r="L2014" i="1"/>
  <c r="J2014" i="1"/>
  <c r="L2013" i="1"/>
  <c r="J2013" i="1"/>
  <c r="L2012" i="1"/>
  <c r="J2012" i="1"/>
  <c r="L2011" i="1"/>
  <c r="J2011" i="1"/>
  <c r="L2010" i="1"/>
  <c r="J2010" i="1"/>
  <c r="L2009" i="1"/>
  <c r="J2009" i="1"/>
  <c r="L2008" i="1"/>
  <c r="J2008" i="1"/>
  <c r="L2007" i="1"/>
  <c r="J2007" i="1"/>
  <c r="L2006" i="1"/>
  <c r="J2006" i="1"/>
  <c r="L2005" i="1"/>
  <c r="J2005" i="1"/>
  <c r="L2004" i="1"/>
  <c r="J2004" i="1"/>
  <c r="L2003" i="1"/>
  <c r="J2003" i="1"/>
  <c r="L2002" i="1"/>
  <c r="J2002" i="1"/>
  <c r="L2001" i="1"/>
  <c r="J2001" i="1"/>
  <c r="L2000" i="1"/>
  <c r="J2000" i="1"/>
  <c r="L1999" i="1"/>
  <c r="J1999" i="1"/>
  <c r="L1998" i="1"/>
  <c r="J1998" i="1"/>
  <c r="L1997" i="1"/>
  <c r="J1997" i="1"/>
  <c r="L1996" i="1"/>
  <c r="J1996" i="1"/>
  <c r="L1995" i="1"/>
  <c r="J1995" i="1"/>
  <c r="L1994" i="1"/>
  <c r="J1994" i="1"/>
  <c r="L1993" i="1"/>
  <c r="J1993" i="1"/>
  <c r="L1992" i="1"/>
  <c r="J1992" i="1"/>
  <c r="L1991" i="1"/>
  <c r="J1991" i="1"/>
  <c r="L1990" i="1"/>
  <c r="J1990" i="1"/>
  <c r="L1989" i="1"/>
  <c r="J1989" i="1"/>
  <c r="L1988" i="1"/>
  <c r="J1988" i="1"/>
  <c r="L1987" i="1"/>
  <c r="J1987" i="1"/>
  <c r="L1986" i="1"/>
  <c r="J1986" i="1"/>
  <c r="L1985" i="1"/>
  <c r="J1985" i="1"/>
  <c r="L1984" i="1"/>
  <c r="J1984" i="1"/>
  <c r="L1983" i="1"/>
  <c r="J1983" i="1"/>
  <c r="L1982" i="1"/>
  <c r="J1982" i="1"/>
  <c r="L1981" i="1"/>
  <c r="J1981" i="1"/>
  <c r="L1980" i="1"/>
  <c r="J1980" i="1"/>
  <c r="L1979" i="1"/>
  <c r="J1979" i="1"/>
  <c r="L1978" i="1"/>
  <c r="J1978" i="1"/>
  <c r="L1977" i="1"/>
  <c r="J1977" i="1"/>
  <c r="L1976" i="1"/>
  <c r="J1976" i="1"/>
  <c r="L1975" i="1"/>
  <c r="J1975" i="1"/>
  <c r="L1974" i="1"/>
  <c r="J1974" i="1"/>
  <c r="L1973" i="1"/>
  <c r="J1973" i="1"/>
  <c r="L1972" i="1"/>
  <c r="J1972" i="1"/>
  <c r="L1971" i="1"/>
  <c r="J1971" i="1"/>
  <c r="L1970" i="1"/>
  <c r="J1970" i="1"/>
  <c r="L1969" i="1"/>
  <c r="J1969" i="1"/>
  <c r="L1968" i="1"/>
  <c r="J1968" i="1"/>
  <c r="L1967" i="1"/>
  <c r="J1967" i="1"/>
  <c r="L1966" i="1"/>
  <c r="J1966" i="1"/>
  <c r="L1965" i="1"/>
  <c r="J1965" i="1"/>
  <c r="L1964" i="1"/>
  <c r="J1964" i="1"/>
  <c r="L1963" i="1"/>
  <c r="J1963" i="1"/>
  <c r="L1962" i="1"/>
  <c r="J1962" i="1"/>
  <c r="L1961" i="1"/>
  <c r="J1961" i="1"/>
  <c r="L1960" i="1"/>
  <c r="J1960" i="1"/>
  <c r="L1959" i="1"/>
  <c r="J1959" i="1"/>
  <c r="L1958" i="1"/>
  <c r="J1958" i="1"/>
  <c r="L1957" i="1"/>
  <c r="J1957" i="1"/>
  <c r="L1956" i="1"/>
  <c r="J1956" i="1"/>
  <c r="L1955" i="1"/>
  <c r="J1955" i="1"/>
  <c r="L1954" i="1"/>
  <c r="J1954" i="1"/>
  <c r="L1953" i="1"/>
  <c r="J1953" i="1"/>
  <c r="L1952" i="1"/>
  <c r="J1952" i="1"/>
  <c r="L1951" i="1"/>
  <c r="J1951" i="1"/>
  <c r="L1950" i="1"/>
  <c r="J1950" i="1"/>
  <c r="L1949" i="1"/>
  <c r="J1949" i="1"/>
  <c r="L1948" i="1"/>
  <c r="J1948" i="1"/>
  <c r="L1947" i="1"/>
  <c r="J1947" i="1"/>
  <c r="L1946" i="1"/>
  <c r="J1946" i="1"/>
  <c r="L1945" i="1"/>
  <c r="J1945" i="1"/>
  <c r="L1944" i="1"/>
  <c r="J1944" i="1"/>
  <c r="L1943" i="1"/>
  <c r="J1943" i="1"/>
  <c r="L1942" i="1"/>
  <c r="J1942" i="1"/>
  <c r="L1941" i="1"/>
  <c r="J1941" i="1"/>
  <c r="L1940" i="1"/>
  <c r="J1940" i="1"/>
  <c r="L1939" i="1"/>
  <c r="J1939" i="1"/>
  <c r="L1938" i="1"/>
  <c r="J1938" i="1"/>
  <c r="L1937" i="1"/>
  <c r="J1937" i="1"/>
  <c r="L1936" i="1"/>
  <c r="J1936" i="1"/>
  <c r="L1935" i="1"/>
  <c r="J1935" i="1"/>
  <c r="L1934" i="1"/>
  <c r="J1934" i="1"/>
  <c r="L1933" i="1"/>
  <c r="J1933" i="1"/>
  <c r="L1932" i="1"/>
  <c r="J1932" i="1"/>
  <c r="L1931" i="1"/>
  <c r="J1931" i="1"/>
  <c r="L1930" i="1"/>
  <c r="J1930" i="1"/>
  <c r="L1929" i="1"/>
  <c r="J1929" i="1"/>
  <c r="L1928" i="1"/>
  <c r="J1928" i="1"/>
  <c r="L1927" i="1"/>
  <c r="J1927" i="1"/>
  <c r="L1926" i="1"/>
  <c r="J1926" i="1"/>
  <c r="L1925" i="1"/>
  <c r="J1925" i="1"/>
  <c r="L1924" i="1"/>
  <c r="J1924" i="1"/>
  <c r="L1923" i="1"/>
  <c r="J1923" i="1"/>
  <c r="L1922" i="1"/>
  <c r="J1922" i="1"/>
  <c r="L1921" i="1"/>
  <c r="J1921" i="1"/>
  <c r="L1920" i="1"/>
  <c r="J1920" i="1"/>
  <c r="L1919" i="1"/>
  <c r="J1919" i="1"/>
  <c r="L1918" i="1"/>
  <c r="J1918" i="1"/>
  <c r="L1917" i="1"/>
  <c r="J1917" i="1"/>
  <c r="L1916" i="1"/>
  <c r="J1916" i="1"/>
  <c r="L1915" i="1"/>
  <c r="J1915" i="1"/>
  <c r="L1914" i="1"/>
  <c r="J1914" i="1"/>
  <c r="L1913" i="1"/>
  <c r="J1913" i="1"/>
  <c r="L1912" i="1"/>
  <c r="J1912" i="1"/>
  <c r="L1911" i="1"/>
  <c r="J1911" i="1"/>
  <c r="L1910" i="1"/>
  <c r="J1910" i="1"/>
  <c r="L1909" i="1"/>
  <c r="J1909" i="1"/>
  <c r="L1908" i="1"/>
  <c r="J1908" i="1"/>
  <c r="L1907" i="1"/>
  <c r="J1907" i="1"/>
  <c r="L1906" i="1"/>
  <c r="J1906" i="1"/>
  <c r="L1905" i="1"/>
  <c r="J1905" i="1"/>
  <c r="L1904" i="1"/>
  <c r="J1904" i="1"/>
  <c r="L1903" i="1"/>
  <c r="J1903" i="1"/>
  <c r="L1902" i="1"/>
  <c r="J1902" i="1"/>
  <c r="L1901" i="1"/>
  <c r="J1901" i="1"/>
  <c r="L1900" i="1"/>
  <c r="J1900" i="1"/>
  <c r="L1899" i="1"/>
  <c r="J1899" i="1"/>
  <c r="L1898" i="1"/>
  <c r="J1898" i="1"/>
  <c r="L1897" i="1"/>
  <c r="J1897" i="1"/>
  <c r="L1896" i="1"/>
  <c r="J1896" i="1"/>
  <c r="L1895" i="1"/>
  <c r="J1895" i="1"/>
  <c r="L1894" i="1"/>
  <c r="J1894" i="1"/>
  <c r="L1893" i="1"/>
  <c r="J1893" i="1"/>
  <c r="L1892" i="1"/>
  <c r="J1892" i="1"/>
  <c r="L1891" i="1"/>
  <c r="J1891" i="1"/>
  <c r="L1890" i="1"/>
  <c r="J1890" i="1"/>
  <c r="L1889" i="1"/>
  <c r="J1889" i="1"/>
  <c r="L1888" i="1"/>
  <c r="J1888" i="1"/>
  <c r="L1887" i="1"/>
  <c r="J1887" i="1"/>
  <c r="L1886" i="1"/>
  <c r="J1886" i="1"/>
  <c r="L1885" i="1"/>
  <c r="J1885" i="1"/>
  <c r="L1884" i="1"/>
  <c r="J1884" i="1"/>
  <c r="L1883" i="1"/>
  <c r="J1883" i="1"/>
  <c r="L1882" i="1"/>
  <c r="J1882" i="1"/>
  <c r="L1881" i="1"/>
  <c r="J1881" i="1"/>
  <c r="L1880" i="1"/>
  <c r="J1880" i="1"/>
  <c r="L1879" i="1"/>
  <c r="J1879" i="1"/>
  <c r="L1878" i="1"/>
  <c r="J1878" i="1"/>
  <c r="L1877" i="1"/>
  <c r="J1877" i="1"/>
  <c r="L1876" i="1"/>
  <c r="J1876" i="1"/>
  <c r="L1875" i="1"/>
  <c r="J1875" i="1"/>
  <c r="L1874" i="1"/>
  <c r="J1874" i="1"/>
  <c r="L1873" i="1"/>
  <c r="J1873" i="1"/>
  <c r="L1872" i="1"/>
  <c r="J1872" i="1"/>
  <c r="L1871" i="1"/>
  <c r="J1871" i="1"/>
  <c r="L1870" i="1"/>
  <c r="J1870" i="1"/>
  <c r="L1869" i="1"/>
  <c r="J1869" i="1"/>
  <c r="L1868" i="1"/>
  <c r="J1868" i="1"/>
  <c r="L1867" i="1"/>
  <c r="J1867" i="1"/>
  <c r="L1866" i="1"/>
  <c r="J1866" i="1"/>
  <c r="L1865" i="1"/>
  <c r="J1865" i="1"/>
  <c r="L1864" i="1"/>
  <c r="J1864" i="1"/>
  <c r="L1863" i="1"/>
  <c r="J1863" i="1"/>
  <c r="L1862" i="1"/>
  <c r="J1862" i="1"/>
  <c r="L1861" i="1"/>
  <c r="J1861" i="1"/>
  <c r="L1860" i="1"/>
  <c r="J1860" i="1"/>
  <c r="J1859" i="1"/>
  <c r="L1859" i="1" s="1"/>
  <c r="L1858" i="1"/>
  <c r="J1858" i="1"/>
  <c r="L1857" i="1"/>
  <c r="J1857" i="1"/>
  <c r="L1856" i="1"/>
  <c r="J1856" i="1"/>
  <c r="L1855" i="1"/>
  <c r="J1855" i="1"/>
  <c r="L1854" i="1"/>
  <c r="J1854" i="1"/>
  <c r="L1853" i="1"/>
  <c r="J1853" i="1"/>
  <c r="L1852" i="1"/>
  <c r="J1852" i="1"/>
  <c r="L1851" i="1"/>
  <c r="J1851" i="1"/>
  <c r="L1850" i="1"/>
  <c r="J1850" i="1"/>
  <c r="L1849" i="1"/>
  <c r="J1849" i="1"/>
  <c r="L1848" i="1"/>
  <c r="J1848" i="1"/>
  <c r="L1847" i="1"/>
  <c r="J1847" i="1"/>
  <c r="L1846" i="1"/>
  <c r="J1846" i="1"/>
  <c r="L1845" i="1"/>
  <c r="J1845" i="1"/>
  <c r="L1844" i="1"/>
  <c r="J1844" i="1"/>
  <c r="L1843" i="1"/>
  <c r="J1843" i="1"/>
  <c r="L1842" i="1"/>
  <c r="J1842" i="1"/>
  <c r="L1841" i="1"/>
  <c r="J1841" i="1"/>
  <c r="L1840" i="1"/>
  <c r="J1840" i="1"/>
  <c r="L1839" i="1"/>
  <c r="J1839" i="1"/>
  <c r="L1838" i="1"/>
  <c r="J1838" i="1"/>
  <c r="L1837" i="1"/>
  <c r="J1837" i="1"/>
  <c r="L1836" i="1"/>
  <c r="J1836" i="1"/>
  <c r="L1835" i="1"/>
  <c r="J1835" i="1"/>
  <c r="L1834" i="1"/>
  <c r="J1834" i="1"/>
  <c r="L1833" i="1"/>
  <c r="J1833" i="1"/>
  <c r="L1832" i="1"/>
  <c r="J1832" i="1"/>
  <c r="L1831" i="1"/>
  <c r="J1831" i="1"/>
  <c r="L1830" i="1"/>
  <c r="J1830" i="1"/>
  <c r="L1829" i="1"/>
  <c r="J1829" i="1"/>
  <c r="L1828" i="1"/>
  <c r="J1828" i="1"/>
  <c r="L1827" i="1"/>
  <c r="J1827" i="1"/>
  <c r="L1826" i="1"/>
  <c r="J1826" i="1"/>
  <c r="L1825" i="1"/>
  <c r="J1825" i="1"/>
  <c r="L1824" i="1"/>
  <c r="J1824" i="1"/>
  <c r="L1823" i="1"/>
  <c r="J1823" i="1"/>
  <c r="L1822" i="1"/>
  <c r="J1822" i="1"/>
  <c r="L1821" i="1"/>
  <c r="J1821" i="1"/>
  <c r="L1820" i="1"/>
  <c r="J1820" i="1"/>
  <c r="L1819" i="1"/>
  <c r="J1819" i="1"/>
  <c r="L1818" i="1"/>
  <c r="J1818" i="1"/>
  <c r="L1817" i="1"/>
  <c r="J1817" i="1"/>
  <c r="L1816" i="1"/>
  <c r="J1816" i="1"/>
  <c r="L1815" i="1"/>
  <c r="J1815" i="1"/>
  <c r="L1814" i="1"/>
  <c r="J1814" i="1"/>
  <c r="L1813" i="1"/>
  <c r="J1813" i="1"/>
  <c r="L1812" i="1"/>
  <c r="J1812" i="1"/>
  <c r="J1811" i="1"/>
  <c r="L1811" i="1" s="1"/>
  <c r="J1810" i="1"/>
  <c r="L1810" i="1" s="1"/>
  <c r="J1809" i="1"/>
  <c r="L1809" i="1" s="1"/>
  <c r="L1808" i="1"/>
  <c r="J1808" i="1"/>
  <c r="J1807" i="1"/>
  <c r="L1807" i="1" s="1"/>
  <c r="L1806" i="1"/>
  <c r="J1806" i="1"/>
  <c r="L1805" i="1"/>
  <c r="J1805" i="1"/>
  <c r="L1804" i="1"/>
  <c r="J1804" i="1"/>
  <c r="J1803" i="1"/>
  <c r="L1803" i="1" s="1"/>
  <c r="J1802" i="1"/>
  <c r="L1802" i="1" s="1"/>
  <c r="L1801" i="1"/>
  <c r="J1801" i="1"/>
  <c r="L1800" i="1"/>
  <c r="J1800" i="1"/>
  <c r="L1799" i="1"/>
  <c r="J1799" i="1"/>
  <c r="L1798" i="1"/>
  <c r="J1798" i="1"/>
  <c r="L1797" i="1"/>
  <c r="J1797" i="1"/>
  <c r="L1796" i="1"/>
  <c r="J1796" i="1"/>
  <c r="L1795" i="1"/>
  <c r="J1795" i="1"/>
  <c r="J1794" i="1"/>
  <c r="L1794" i="1" s="1"/>
  <c r="J1793" i="1"/>
  <c r="L1793" i="1" s="1"/>
  <c r="J1792" i="1"/>
  <c r="L1792" i="1" s="1"/>
  <c r="L1791" i="1"/>
  <c r="J1791" i="1"/>
  <c r="J1790" i="1"/>
  <c r="L1790" i="1" s="1"/>
  <c r="J1789" i="1"/>
  <c r="L1789" i="1" s="1"/>
  <c r="J1788" i="1"/>
  <c r="L1788" i="1" s="1"/>
  <c r="L1787" i="1"/>
  <c r="J1787" i="1"/>
  <c r="L1786" i="1"/>
  <c r="J1786" i="1"/>
  <c r="L1785" i="1"/>
  <c r="J1785" i="1"/>
  <c r="J1784" i="1"/>
  <c r="L1784" i="1" s="1"/>
  <c r="L1783" i="1"/>
  <c r="J1783" i="1"/>
  <c r="L1782" i="1"/>
  <c r="J1782" i="1"/>
  <c r="L1781" i="1"/>
  <c r="J1781" i="1"/>
  <c r="L1780" i="1"/>
  <c r="J1780" i="1"/>
  <c r="L1779" i="1"/>
  <c r="J1779" i="1"/>
  <c r="J1778" i="1"/>
  <c r="L1778" i="1" s="1"/>
  <c r="J1777" i="1"/>
  <c r="L1777" i="1" s="1"/>
  <c r="J1776" i="1"/>
  <c r="L1776" i="1" s="1"/>
  <c r="J1775" i="1"/>
  <c r="L1775" i="1" s="1"/>
  <c r="J1774" i="1"/>
  <c r="L1774" i="1" s="1"/>
  <c r="J1773" i="1"/>
  <c r="L1773" i="1" s="1"/>
  <c r="L1772" i="1"/>
  <c r="J1772" i="1"/>
  <c r="L1771" i="1"/>
  <c r="J1771" i="1"/>
  <c r="L1770" i="1"/>
  <c r="J1770" i="1"/>
  <c r="L1769" i="1"/>
  <c r="J1769" i="1"/>
  <c r="L1768" i="1"/>
  <c r="J1768" i="1"/>
  <c r="J1767" i="1"/>
  <c r="L1767" i="1" s="1"/>
  <c r="J1766" i="1"/>
  <c r="L1766" i="1" s="1"/>
  <c r="J1765" i="1"/>
  <c r="L1765" i="1" s="1"/>
  <c r="L1764" i="1"/>
  <c r="J1764" i="1"/>
  <c r="L1763" i="1"/>
  <c r="J1763" i="1"/>
  <c r="L1762" i="1"/>
  <c r="J1762" i="1"/>
  <c r="L1761" i="1"/>
  <c r="J1761" i="1"/>
  <c r="J1760" i="1"/>
  <c r="L1760" i="1" s="1"/>
  <c r="J1759" i="1"/>
  <c r="L1759" i="1" s="1"/>
  <c r="J1758" i="1"/>
  <c r="L1758" i="1" s="1"/>
  <c r="J1757" i="1"/>
  <c r="L1757" i="1" s="1"/>
  <c r="J1756" i="1"/>
  <c r="L1756" i="1" s="1"/>
  <c r="L1755" i="1"/>
  <c r="J1755" i="1"/>
  <c r="L1754" i="1"/>
  <c r="J1754" i="1"/>
  <c r="L1753" i="1"/>
  <c r="J1753" i="1"/>
  <c r="L1752" i="1"/>
  <c r="J1752" i="1"/>
  <c r="L1751" i="1"/>
  <c r="J1751" i="1"/>
  <c r="J1750" i="1"/>
  <c r="L1750" i="1" s="1"/>
  <c r="L1749" i="1"/>
  <c r="J1749" i="1"/>
  <c r="J1748" i="1"/>
  <c r="L1748" i="1" s="1"/>
  <c r="J1747" i="1"/>
  <c r="L1747" i="1" s="1"/>
  <c r="J1746" i="1"/>
  <c r="L1746" i="1" s="1"/>
  <c r="L1745" i="1"/>
  <c r="J1745" i="1"/>
  <c r="J1744" i="1"/>
  <c r="L1744" i="1" s="1"/>
  <c r="J1743" i="1"/>
  <c r="L1743" i="1" s="1"/>
  <c r="J1742" i="1"/>
  <c r="L1742" i="1" s="1"/>
  <c r="L1741" i="1"/>
  <c r="J1741" i="1"/>
  <c r="L1740" i="1"/>
  <c r="J1740" i="1"/>
  <c r="L1739" i="1"/>
  <c r="J1739" i="1"/>
  <c r="L1738" i="1"/>
  <c r="J1738" i="1"/>
  <c r="L1737" i="1"/>
  <c r="J1737" i="1"/>
  <c r="L1736" i="1"/>
  <c r="J1736" i="1"/>
  <c r="L1735" i="1"/>
  <c r="J1735" i="1"/>
  <c r="L1734" i="1"/>
  <c r="J1734" i="1"/>
  <c r="L1733" i="1"/>
  <c r="J1733" i="1"/>
  <c r="J1732" i="1"/>
  <c r="L1732" i="1" s="1"/>
  <c r="J1731" i="1"/>
  <c r="L1731" i="1" s="1"/>
  <c r="J1730" i="1"/>
  <c r="L1730" i="1" s="1"/>
  <c r="J1729" i="1"/>
  <c r="L1729" i="1" s="1"/>
  <c r="J1728" i="1"/>
  <c r="L1728" i="1" s="1"/>
  <c r="J1727" i="1"/>
  <c r="L1727" i="1" s="1"/>
  <c r="J1726" i="1"/>
  <c r="L1726" i="1" s="1"/>
  <c r="L1725" i="1"/>
  <c r="J1725" i="1"/>
  <c r="J1724" i="1"/>
  <c r="L1724" i="1" s="1"/>
  <c r="L1723" i="1"/>
  <c r="J1723" i="1"/>
  <c r="L1722" i="1"/>
  <c r="J1722" i="1"/>
  <c r="L1721" i="1"/>
  <c r="J1721" i="1"/>
  <c r="L1720" i="1"/>
  <c r="J1720" i="1"/>
  <c r="L1719" i="1"/>
  <c r="J1719" i="1"/>
  <c r="J1718" i="1"/>
  <c r="L1718" i="1" s="1"/>
  <c r="J1717" i="1"/>
  <c r="L1717" i="1" s="1"/>
  <c r="J1716" i="1"/>
  <c r="L1716" i="1" s="1"/>
  <c r="J1715" i="1"/>
  <c r="L1715" i="1" s="1"/>
  <c r="J1714" i="1"/>
  <c r="L1714" i="1" s="1"/>
  <c r="J1713" i="1"/>
  <c r="L1713" i="1" s="1"/>
  <c r="L1712" i="1"/>
  <c r="J1712" i="1"/>
  <c r="L1711" i="1"/>
  <c r="J1711" i="1"/>
  <c r="J1710" i="1"/>
  <c r="L1710" i="1" s="1"/>
  <c r="J1709" i="1"/>
  <c r="L1709" i="1" s="1"/>
  <c r="J1708" i="1"/>
  <c r="L1708" i="1" s="1"/>
  <c r="L1707" i="1"/>
  <c r="J1707" i="1"/>
  <c r="J1706" i="1"/>
  <c r="L1706" i="1" s="1"/>
  <c r="J1705" i="1"/>
  <c r="L1705" i="1" s="1"/>
  <c r="L1704" i="1"/>
  <c r="J1704" i="1"/>
  <c r="L1703" i="1"/>
  <c r="J1703" i="1"/>
  <c r="L1702" i="1"/>
  <c r="J1702" i="1"/>
  <c r="L1701" i="1"/>
  <c r="J1701" i="1"/>
  <c r="L1700" i="1"/>
  <c r="J1700" i="1"/>
  <c r="J1699" i="1"/>
  <c r="L1699" i="1" s="1"/>
  <c r="L1698" i="1"/>
  <c r="J1698" i="1"/>
  <c r="L1697" i="1"/>
  <c r="J1697" i="1"/>
  <c r="L1696" i="1"/>
  <c r="J1696" i="1"/>
  <c r="L1695" i="1"/>
  <c r="J1695" i="1"/>
  <c r="L1694" i="1"/>
  <c r="J1694" i="1"/>
  <c r="L1693" i="1"/>
  <c r="J1693" i="1"/>
  <c r="J1692" i="1"/>
  <c r="L1692" i="1" s="1"/>
  <c r="J1691" i="1"/>
  <c r="L1691" i="1" s="1"/>
  <c r="J1690" i="1"/>
  <c r="L1690" i="1" s="1"/>
  <c r="J1689" i="1"/>
  <c r="L1689" i="1" s="1"/>
  <c r="L1688" i="1"/>
  <c r="J1688" i="1"/>
  <c r="L1687" i="1"/>
  <c r="J1687" i="1"/>
  <c r="L1686" i="1"/>
  <c r="J1686" i="1"/>
  <c r="L1685" i="1"/>
  <c r="J1685" i="1"/>
  <c r="L1684" i="1"/>
  <c r="J1684" i="1"/>
  <c r="L1683" i="1"/>
  <c r="J1683" i="1"/>
  <c r="L1682" i="1"/>
  <c r="J1682" i="1"/>
  <c r="J1681" i="1"/>
  <c r="L1681" i="1" s="1"/>
  <c r="J1680" i="1"/>
  <c r="L1680" i="1" s="1"/>
  <c r="J1679" i="1"/>
  <c r="L1679" i="1" s="1"/>
  <c r="L1678" i="1"/>
  <c r="J1678" i="1"/>
  <c r="J1677" i="1"/>
  <c r="L1677" i="1" s="1"/>
  <c r="L1676" i="1"/>
  <c r="J1676" i="1"/>
  <c r="J1675" i="1"/>
  <c r="L1675" i="1" s="1"/>
  <c r="J1674" i="1"/>
  <c r="L1674" i="1" s="1"/>
  <c r="L1673" i="1"/>
  <c r="J1673" i="1"/>
  <c r="L1672" i="1"/>
  <c r="J1672" i="1"/>
  <c r="L1671" i="1"/>
  <c r="J1671" i="1"/>
  <c r="L1670" i="1"/>
  <c r="J1670" i="1"/>
  <c r="L1669" i="1"/>
  <c r="J1669" i="1"/>
  <c r="J1668" i="1"/>
  <c r="L1668" i="1" s="1"/>
  <c r="J1667" i="1"/>
  <c r="L1667" i="1" s="1"/>
  <c r="L1666" i="1"/>
  <c r="J1666" i="1"/>
  <c r="L1665" i="1"/>
  <c r="J1665" i="1"/>
  <c r="L1664" i="1"/>
  <c r="J1664" i="1"/>
  <c r="L1663" i="1"/>
  <c r="J1663" i="1"/>
  <c r="L1662" i="1"/>
  <c r="J1662" i="1"/>
  <c r="J1661" i="1"/>
  <c r="L1661" i="1" s="1"/>
  <c r="J1660" i="1"/>
  <c r="L1660" i="1" s="1"/>
  <c r="J1659" i="1"/>
  <c r="L1659" i="1" s="1"/>
  <c r="J1658" i="1"/>
  <c r="L1658" i="1" s="1"/>
  <c r="J1657" i="1"/>
  <c r="L1657" i="1" s="1"/>
  <c r="L1656" i="1"/>
  <c r="J1656" i="1"/>
  <c r="L1655" i="1"/>
  <c r="J1655" i="1"/>
  <c r="L1654" i="1"/>
  <c r="J1654" i="1"/>
  <c r="L1653" i="1"/>
  <c r="J1653" i="1"/>
  <c r="L1652" i="1"/>
  <c r="J1652" i="1"/>
  <c r="L1651" i="1"/>
  <c r="J1651" i="1"/>
  <c r="L1650" i="1"/>
  <c r="J1650" i="1"/>
  <c r="L1649" i="1"/>
  <c r="J1649" i="1"/>
  <c r="J1648" i="1"/>
  <c r="L1648" i="1" s="1"/>
  <c r="J1647" i="1"/>
  <c r="L1647" i="1" s="1"/>
  <c r="J1646" i="1"/>
  <c r="L1646" i="1" s="1"/>
  <c r="L1645" i="1"/>
  <c r="J1645" i="1"/>
  <c r="J1644" i="1"/>
  <c r="L1644" i="1" s="1"/>
  <c r="J1643" i="1"/>
  <c r="L1643" i="1" s="1"/>
  <c r="J1642" i="1"/>
  <c r="L1642" i="1" s="1"/>
  <c r="L1641" i="1"/>
  <c r="J1641" i="1"/>
  <c r="J1640" i="1"/>
  <c r="L1640" i="1" s="1"/>
  <c r="J1639" i="1"/>
  <c r="L1639" i="1" s="1"/>
  <c r="J1638" i="1"/>
  <c r="L1638" i="1" s="1"/>
  <c r="J1637" i="1"/>
  <c r="L1637" i="1" s="1"/>
  <c r="J1636" i="1"/>
  <c r="L1636" i="1" s="1"/>
  <c r="J1635" i="1"/>
  <c r="L1635" i="1" s="1"/>
  <c r="J1634" i="1"/>
  <c r="L1634" i="1" s="1"/>
  <c r="J1633" i="1"/>
  <c r="L1633" i="1" s="1"/>
  <c r="J1632" i="1"/>
  <c r="L1632" i="1" s="1"/>
  <c r="J1631" i="1"/>
  <c r="L1631" i="1" s="1"/>
  <c r="J1630" i="1"/>
  <c r="L1630" i="1" s="1"/>
  <c r="J1629" i="1"/>
  <c r="L1629" i="1" s="1"/>
  <c r="J1628" i="1"/>
  <c r="L1628" i="1" s="1"/>
  <c r="J1627" i="1"/>
  <c r="L1627" i="1" s="1"/>
  <c r="J1626" i="1"/>
  <c r="L1626" i="1" s="1"/>
  <c r="J1625" i="1"/>
  <c r="L1625" i="1" s="1"/>
  <c r="J1624" i="1"/>
  <c r="L1624" i="1" s="1"/>
  <c r="J1623" i="1"/>
  <c r="L1623" i="1" s="1"/>
  <c r="J1622" i="1"/>
  <c r="L1622" i="1" s="1"/>
  <c r="J1621" i="1"/>
  <c r="L1621" i="1" s="1"/>
  <c r="J1620" i="1"/>
  <c r="L1620" i="1" s="1"/>
  <c r="J1619" i="1"/>
  <c r="L1619" i="1" s="1"/>
  <c r="J1618" i="1"/>
  <c r="L1618" i="1" s="1"/>
  <c r="L1617" i="1"/>
  <c r="J1617" i="1"/>
  <c r="J1616" i="1"/>
  <c r="L1616" i="1" s="1"/>
  <c r="J1615" i="1"/>
  <c r="L1615" i="1" s="1"/>
  <c r="J1614" i="1"/>
  <c r="L1614" i="1" s="1"/>
  <c r="J1613" i="1"/>
  <c r="L1613" i="1" s="1"/>
  <c r="J1612" i="1"/>
  <c r="L1612" i="1" s="1"/>
  <c r="J1611" i="1"/>
  <c r="L1611" i="1" s="1"/>
  <c r="J1610" i="1"/>
  <c r="L1610" i="1" s="1"/>
  <c r="J1609" i="1"/>
  <c r="L1609" i="1" s="1"/>
  <c r="J1608" i="1"/>
  <c r="L1608" i="1" s="1"/>
  <c r="J1607" i="1"/>
  <c r="L1607" i="1" s="1"/>
  <c r="J1606" i="1"/>
  <c r="L1606" i="1" s="1"/>
  <c r="J1605" i="1"/>
  <c r="L1605" i="1" s="1"/>
  <c r="J1604" i="1"/>
  <c r="L1604" i="1" s="1"/>
  <c r="J1603" i="1"/>
  <c r="L1603" i="1" s="1"/>
  <c r="J1602" i="1"/>
  <c r="L1602" i="1" s="1"/>
  <c r="J1601" i="1"/>
  <c r="L1601" i="1" s="1"/>
  <c r="J1600" i="1"/>
  <c r="L1600" i="1" s="1"/>
  <c r="J1599" i="1"/>
  <c r="L1599" i="1" s="1"/>
  <c r="J1598" i="1"/>
  <c r="L1598" i="1" s="1"/>
  <c r="J1597" i="1"/>
  <c r="L1597" i="1" s="1"/>
  <c r="J1596" i="1"/>
  <c r="L1596" i="1" s="1"/>
  <c r="J1595" i="1"/>
  <c r="L1595" i="1" s="1"/>
  <c r="J1594" i="1"/>
  <c r="L1594" i="1" s="1"/>
  <c r="J1593" i="1"/>
  <c r="L1593" i="1" s="1"/>
  <c r="J1592" i="1"/>
  <c r="L1592" i="1" s="1"/>
  <c r="J1591" i="1"/>
  <c r="L1591" i="1" s="1"/>
  <c r="J1590" i="1"/>
  <c r="L1590" i="1" s="1"/>
  <c r="J1589" i="1"/>
  <c r="L1589" i="1" s="1"/>
  <c r="J1588" i="1"/>
  <c r="L1588" i="1" s="1"/>
  <c r="J1587" i="1"/>
  <c r="L1587" i="1" s="1"/>
  <c r="J1586" i="1"/>
  <c r="L1586" i="1" s="1"/>
  <c r="J1585" i="1"/>
  <c r="L1585" i="1" s="1"/>
  <c r="J1584" i="1"/>
  <c r="L1584" i="1" s="1"/>
  <c r="J1583" i="1"/>
  <c r="L1583" i="1" s="1"/>
  <c r="J1582" i="1"/>
  <c r="L1582" i="1" s="1"/>
  <c r="J1581" i="1"/>
  <c r="L1581" i="1" s="1"/>
  <c r="J1580" i="1"/>
  <c r="L1580" i="1" s="1"/>
  <c r="J1579" i="1"/>
  <c r="L1579" i="1" s="1"/>
  <c r="J1578" i="1"/>
  <c r="L1578" i="1" s="1"/>
  <c r="J1577" i="1"/>
  <c r="L1577" i="1" s="1"/>
  <c r="J1576" i="1"/>
  <c r="L1576" i="1" s="1"/>
  <c r="J1575" i="1"/>
  <c r="L1575" i="1" s="1"/>
  <c r="J1574" i="1"/>
  <c r="L1574" i="1" s="1"/>
  <c r="J1573" i="1"/>
  <c r="L1573" i="1" s="1"/>
  <c r="J1572" i="1"/>
  <c r="L1572" i="1" s="1"/>
  <c r="J1571" i="1"/>
  <c r="L1571" i="1" s="1"/>
  <c r="J1570" i="1"/>
  <c r="L1570" i="1" s="1"/>
  <c r="J1569" i="1"/>
  <c r="L1569" i="1" s="1"/>
  <c r="L1568" i="1"/>
  <c r="J1568" i="1"/>
  <c r="J1567" i="1"/>
  <c r="L1567" i="1" s="1"/>
  <c r="J1566" i="1"/>
  <c r="L1566" i="1" s="1"/>
  <c r="J1565" i="1"/>
  <c r="L1565" i="1" s="1"/>
  <c r="J1564" i="1"/>
  <c r="L1564" i="1" s="1"/>
  <c r="J1563" i="1"/>
  <c r="L1563" i="1" s="1"/>
  <c r="J1562" i="1"/>
  <c r="L1562" i="1" s="1"/>
  <c r="J1561" i="1"/>
  <c r="L1561" i="1" s="1"/>
  <c r="J1560" i="1"/>
  <c r="L1560" i="1" s="1"/>
  <c r="L1559" i="1"/>
  <c r="J1559" i="1"/>
  <c r="J1558" i="1"/>
  <c r="L1558" i="1" s="1"/>
  <c r="J1557" i="1"/>
  <c r="L1557" i="1" s="1"/>
  <c r="J1556" i="1"/>
  <c r="L1556" i="1" s="1"/>
  <c r="J1555" i="1"/>
  <c r="L1555" i="1" s="1"/>
  <c r="J1554" i="1"/>
  <c r="L1554" i="1" s="1"/>
  <c r="J1553" i="1"/>
  <c r="L1553" i="1" s="1"/>
  <c r="J1552" i="1"/>
  <c r="L1552" i="1" s="1"/>
  <c r="J1551" i="1"/>
  <c r="L1551" i="1" s="1"/>
  <c r="J1550" i="1"/>
  <c r="L1550" i="1" s="1"/>
  <c r="J1549" i="1"/>
  <c r="L1549" i="1" s="1"/>
  <c r="J1548" i="1"/>
  <c r="L1548" i="1" s="1"/>
  <c r="J1547" i="1"/>
  <c r="L1547" i="1" s="1"/>
  <c r="J1546" i="1"/>
  <c r="L1546" i="1" s="1"/>
  <c r="J1545" i="1"/>
  <c r="L1545" i="1" s="1"/>
  <c r="J1544" i="1"/>
  <c r="L1544" i="1" s="1"/>
  <c r="J1543" i="1"/>
  <c r="L1543" i="1" s="1"/>
  <c r="J1542" i="1"/>
  <c r="L1542" i="1" s="1"/>
  <c r="J1541" i="1"/>
  <c r="L1541" i="1" s="1"/>
  <c r="J1540" i="1"/>
  <c r="L1540" i="1" s="1"/>
  <c r="J1539" i="1"/>
  <c r="L1539" i="1" s="1"/>
  <c r="J1538" i="1"/>
  <c r="L1538" i="1" s="1"/>
  <c r="J1537" i="1"/>
  <c r="L1537" i="1" s="1"/>
  <c r="J1536" i="1"/>
  <c r="L1536" i="1" s="1"/>
  <c r="J1535" i="1"/>
  <c r="L1535" i="1" s="1"/>
  <c r="J1534" i="1"/>
  <c r="L1534" i="1" s="1"/>
  <c r="J1533" i="1"/>
  <c r="L1533" i="1" s="1"/>
  <c r="J1532" i="1"/>
  <c r="L1532" i="1" s="1"/>
  <c r="J1531" i="1"/>
  <c r="L1531" i="1" s="1"/>
  <c r="J1530" i="1"/>
  <c r="L1530" i="1" s="1"/>
  <c r="J1529" i="1"/>
  <c r="L1529" i="1" s="1"/>
  <c r="J1528" i="1"/>
  <c r="L1528" i="1" s="1"/>
  <c r="J1527" i="1"/>
  <c r="L1527" i="1" s="1"/>
  <c r="L1526" i="1"/>
  <c r="J1526" i="1"/>
  <c r="J1525" i="1"/>
  <c r="L1525" i="1" s="1"/>
  <c r="J1524" i="1"/>
  <c r="L1524" i="1" s="1"/>
  <c r="J1523" i="1"/>
  <c r="L1523" i="1" s="1"/>
  <c r="J1522" i="1"/>
  <c r="L1522" i="1" s="1"/>
  <c r="J1521" i="1"/>
  <c r="L1521" i="1" s="1"/>
  <c r="J1520" i="1"/>
  <c r="L1520" i="1" s="1"/>
  <c r="J1519" i="1"/>
  <c r="L1519" i="1" s="1"/>
  <c r="J1518" i="1"/>
  <c r="L1518" i="1" s="1"/>
  <c r="J1517" i="1"/>
  <c r="L1517" i="1" s="1"/>
  <c r="J1516" i="1"/>
  <c r="L1516" i="1" s="1"/>
  <c r="J1515" i="1"/>
  <c r="L1515" i="1" s="1"/>
  <c r="J1514" i="1"/>
  <c r="L1514" i="1" s="1"/>
  <c r="J1513" i="1"/>
  <c r="L1513" i="1" s="1"/>
  <c r="J1512" i="1"/>
  <c r="L1512" i="1" s="1"/>
  <c r="J1511" i="1"/>
  <c r="L1511" i="1" s="1"/>
  <c r="J1510" i="1"/>
  <c r="L1510" i="1" s="1"/>
  <c r="J1509" i="1"/>
  <c r="L1509" i="1" s="1"/>
  <c r="J1508" i="1"/>
  <c r="L1508" i="1" s="1"/>
  <c r="J1507" i="1"/>
  <c r="L1507" i="1" s="1"/>
  <c r="J1506" i="1"/>
  <c r="L1506" i="1" s="1"/>
  <c r="J1505" i="1"/>
  <c r="L1505" i="1" s="1"/>
  <c r="J1504" i="1"/>
  <c r="L1504" i="1" s="1"/>
  <c r="J1503" i="1"/>
  <c r="L1503" i="1" s="1"/>
  <c r="J1502" i="1"/>
  <c r="L1502" i="1" s="1"/>
  <c r="J1501" i="1"/>
  <c r="L1501" i="1" s="1"/>
  <c r="J1500" i="1"/>
  <c r="L1500" i="1" s="1"/>
  <c r="J1499" i="1"/>
  <c r="L1499" i="1" s="1"/>
  <c r="J1498" i="1"/>
  <c r="L1498" i="1" s="1"/>
  <c r="L1497" i="1"/>
  <c r="J1497" i="1"/>
  <c r="J1496" i="1"/>
  <c r="L1496" i="1" s="1"/>
  <c r="J1495" i="1"/>
  <c r="L1495" i="1" s="1"/>
  <c r="J1494" i="1"/>
  <c r="L1494" i="1" s="1"/>
  <c r="J1493" i="1"/>
  <c r="L1493" i="1" s="1"/>
  <c r="J1492" i="1"/>
  <c r="L1492" i="1" s="1"/>
  <c r="J1491" i="1"/>
  <c r="L1491" i="1" s="1"/>
  <c r="J1490" i="1"/>
  <c r="L1490" i="1" s="1"/>
  <c r="J1489" i="1"/>
  <c r="L1489" i="1" s="1"/>
  <c r="J1488" i="1"/>
  <c r="L1488" i="1" s="1"/>
  <c r="J1487" i="1"/>
  <c r="L1487" i="1" s="1"/>
  <c r="J1486" i="1"/>
  <c r="L1486" i="1" s="1"/>
  <c r="J1485" i="1"/>
  <c r="L1485" i="1" s="1"/>
  <c r="J1484" i="1"/>
  <c r="L1484" i="1" s="1"/>
  <c r="J1483" i="1"/>
  <c r="L1483" i="1" s="1"/>
  <c r="L1482" i="1"/>
  <c r="J1482" i="1"/>
  <c r="J1481" i="1"/>
  <c r="L1481" i="1" s="1"/>
  <c r="J1480" i="1"/>
  <c r="L1480" i="1" s="1"/>
  <c r="J1479" i="1"/>
  <c r="L1479" i="1" s="1"/>
  <c r="J1478" i="1"/>
  <c r="L1478" i="1" s="1"/>
  <c r="J1477" i="1"/>
  <c r="L1477" i="1" s="1"/>
  <c r="J1476" i="1"/>
  <c r="L1476" i="1" s="1"/>
  <c r="J1475" i="1"/>
  <c r="L1475" i="1" s="1"/>
  <c r="J1474" i="1"/>
  <c r="L1474" i="1" s="1"/>
  <c r="J1473" i="1"/>
  <c r="L1473" i="1" s="1"/>
  <c r="J1472" i="1"/>
  <c r="L1472" i="1" s="1"/>
  <c r="J1471" i="1"/>
  <c r="L1471" i="1" s="1"/>
  <c r="L1470" i="1"/>
  <c r="J1470" i="1"/>
  <c r="J1469" i="1"/>
  <c r="L1469" i="1" s="1"/>
  <c r="J1468" i="1"/>
  <c r="L1468" i="1" s="1"/>
  <c r="J1467" i="1"/>
  <c r="L1467" i="1" s="1"/>
  <c r="J1466" i="1"/>
  <c r="L1466" i="1" s="1"/>
  <c r="J1465" i="1"/>
  <c r="L1465" i="1" s="1"/>
  <c r="J1464" i="1"/>
  <c r="L1464" i="1" s="1"/>
  <c r="J1463" i="1"/>
  <c r="L1463" i="1" s="1"/>
  <c r="J1462" i="1"/>
  <c r="L1462" i="1" s="1"/>
  <c r="J1461" i="1"/>
  <c r="L1461" i="1" s="1"/>
  <c r="J1460" i="1"/>
  <c r="L1460" i="1" s="1"/>
  <c r="J1459" i="1"/>
  <c r="L1459" i="1" s="1"/>
  <c r="J1458" i="1"/>
  <c r="L1458" i="1" s="1"/>
  <c r="J1457" i="1"/>
  <c r="L1457" i="1" s="1"/>
  <c r="J1456" i="1"/>
  <c r="L1456" i="1" s="1"/>
  <c r="J1455" i="1"/>
  <c r="L1455" i="1" s="1"/>
  <c r="L1454" i="1"/>
  <c r="J1454" i="1"/>
  <c r="L1453" i="1"/>
  <c r="J1453" i="1"/>
  <c r="J1452" i="1"/>
  <c r="L1452" i="1" s="1"/>
  <c r="J1451" i="1"/>
  <c r="L1451" i="1" s="1"/>
  <c r="J1450" i="1"/>
  <c r="L1450" i="1" s="1"/>
  <c r="J1449" i="1"/>
  <c r="L1449" i="1" s="1"/>
  <c r="J1448" i="1"/>
  <c r="L1448" i="1" s="1"/>
  <c r="J1447" i="1"/>
  <c r="L1447" i="1" s="1"/>
  <c r="J1446" i="1"/>
  <c r="L1446" i="1" s="1"/>
  <c r="J1445" i="1"/>
  <c r="L1445" i="1" s="1"/>
  <c r="J1444" i="1"/>
  <c r="L1444" i="1" s="1"/>
  <c r="J1443" i="1"/>
  <c r="L1443" i="1" s="1"/>
  <c r="J1442" i="1"/>
  <c r="L1442" i="1" s="1"/>
  <c r="J1441" i="1"/>
  <c r="L1441" i="1" s="1"/>
  <c r="J1440" i="1"/>
  <c r="L1440" i="1" s="1"/>
  <c r="J1439" i="1"/>
  <c r="L1439" i="1" s="1"/>
  <c r="J1438" i="1"/>
  <c r="L1438" i="1" s="1"/>
  <c r="J1437" i="1"/>
  <c r="L1437" i="1" s="1"/>
  <c r="J1436" i="1"/>
  <c r="L1436" i="1" s="1"/>
  <c r="J1435" i="1"/>
  <c r="L1435" i="1" s="1"/>
  <c r="J1434" i="1"/>
  <c r="L1434" i="1" s="1"/>
  <c r="J1433" i="1"/>
  <c r="L1433" i="1" s="1"/>
  <c r="J1432" i="1"/>
  <c r="L1432" i="1" s="1"/>
  <c r="J1431" i="1"/>
  <c r="L1431" i="1" s="1"/>
  <c r="J1430" i="1"/>
  <c r="L1430" i="1" s="1"/>
  <c r="J1429" i="1"/>
  <c r="L1429" i="1" s="1"/>
  <c r="J1428" i="1"/>
  <c r="L1428" i="1" s="1"/>
  <c r="J1427" i="1"/>
  <c r="L1427" i="1" s="1"/>
  <c r="J1426" i="1"/>
  <c r="L1426" i="1" s="1"/>
  <c r="J1425" i="1"/>
  <c r="L1425" i="1" s="1"/>
  <c r="J1424" i="1"/>
  <c r="L1424" i="1" s="1"/>
  <c r="J1423" i="1"/>
  <c r="L1423" i="1" s="1"/>
  <c r="J1422" i="1"/>
  <c r="L1422" i="1" s="1"/>
  <c r="J1421" i="1"/>
  <c r="L1421" i="1" s="1"/>
  <c r="J1420" i="1"/>
  <c r="L1420" i="1" s="1"/>
  <c r="J1419" i="1"/>
  <c r="L1419" i="1" s="1"/>
  <c r="J1418" i="1"/>
  <c r="L1418" i="1" s="1"/>
  <c r="J1417" i="1"/>
  <c r="L1417" i="1" s="1"/>
  <c r="J1416" i="1"/>
  <c r="L1416" i="1" s="1"/>
  <c r="J1415" i="1"/>
  <c r="L1415" i="1" s="1"/>
  <c r="J1414" i="1"/>
  <c r="L1414" i="1" s="1"/>
  <c r="J1413" i="1"/>
  <c r="L1413" i="1" s="1"/>
  <c r="J1412" i="1"/>
  <c r="L1412" i="1" s="1"/>
  <c r="J1411" i="1"/>
  <c r="L1411" i="1" s="1"/>
  <c r="J1410" i="1"/>
  <c r="L1410" i="1" s="1"/>
  <c r="J1409" i="1"/>
  <c r="L1409" i="1" s="1"/>
  <c r="J1408" i="1"/>
  <c r="L1408" i="1" s="1"/>
  <c r="J1407" i="1"/>
  <c r="L1407" i="1" s="1"/>
  <c r="J1406" i="1"/>
  <c r="L1406" i="1" s="1"/>
  <c r="J1405" i="1"/>
  <c r="L1405" i="1" s="1"/>
  <c r="J1404" i="1"/>
  <c r="L1404" i="1" s="1"/>
  <c r="L1403" i="1"/>
  <c r="J1403" i="1"/>
  <c r="J1402" i="1"/>
  <c r="L1402" i="1" s="1"/>
  <c r="J1401" i="1"/>
  <c r="L1401" i="1" s="1"/>
  <c r="J1400" i="1"/>
  <c r="L1400" i="1" s="1"/>
  <c r="J1399" i="1"/>
  <c r="L1399" i="1" s="1"/>
  <c r="J1398" i="1"/>
  <c r="L1398" i="1" s="1"/>
  <c r="J1397" i="1"/>
  <c r="L1397" i="1" s="1"/>
  <c r="J1396" i="1"/>
  <c r="L1396" i="1" s="1"/>
  <c r="J1395" i="1"/>
  <c r="L1395" i="1" s="1"/>
  <c r="J1394" i="1"/>
  <c r="L1394" i="1" s="1"/>
  <c r="J1393" i="1"/>
  <c r="L1393" i="1" s="1"/>
  <c r="J1392" i="1"/>
  <c r="L1392" i="1" s="1"/>
  <c r="J1391" i="1"/>
  <c r="L1391" i="1" s="1"/>
  <c r="J1390" i="1"/>
  <c r="L1390" i="1" s="1"/>
  <c r="J1389" i="1"/>
  <c r="L1389" i="1" s="1"/>
  <c r="J1388" i="1"/>
  <c r="L1388" i="1" s="1"/>
  <c r="J1387" i="1"/>
  <c r="L1387" i="1" s="1"/>
  <c r="J1386" i="1"/>
  <c r="L1386" i="1" s="1"/>
  <c r="J1385" i="1"/>
  <c r="L1385" i="1" s="1"/>
  <c r="J1384" i="1"/>
  <c r="L1384" i="1" s="1"/>
  <c r="J1383" i="1"/>
  <c r="L1383" i="1" s="1"/>
  <c r="J1382" i="1"/>
  <c r="L1382" i="1" s="1"/>
  <c r="J1381" i="1"/>
  <c r="L1381" i="1" s="1"/>
  <c r="J1380" i="1"/>
  <c r="L1380" i="1" s="1"/>
  <c r="J1379" i="1"/>
  <c r="L1379" i="1" s="1"/>
  <c r="J1378" i="1"/>
  <c r="L1378" i="1" s="1"/>
  <c r="J1377" i="1"/>
  <c r="L1377" i="1" s="1"/>
  <c r="J1376" i="1"/>
  <c r="L1376" i="1" s="1"/>
  <c r="J1375" i="1"/>
  <c r="L1375" i="1" s="1"/>
  <c r="J1374" i="1"/>
  <c r="L1374" i="1" s="1"/>
  <c r="J1373" i="1"/>
  <c r="L1373" i="1" s="1"/>
  <c r="J1372" i="1"/>
  <c r="L1372" i="1" s="1"/>
  <c r="L1371" i="1"/>
  <c r="J1371" i="1"/>
  <c r="J1370" i="1"/>
  <c r="L1370" i="1" s="1"/>
  <c r="J1369" i="1"/>
  <c r="L1369" i="1" s="1"/>
  <c r="J1368" i="1"/>
  <c r="L1368" i="1" s="1"/>
  <c r="L1367" i="1"/>
  <c r="J1367" i="1"/>
  <c r="J1366" i="1"/>
  <c r="L1366" i="1" s="1"/>
  <c r="L1365" i="1"/>
  <c r="J1365" i="1"/>
  <c r="J1364" i="1"/>
  <c r="L1364" i="1" s="1"/>
  <c r="J1363" i="1"/>
  <c r="L1363" i="1" s="1"/>
  <c r="J1362" i="1"/>
  <c r="L1362" i="1" s="1"/>
  <c r="J1361" i="1"/>
  <c r="L1361" i="1" s="1"/>
  <c r="J1360" i="1"/>
  <c r="L1360" i="1" s="1"/>
  <c r="J1359" i="1"/>
  <c r="L1359" i="1" s="1"/>
  <c r="L1358" i="1"/>
  <c r="J1358" i="1"/>
  <c r="L1357" i="1"/>
  <c r="J1357" i="1"/>
  <c r="J1356" i="1"/>
  <c r="L1356" i="1" s="1"/>
  <c r="J1355" i="1"/>
  <c r="L1355" i="1" s="1"/>
  <c r="J1354" i="1"/>
  <c r="L1354" i="1" s="1"/>
  <c r="J1353" i="1"/>
  <c r="L1353" i="1" s="1"/>
  <c r="J1352" i="1"/>
  <c r="L1352" i="1" s="1"/>
  <c r="J1351" i="1"/>
  <c r="L1351" i="1" s="1"/>
  <c r="J1350" i="1"/>
  <c r="L1350" i="1" s="1"/>
  <c r="J1349" i="1"/>
  <c r="L1349" i="1" s="1"/>
  <c r="J1348" i="1"/>
  <c r="L1348" i="1" s="1"/>
  <c r="J1347" i="1"/>
  <c r="L1347" i="1" s="1"/>
  <c r="J1346" i="1"/>
  <c r="L1346" i="1" s="1"/>
  <c r="J1345" i="1"/>
  <c r="L1345" i="1" s="1"/>
  <c r="J1344" i="1"/>
  <c r="L1344" i="1" s="1"/>
  <c r="L1343" i="1"/>
  <c r="J1343" i="1"/>
  <c r="J1342" i="1"/>
  <c r="L1342" i="1" s="1"/>
  <c r="J1341" i="1"/>
  <c r="L1341" i="1" s="1"/>
  <c r="J1340" i="1"/>
  <c r="L1340" i="1" s="1"/>
  <c r="J1339" i="1"/>
  <c r="L1339" i="1" s="1"/>
  <c r="J1338" i="1"/>
  <c r="L1338" i="1" s="1"/>
  <c r="J1337" i="1"/>
  <c r="L1337" i="1" s="1"/>
  <c r="J1336" i="1"/>
  <c r="L1336" i="1" s="1"/>
  <c r="J1335" i="1"/>
  <c r="L1335" i="1" s="1"/>
  <c r="J1334" i="1"/>
  <c r="L1334" i="1" s="1"/>
  <c r="J1333" i="1"/>
  <c r="L1333" i="1" s="1"/>
  <c r="J1332" i="1"/>
  <c r="L1332" i="1" s="1"/>
  <c r="J1331" i="1"/>
  <c r="L1331" i="1" s="1"/>
  <c r="J1330" i="1"/>
  <c r="L1330" i="1" s="1"/>
  <c r="J1329" i="1"/>
  <c r="L1329" i="1" s="1"/>
  <c r="J1328" i="1"/>
  <c r="L1328" i="1" s="1"/>
  <c r="J1327" i="1"/>
  <c r="L1327" i="1" s="1"/>
  <c r="J1326" i="1"/>
  <c r="L1326" i="1" s="1"/>
  <c r="L1325" i="1"/>
  <c r="J1325" i="1"/>
  <c r="J1324" i="1"/>
  <c r="L1324" i="1" s="1"/>
  <c r="J1323" i="1"/>
  <c r="L1323" i="1" s="1"/>
  <c r="J1322" i="1"/>
  <c r="L1322" i="1" s="1"/>
  <c r="J1321" i="1"/>
  <c r="L1321" i="1" s="1"/>
  <c r="J1320" i="1"/>
  <c r="L1320" i="1" s="1"/>
  <c r="J1319" i="1"/>
  <c r="L1319" i="1" s="1"/>
  <c r="J1318" i="1"/>
  <c r="L1318" i="1" s="1"/>
  <c r="J1317" i="1"/>
  <c r="L1317" i="1" s="1"/>
  <c r="J1316" i="1"/>
  <c r="L1316" i="1" s="1"/>
  <c r="J1315" i="1"/>
  <c r="L1315" i="1" s="1"/>
  <c r="L1314" i="1"/>
  <c r="J1314" i="1"/>
  <c r="L1313" i="1"/>
  <c r="J1313" i="1"/>
  <c r="J1312" i="1"/>
  <c r="L1312" i="1" s="1"/>
  <c r="J1311" i="1"/>
  <c r="L1311" i="1" s="1"/>
  <c r="L1310" i="1"/>
  <c r="J1310" i="1"/>
  <c r="L1309" i="1"/>
  <c r="J1309" i="1"/>
  <c r="J1308" i="1"/>
  <c r="L1308" i="1" s="1"/>
  <c r="J1307" i="1"/>
  <c r="L1307" i="1" s="1"/>
  <c r="J1306" i="1"/>
  <c r="L1306" i="1" s="1"/>
  <c r="J1305" i="1"/>
  <c r="L1305" i="1" s="1"/>
  <c r="J1304" i="1"/>
  <c r="L1304" i="1" s="1"/>
  <c r="J1303" i="1"/>
  <c r="L1303" i="1" s="1"/>
  <c r="J1302" i="1"/>
  <c r="L1302" i="1" s="1"/>
  <c r="J1301" i="1"/>
  <c r="L1301" i="1" s="1"/>
  <c r="J1300" i="1"/>
  <c r="L1300" i="1" s="1"/>
  <c r="J1299" i="1"/>
  <c r="L1299" i="1" s="1"/>
  <c r="J1298" i="1"/>
  <c r="L1298" i="1" s="1"/>
  <c r="J1297" i="1"/>
  <c r="L1297" i="1" s="1"/>
  <c r="J1296" i="1"/>
  <c r="L1296" i="1" s="1"/>
  <c r="L1295" i="1"/>
  <c r="J1295" i="1"/>
  <c r="J1294" i="1"/>
  <c r="L1294" i="1" s="1"/>
  <c r="J1293" i="1"/>
  <c r="L1293" i="1" s="1"/>
  <c r="J1292" i="1"/>
  <c r="L1292" i="1" s="1"/>
  <c r="J1291" i="1"/>
  <c r="L1291" i="1" s="1"/>
  <c r="L1290" i="1"/>
  <c r="J1290" i="1"/>
  <c r="L1289" i="1"/>
  <c r="J1289" i="1"/>
  <c r="L1288" i="1"/>
  <c r="J1288" i="1"/>
  <c r="L1287" i="1"/>
  <c r="J1287" i="1"/>
  <c r="J1286" i="1"/>
  <c r="L1286" i="1" s="1"/>
  <c r="J1285" i="1"/>
  <c r="L1285" i="1" s="1"/>
  <c r="J1284" i="1"/>
  <c r="L1284" i="1" s="1"/>
  <c r="J1283" i="1"/>
  <c r="L1283" i="1" s="1"/>
  <c r="J1282" i="1"/>
  <c r="L1282" i="1" s="1"/>
  <c r="J1281" i="1"/>
  <c r="L1281" i="1" s="1"/>
  <c r="J1280" i="1"/>
  <c r="L1280" i="1" s="1"/>
  <c r="J1279" i="1"/>
  <c r="L1279" i="1" s="1"/>
  <c r="J1278" i="1"/>
  <c r="L1278" i="1" s="1"/>
  <c r="J1277" i="1"/>
  <c r="L1277" i="1" s="1"/>
  <c r="J1276" i="1"/>
  <c r="L1276" i="1" s="1"/>
  <c r="J1275" i="1"/>
  <c r="L1275" i="1" s="1"/>
  <c r="J1274" i="1"/>
  <c r="L1274" i="1" s="1"/>
  <c r="J1273" i="1"/>
  <c r="L1273" i="1" s="1"/>
  <c r="J1272" i="1"/>
  <c r="L1272" i="1" s="1"/>
  <c r="J1271" i="1"/>
  <c r="L1271" i="1" s="1"/>
  <c r="J1270" i="1"/>
  <c r="L1270" i="1" s="1"/>
  <c r="J1269" i="1"/>
  <c r="L1269" i="1" s="1"/>
  <c r="J1268" i="1"/>
  <c r="L1268" i="1" s="1"/>
  <c r="L1267" i="1"/>
  <c r="J1267" i="1"/>
  <c r="J1266" i="1"/>
  <c r="L1266" i="1" s="1"/>
  <c r="J1265" i="1"/>
  <c r="L1265" i="1" s="1"/>
  <c r="J1264" i="1"/>
  <c r="L1264" i="1" s="1"/>
  <c r="J1263" i="1"/>
  <c r="L1263" i="1" s="1"/>
  <c r="J1262" i="1"/>
  <c r="L1262" i="1" s="1"/>
  <c r="J1261" i="1"/>
  <c r="L1261" i="1" s="1"/>
  <c r="J1260" i="1"/>
  <c r="L1260" i="1" s="1"/>
  <c r="J1259" i="1"/>
  <c r="L1259" i="1" s="1"/>
  <c r="J1258" i="1"/>
  <c r="L1258" i="1" s="1"/>
  <c r="J1257" i="1"/>
  <c r="L1257" i="1" s="1"/>
  <c r="J1256" i="1"/>
  <c r="L1256" i="1" s="1"/>
  <c r="J1255" i="1"/>
  <c r="L1255" i="1" s="1"/>
  <c r="J1254" i="1"/>
  <c r="L1254" i="1" s="1"/>
  <c r="J1253" i="1"/>
  <c r="L1253" i="1" s="1"/>
  <c r="J1252" i="1"/>
  <c r="L1252" i="1" s="1"/>
  <c r="J1251" i="1"/>
  <c r="L1251" i="1" s="1"/>
  <c r="J1250" i="1"/>
  <c r="L1250" i="1" s="1"/>
  <c r="J1249" i="1"/>
  <c r="L1249" i="1" s="1"/>
  <c r="J1248" i="1"/>
  <c r="L1248" i="1" s="1"/>
  <c r="J1247" i="1"/>
  <c r="L1247" i="1" s="1"/>
  <c r="J1246" i="1"/>
  <c r="L1246" i="1" s="1"/>
  <c r="J1245" i="1"/>
  <c r="L1245" i="1" s="1"/>
  <c r="J1244" i="1"/>
  <c r="L1244" i="1" s="1"/>
  <c r="J1243" i="1"/>
  <c r="L1243" i="1" s="1"/>
  <c r="L1242" i="1"/>
  <c r="J1242" i="1"/>
  <c r="L1241" i="1"/>
  <c r="J1241" i="1"/>
  <c r="J1240" i="1"/>
  <c r="L1240" i="1" s="1"/>
  <c r="J1239" i="1"/>
  <c r="L1239" i="1" s="1"/>
  <c r="J1238" i="1"/>
  <c r="L1238" i="1" s="1"/>
  <c r="J1237" i="1"/>
  <c r="L1237" i="1" s="1"/>
  <c r="J1236" i="1"/>
  <c r="L1236" i="1" s="1"/>
  <c r="J1235" i="1"/>
  <c r="L1235" i="1" s="1"/>
  <c r="J1234" i="1"/>
  <c r="L1234" i="1" s="1"/>
  <c r="J1233" i="1"/>
  <c r="L1233" i="1" s="1"/>
  <c r="J1232" i="1"/>
  <c r="L1232" i="1" s="1"/>
  <c r="J1231" i="1"/>
  <c r="L1231" i="1" s="1"/>
  <c r="J1230" i="1"/>
  <c r="L1230" i="1" s="1"/>
  <c r="J1229" i="1"/>
  <c r="L1229" i="1" s="1"/>
  <c r="J1228" i="1"/>
  <c r="L1228" i="1" s="1"/>
  <c r="J1227" i="1"/>
  <c r="L1227" i="1" s="1"/>
  <c r="J1226" i="1"/>
  <c r="L1226" i="1" s="1"/>
  <c r="J1225" i="1"/>
  <c r="L1225" i="1" s="1"/>
  <c r="L1224" i="1"/>
  <c r="J1224" i="1"/>
  <c r="L1223" i="1"/>
  <c r="J1223" i="1"/>
  <c r="L1222" i="1"/>
  <c r="J1222" i="1"/>
  <c r="L1221" i="1"/>
  <c r="J1221" i="1"/>
  <c r="L1220" i="1"/>
  <c r="J1220" i="1"/>
  <c r="L1219" i="1"/>
  <c r="J1219" i="1"/>
  <c r="L1218" i="1"/>
  <c r="J1218" i="1"/>
  <c r="L1217" i="1"/>
  <c r="J1217" i="1"/>
  <c r="L1216" i="1"/>
  <c r="J1216" i="1"/>
  <c r="L1215" i="1"/>
  <c r="J1215" i="1"/>
  <c r="L1214" i="1"/>
  <c r="J1214" i="1"/>
  <c r="L1213" i="1"/>
  <c r="J1213" i="1"/>
  <c r="L1212" i="1"/>
  <c r="J1212" i="1"/>
  <c r="L1211" i="1"/>
  <c r="J1211" i="1"/>
  <c r="L1210" i="1"/>
  <c r="J1210" i="1"/>
  <c r="L1209" i="1"/>
  <c r="J1209" i="1"/>
  <c r="L1208" i="1"/>
  <c r="J1208" i="1"/>
  <c r="L1207" i="1"/>
  <c r="J1207" i="1"/>
  <c r="L1206" i="1"/>
  <c r="J1206" i="1"/>
  <c r="L1205" i="1"/>
  <c r="J1205" i="1"/>
  <c r="L1204" i="1"/>
  <c r="J1204" i="1"/>
  <c r="L1203" i="1"/>
  <c r="J1203" i="1"/>
  <c r="J1202" i="1"/>
  <c r="L1202" i="1" s="1"/>
  <c r="L1201" i="1"/>
  <c r="J1201" i="1"/>
  <c r="L1200" i="1"/>
  <c r="J1200" i="1"/>
  <c r="L1199" i="1"/>
  <c r="J1199" i="1"/>
  <c r="L1198" i="1"/>
  <c r="J1198" i="1"/>
  <c r="L1197" i="1"/>
  <c r="J1197" i="1"/>
  <c r="L1196" i="1"/>
  <c r="J1196" i="1"/>
  <c r="L1195" i="1"/>
  <c r="J1195" i="1"/>
  <c r="L1194" i="1"/>
  <c r="J1194" i="1"/>
  <c r="L1193" i="1"/>
  <c r="J1193" i="1"/>
  <c r="L1192" i="1"/>
  <c r="J1192" i="1"/>
  <c r="L1191" i="1"/>
  <c r="J1191" i="1"/>
  <c r="L1190" i="1"/>
  <c r="J1190" i="1"/>
  <c r="L1189" i="1"/>
  <c r="J1189" i="1"/>
  <c r="L1188" i="1"/>
  <c r="J1188" i="1"/>
  <c r="L1187" i="1"/>
  <c r="J1187" i="1"/>
  <c r="L1186" i="1"/>
  <c r="J1186" i="1"/>
  <c r="L1185" i="1"/>
  <c r="J1185" i="1"/>
  <c r="L1184" i="1"/>
  <c r="J1184" i="1"/>
  <c r="J1183" i="1"/>
  <c r="L1183" i="1" s="1"/>
  <c r="L1182" i="1"/>
  <c r="J1182" i="1"/>
  <c r="L1181" i="1"/>
  <c r="J1181" i="1"/>
  <c r="L1180" i="1"/>
  <c r="J1180" i="1"/>
  <c r="L1179" i="1"/>
  <c r="J1179" i="1"/>
  <c r="L1178" i="1"/>
  <c r="J1178" i="1"/>
  <c r="L1177" i="1"/>
  <c r="J1177" i="1"/>
  <c r="L1176" i="1"/>
  <c r="J1176" i="1"/>
  <c r="L1175" i="1"/>
  <c r="J1175" i="1"/>
  <c r="L1174" i="1"/>
  <c r="J1174" i="1"/>
  <c r="L1173" i="1"/>
  <c r="J1173" i="1"/>
  <c r="L1172" i="1"/>
  <c r="J1172" i="1"/>
  <c r="L1171" i="1"/>
  <c r="J1171" i="1"/>
  <c r="L1170" i="1"/>
  <c r="J1170" i="1"/>
  <c r="L1169" i="1"/>
  <c r="J1169" i="1"/>
  <c r="L1168" i="1"/>
  <c r="J1168" i="1"/>
  <c r="L1167" i="1"/>
  <c r="J1167" i="1"/>
  <c r="L1166" i="1"/>
  <c r="J1166" i="1"/>
  <c r="L1165" i="1"/>
  <c r="J1165" i="1"/>
  <c r="L1164" i="1"/>
  <c r="J1164" i="1"/>
  <c r="J1163" i="1"/>
  <c r="L1163" i="1" s="1"/>
  <c r="J1162" i="1"/>
  <c r="L1162" i="1" s="1"/>
  <c r="J1161" i="1"/>
  <c r="L1161" i="1" s="1"/>
  <c r="J1160" i="1"/>
  <c r="L1160" i="1" s="1"/>
  <c r="J1159" i="1"/>
  <c r="L1159" i="1" s="1"/>
  <c r="L1158" i="1"/>
  <c r="J1158" i="1"/>
  <c r="L1157" i="1"/>
  <c r="J1157" i="1"/>
  <c r="L1156" i="1"/>
  <c r="J1156" i="1"/>
  <c r="L1155" i="1"/>
  <c r="J1155" i="1"/>
  <c r="L1154" i="1"/>
  <c r="J1154" i="1"/>
  <c r="L1153" i="1"/>
  <c r="J1153" i="1"/>
  <c r="L1152" i="1"/>
  <c r="J1152" i="1"/>
  <c r="L1151" i="1"/>
  <c r="J1151" i="1"/>
  <c r="L1150" i="1"/>
  <c r="J1150" i="1"/>
  <c r="L1149" i="1"/>
  <c r="J1149" i="1"/>
  <c r="L1148" i="1"/>
  <c r="J1148" i="1"/>
  <c r="L1147" i="1"/>
  <c r="J1147" i="1"/>
  <c r="L1146" i="1"/>
  <c r="J1146" i="1"/>
  <c r="L1145" i="1"/>
  <c r="J1145" i="1"/>
  <c r="L1144" i="1"/>
  <c r="J1144" i="1"/>
  <c r="L1143" i="1"/>
  <c r="J1143" i="1"/>
  <c r="L1142" i="1"/>
  <c r="J1142" i="1"/>
  <c r="L1141" i="1"/>
  <c r="J1141" i="1"/>
  <c r="L1140" i="1"/>
  <c r="J1140" i="1"/>
  <c r="L1139" i="1"/>
  <c r="J1139" i="1"/>
  <c r="L1138" i="1"/>
  <c r="J1138" i="1"/>
  <c r="L1137" i="1"/>
  <c r="J1137" i="1"/>
  <c r="L1136" i="1"/>
  <c r="J1136" i="1"/>
  <c r="L1135" i="1"/>
  <c r="J1135" i="1"/>
  <c r="L1134" i="1"/>
  <c r="J1134" i="1"/>
  <c r="L1133" i="1"/>
  <c r="J1133" i="1"/>
  <c r="L1132" i="1"/>
  <c r="J1132" i="1"/>
  <c r="L1131" i="1"/>
  <c r="J1131" i="1"/>
  <c r="L1130" i="1"/>
  <c r="J1130" i="1"/>
  <c r="L1129" i="1"/>
  <c r="J1129" i="1"/>
  <c r="L1128" i="1"/>
  <c r="J1128" i="1"/>
  <c r="L1127" i="1"/>
  <c r="J1127" i="1"/>
  <c r="L1126" i="1"/>
  <c r="J1126" i="1"/>
  <c r="L1125" i="1"/>
  <c r="J1125" i="1"/>
  <c r="L1124" i="1"/>
  <c r="J1124" i="1"/>
  <c r="L1123" i="1"/>
  <c r="J1123" i="1"/>
  <c r="L1122" i="1"/>
  <c r="J1122" i="1"/>
  <c r="L1121" i="1"/>
  <c r="J1121" i="1"/>
  <c r="L1120" i="1"/>
  <c r="J1120" i="1"/>
  <c r="L1119" i="1"/>
  <c r="J1119" i="1"/>
  <c r="L1118" i="1"/>
  <c r="J1118" i="1"/>
  <c r="L1117" i="1"/>
  <c r="J1117" i="1"/>
  <c r="J1116" i="1"/>
  <c r="L1116" i="1" s="1"/>
  <c r="L1115" i="1"/>
  <c r="J1115" i="1"/>
  <c r="L1114" i="1"/>
  <c r="J1114" i="1"/>
  <c r="L1113" i="1"/>
  <c r="J1113" i="1"/>
  <c r="L1112" i="1"/>
  <c r="J1112" i="1"/>
  <c r="L1111" i="1"/>
  <c r="J1111" i="1"/>
  <c r="L1110" i="1"/>
  <c r="J1110" i="1"/>
  <c r="L1109" i="1"/>
  <c r="J1109" i="1"/>
  <c r="L1108" i="1"/>
  <c r="J1108" i="1"/>
  <c r="L1107" i="1"/>
  <c r="J1107" i="1"/>
  <c r="L1106" i="1"/>
  <c r="J1106" i="1"/>
  <c r="L1105" i="1"/>
  <c r="J1105" i="1"/>
  <c r="L1104" i="1"/>
  <c r="J1104" i="1"/>
  <c r="J1103" i="1"/>
  <c r="L1103" i="1" s="1"/>
  <c r="J1102" i="1"/>
  <c r="L1102" i="1" s="1"/>
  <c r="J1101" i="1"/>
  <c r="L1101" i="1" s="1"/>
  <c r="J1100" i="1"/>
  <c r="L1100" i="1" s="1"/>
  <c r="J1099" i="1"/>
  <c r="L1099" i="1" s="1"/>
  <c r="J1098" i="1"/>
  <c r="L1098" i="1" s="1"/>
  <c r="J1097" i="1"/>
  <c r="L1097" i="1" s="1"/>
  <c r="J1096" i="1"/>
  <c r="L1096" i="1" s="1"/>
  <c r="J1095" i="1"/>
  <c r="L1095" i="1" s="1"/>
  <c r="J1094" i="1"/>
  <c r="L1094" i="1" s="1"/>
  <c r="J1093" i="1"/>
  <c r="L1093" i="1" s="1"/>
  <c r="J1092" i="1"/>
  <c r="L1092" i="1" s="1"/>
  <c r="J1091" i="1"/>
  <c r="L1091" i="1" s="1"/>
  <c r="J1090" i="1"/>
  <c r="L1090" i="1" s="1"/>
  <c r="J1089" i="1"/>
  <c r="L1089" i="1" s="1"/>
  <c r="J1088" i="1"/>
  <c r="L1088" i="1" s="1"/>
  <c r="J1087" i="1"/>
  <c r="L1087" i="1" s="1"/>
  <c r="J1086" i="1"/>
  <c r="L1086" i="1" s="1"/>
  <c r="J1085" i="1"/>
  <c r="L1085" i="1" s="1"/>
  <c r="J1084" i="1"/>
  <c r="L1084" i="1" s="1"/>
  <c r="J1083" i="1"/>
  <c r="L1083" i="1" s="1"/>
  <c r="J1082" i="1"/>
  <c r="L1082" i="1" s="1"/>
  <c r="J1081" i="1"/>
  <c r="L1081" i="1" s="1"/>
  <c r="J1080" i="1"/>
  <c r="L1080" i="1" s="1"/>
  <c r="L1079" i="1"/>
  <c r="J1079" i="1"/>
  <c r="J1078" i="1"/>
  <c r="L1078" i="1" s="1"/>
  <c r="J1077" i="1"/>
  <c r="L1077" i="1" s="1"/>
  <c r="J1076" i="1"/>
  <c r="L1076" i="1" s="1"/>
  <c r="J1075" i="1"/>
  <c r="L1075" i="1" s="1"/>
  <c r="J1074" i="1"/>
  <c r="L1074" i="1" s="1"/>
  <c r="J1073" i="1"/>
  <c r="L1073" i="1" s="1"/>
  <c r="J1072" i="1"/>
  <c r="L1072" i="1" s="1"/>
  <c r="J1071" i="1"/>
  <c r="L1071" i="1" s="1"/>
  <c r="J1070" i="1"/>
  <c r="L1070" i="1" s="1"/>
  <c r="J1069" i="1"/>
  <c r="L1069" i="1" s="1"/>
  <c r="J1068" i="1"/>
  <c r="L1068" i="1" s="1"/>
  <c r="J1067" i="1"/>
  <c r="L1067" i="1" s="1"/>
  <c r="J1066" i="1"/>
  <c r="L1066" i="1" s="1"/>
  <c r="J1065" i="1"/>
  <c r="L1065" i="1" s="1"/>
  <c r="J1064" i="1"/>
  <c r="L1064" i="1" s="1"/>
  <c r="J1063" i="1"/>
  <c r="L1063" i="1" s="1"/>
  <c r="J1062" i="1"/>
  <c r="L1062" i="1" s="1"/>
  <c r="J1061" i="1"/>
  <c r="L1061" i="1" s="1"/>
  <c r="J1060" i="1"/>
  <c r="L1060" i="1" s="1"/>
  <c r="J1059" i="1"/>
  <c r="L1059" i="1" s="1"/>
  <c r="J1058" i="1"/>
  <c r="L1058" i="1" s="1"/>
  <c r="L1057" i="1"/>
  <c r="J1057" i="1"/>
  <c r="J1056" i="1"/>
  <c r="L1056" i="1" s="1"/>
  <c r="J1055" i="1"/>
  <c r="L1055" i="1" s="1"/>
  <c r="J1054" i="1"/>
  <c r="L1054" i="1" s="1"/>
  <c r="J1053" i="1"/>
  <c r="L1053" i="1" s="1"/>
  <c r="J1052" i="1"/>
  <c r="L1052" i="1" s="1"/>
  <c r="J1051" i="1"/>
  <c r="L1051" i="1" s="1"/>
  <c r="J1050" i="1"/>
  <c r="L1050" i="1" s="1"/>
  <c r="J1049" i="1"/>
  <c r="L1049" i="1" s="1"/>
  <c r="J1048" i="1"/>
  <c r="L1048" i="1" s="1"/>
  <c r="J1047" i="1"/>
  <c r="L1047" i="1" s="1"/>
  <c r="J1046" i="1"/>
  <c r="L1046" i="1" s="1"/>
  <c r="J1045" i="1"/>
  <c r="L1045" i="1" s="1"/>
  <c r="J1044" i="1"/>
  <c r="L1044" i="1" s="1"/>
  <c r="J1043" i="1"/>
  <c r="L1043" i="1" s="1"/>
  <c r="J1042" i="1"/>
  <c r="L1042" i="1" s="1"/>
  <c r="J1041" i="1"/>
  <c r="L1041" i="1" s="1"/>
  <c r="J1040" i="1"/>
  <c r="L1040" i="1" s="1"/>
  <c r="J1039" i="1"/>
  <c r="L1039" i="1" s="1"/>
  <c r="J1038" i="1"/>
  <c r="L1038" i="1" s="1"/>
  <c r="J1037" i="1"/>
  <c r="L1037" i="1" s="1"/>
  <c r="J1036" i="1"/>
  <c r="L1036" i="1" s="1"/>
  <c r="J1035" i="1"/>
  <c r="L1035" i="1" s="1"/>
  <c r="J1034" i="1"/>
  <c r="L1034" i="1" s="1"/>
  <c r="J1033" i="1"/>
  <c r="L1033" i="1" s="1"/>
  <c r="J1032" i="1"/>
  <c r="L1032" i="1" s="1"/>
  <c r="J1031" i="1"/>
  <c r="L1031" i="1" s="1"/>
  <c r="J1030" i="1"/>
  <c r="L1030" i="1" s="1"/>
  <c r="J1029" i="1"/>
  <c r="L1029" i="1" s="1"/>
  <c r="J1028" i="1"/>
  <c r="L1028" i="1" s="1"/>
  <c r="J1027" i="1"/>
  <c r="L1027" i="1" s="1"/>
  <c r="J1026" i="1"/>
  <c r="L1026" i="1" s="1"/>
  <c r="J1025" i="1"/>
  <c r="L1025" i="1" s="1"/>
  <c r="J1024" i="1"/>
  <c r="L1024" i="1" s="1"/>
  <c r="J1023" i="1"/>
  <c r="L1023" i="1" s="1"/>
  <c r="J1022" i="1"/>
  <c r="L1022" i="1" s="1"/>
  <c r="J1021" i="1"/>
  <c r="L1021" i="1" s="1"/>
  <c r="J1020" i="1"/>
  <c r="L1020" i="1" s="1"/>
  <c r="J1019" i="1"/>
  <c r="L1019" i="1" s="1"/>
  <c r="J1018" i="1"/>
  <c r="L1018" i="1" s="1"/>
  <c r="J1017" i="1"/>
  <c r="L1017" i="1" s="1"/>
  <c r="J1016" i="1"/>
  <c r="L1016" i="1" s="1"/>
  <c r="J1015" i="1"/>
  <c r="L1015" i="1" s="1"/>
  <c r="J1014" i="1"/>
  <c r="L1014" i="1" s="1"/>
  <c r="L1013" i="1"/>
  <c r="J1013" i="1"/>
  <c r="J1012" i="1"/>
  <c r="L1012" i="1" s="1"/>
  <c r="J1011" i="1"/>
  <c r="L1011" i="1" s="1"/>
  <c r="L1010" i="1"/>
  <c r="J1010" i="1"/>
  <c r="J1009" i="1"/>
  <c r="L1009" i="1" s="1"/>
  <c r="J1008" i="1"/>
  <c r="L1008" i="1" s="1"/>
  <c r="J1007" i="1"/>
  <c r="L1007" i="1" s="1"/>
  <c r="J1006" i="1"/>
  <c r="L1006" i="1" s="1"/>
  <c r="J1005" i="1"/>
  <c r="L1005" i="1" s="1"/>
  <c r="J1004" i="1"/>
  <c r="L1004" i="1" s="1"/>
  <c r="J1003" i="1"/>
  <c r="L1003" i="1" s="1"/>
  <c r="J1002" i="1"/>
  <c r="L1002" i="1" s="1"/>
  <c r="J1001" i="1"/>
  <c r="L1001" i="1" s="1"/>
  <c r="J1000" i="1"/>
  <c r="L1000" i="1" s="1"/>
  <c r="J999" i="1"/>
  <c r="L999" i="1" s="1"/>
  <c r="J998" i="1"/>
  <c r="L998" i="1" s="1"/>
  <c r="J997" i="1"/>
  <c r="L997" i="1" s="1"/>
  <c r="J996" i="1"/>
  <c r="L996" i="1" s="1"/>
  <c r="J995" i="1"/>
  <c r="L995" i="1" s="1"/>
  <c r="J994" i="1"/>
  <c r="L994" i="1" s="1"/>
  <c r="J993" i="1"/>
  <c r="L993" i="1" s="1"/>
  <c r="J992" i="1"/>
  <c r="L992" i="1" s="1"/>
  <c r="J991" i="1"/>
  <c r="L991" i="1" s="1"/>
  <c r="J990" i="1"/>
  <c r="L990" i="1" s="1"/>
  <c r="J989" i="1"/>
  <c r="L989" i="1" s="1"/>
  <c r="J988" i="1"/>
  <c r="L988" i="1" s="1"/>
  <c r="J987" i="1"/>
  <c r="L987" i="1" s="1"/>
  <c r="J986" i="1"/>
  <c r="L986" i="1" s="1"/>
  <c r="J985" i="1"/>
  <c r="L985" i="1" s="1"/>
  <c r="J984" i="1"/>
  <c r="L984" i="1" s="1"/>
  <c r="J983" i="1"/>
  <c r="L983" i="1" s="1"/>
  <c r="J982" i="1"/>
  <c r="L982" i="1" s="1"/>
  <c r="J981" i="1"/>
  <c r="L981" i="1" s="1"/>
  <c r="J980" i="1"/>
  <c r="L980" i="1" s="1"/>
  <c r="J979" i="1"/>
  <c r="L979" i="1" s="1"/>
  <c r="J978" i="1"/>
  <c r="L978" i="1" s="1"/>
  <c r="J977" i="1"/>
  <c r="L977" i="1" s="1"/>
  <c r="J976" i="1"/>
  <c r="L976" i="1" s="1"/>
  <c r="J975" i="1"/>
  <c r="L975" i="1" s="1"/>
  <c r="J974" i="1"/>
  <c r="L974" i="1" s="1"/>
  <c r="J973" i="1"/>
  <c r="L973" i="1" s="1"/>
  <c r="L972" i="1"/>
  <c r="J972" i="1"/>
  <c r="J971" i="1"/>
  <c r="L971" i="1" s="1"/>
  <c r="J970" i="1"/>
  <c r="L970" i="1" s="1"/>
  <c r="J969" i="1"/>
  <c r="L969" i="1" s="1"/>
  <c r="J968" i="1"/>
  <c r="L968" i="1" s="1"/>
  <c r="J967" i="1"/>
  <c r="L967" i="1" s="1"/>
  <c r="J966" i="1"/>
  <c r="L966" i="1" s="1"/>
  <c r="J965" i="1"/>
  <c r="L965" i="1" s="1"/>
  <c r="J964" i="1"/>
  <c r="L964" i="1" s="1"/>
  <c r="J963" i="1"/>
  <c r="L963" i="1" s="1"/>
  <c r="J962" i="1"/>
  <c r="L962" i="1" s="1"/>
  <c r="J961" i="1"/>
  <c r="L961" i="1" s="1"/>
  <c r="J960" i="1"/>
  <c r="L960" i="1" s="1"/>
  <c r="J959" i="1"/>
  <c r="L959" i="1" s="1"/>
  <c r="J958" i="1"/>
  <c r="L958" i="1" s="1"/>
  <c r="J957" i="1"/>
  <c r="L957" i="1" s="1"/>
  <c r="J956" i="1"/>
  <c r="L956" i="1" s="1"/>
  <c r="J955" i="1"/>
  <c r="L955" i="1" s="1"/>
  <c r="J954" i="1"/>
  <c r="L954" i="1" s="1"/>
  <c r="J953" i="1"/>
  <c r="L953" i="1" s="1"/>
  <c r="J952" i="1"/>
  <c r="L952" i="1" s="1"/>
  <c r="J951" i="1"/>
  <c r="L951" i="1" s="1"/>
  <c r="J950" i="1"/>
  <c r="L950" i="1" s="1"/>
  <c r="J949" i="1"/>
  <c r="L949" i="1" s="1"/>
  <c r="J948" i="1"/>
  <c r="L948" i="1" s="1"/>
  <c r="J947" i="1"/>
  <c r="L947" i="1" s="1"/>
  <c r="J946" i="1"/>
  <c r="L946" i="1" s="1"/>
  <c r="J945" i="1"/>
  <c r="L945" i="1" s="1"/>
  <c r="J944" i="1"/>
  <c r="L944" i="1" s="1"/>
  <c r="J943" i="1"/>
  <c r="L943" i="1" s="1"/>
  <c r="J942" i="1"/>
  <c r="L942" i="1" s="1"/>
  <c r="J941" i="1"/>
  <c r="L941" i="1" s="1"/>
  <c r="J940" i="1"/>
  <c r="L940" i="1" s="1"/>
  <c r="J939" i="1"/>
  <c r="L939" i="1" s="1"/>
  <c r="J938" i="1"/>
  <c r="L938" i="1" s="1"/>
  <c r="J937" i="1"/>
  <c r="L937" i="1" s="1"/>
  <c r="J936" i="1"/>
  <c r="L936" i="1" s="1"/>
  <c r="J935" i="1"/>
  <c r="L935" i="1" s="1"/>
  <c r="J934" i="1"/>
  <c r="L934" i="1" s="1"/>
  <c r="J933" i="1"/>
  <c r="L933" i="1" s="1"/>
  <c r="J932" i="1"/>
  <c r="L932" i="1" s="1"/>
  <c r="J931" i="1"/>
  <c r="L931" i="1" s="1"/>
  <c r="J930" i="1"/>
  <c r="L930" i="1" s="1"/>
  <c r="J929" i="1"/>
  <c r="L929" i="1" s="1"/>
  <c r="J928" i="1"/>
  <c r="L928" i="1" s="1"/>
  <c r="J927" i="1"/>
  <c r="L927" i="1" s="1"/>
  <c r="J926" i="1"/>
  <c r="L926" i="1" s="1"/>
  <c r="J925" i="1"/>
  <c r="L925" i="1" s="1"/>
  <c r="J924" i="1"/>
  <c r="L924" i="1" s="1"/>
  <c r="J923" i="1"/>
  <c r="L923" i="1" s="1"/>
  <c r="L922" i="1"/>
  <c r="J922" i="1"/>
  <c r="J921" i="1"/>
  <c r="L921" i="1" s="1"/>
  <c r="J920" i="1"/>
  <c r="L920" i="1" s="1"/>
  <c r="J919" i="1"/>
  <c r="L919" i="1" s="1"/>
  <c r="J918" i="1"/>
  <c r="L918" i="1" s="1"/>
  <c r="J917" i="1"/>
  <c r="L917" i="1" s="1"/>
  <c r="J916" i="1"/>
  <c r="L916" i="1" s="1"/>
  <c r="J915" i="1"/>
  <c r="L915" i="1" s="1"/>
  <c r="J914" i="1"/>
  <c r="L914" i="1" s="1"/>
  <c r="J913" i="1"/>
  <c r="L913" i="1" s="1"/>
  <c r="J912" i="1"/>
  <c r="L912" i="1" s="1"/>
  <c r="J911" i="1"/>
  <c r="L911" i="1" s="1"/>
  <c r="J910" i="1"/>
  <c r="L910" i="1" s="1"/>
  <c r="J909" i="1"/>
  <c r="L909" i="1" s="1"/>
  <c r="J908" i="1"/>
  <c r="L908" i="1" s="1"/>
  <c r="J907" i="1"/>
  <c r="L907" i="1" s="1"/>
  <c r="J906" i="1"/>
  <c r="L906" i="1" s="1"/>
  <c r="J905" i="1"/>
  <c r="L905" i="1" s="1"/>
  <c r="J904" i="1"/>
  <c r="L904" i="1" s="1"/>
  <c r="J903" i="1"/>
  <c r="L903" i="1" s="1"/>
  <c r="J902" i="1"/>
  <c r="L902" i="1" s="1"/>
  <c r="J901" i="1"/>
  <c r="L901" i="1" s="1"/>
  <c r="J900" i="1"/>
  <c r="L900" i="1" s="1"/>
  <c r="J899" i="1"/>
  <c r="L899" i="1" s="1"/>
  <c r="J898" i="1"/>
  <c r="L898" i="1" s="1"/>
  <c r="J897" i="1"/>
  <c r="L897" i="1" s="1"/>
  <c r="J896" i="1"/>
  <c r="L896" i="1" s="1"/>
  <c r="J895" i="1"/>
  <c r="L895" i="1" s="1"/>
  <c r="J894" i="1"/>
  <c r="L894" i="1" s="1"/>
  <c r="J893" i="1"/>
  <c r="L893" i="1" s="1"/>
  <c r="J892" i="1"/>
  <c r="L892" i="1" s="1"/>
  <c r="L891" i="1"/>
  <c r="J891" i="1"/>
  <c r="J890" i="1"/>
  <c r="L890" i="1" s="1"/>
  <c r="J889" i="1"/>
  <c r="L889" i="1" s="1"/>
  <c r="J888" i="1"/>
  <c r="L888" i="1" s="1"/>
  <c r="J887" i="1"/>
  <c r="L887" i="1" s="1"/>
  <c r="J886" i="1"/>
  <c r="L886" i="1" s="1"/>
  <c r="J885" i="1"/>
  <c r="L885" i="1" s="1"/>
  <c r="J884" i="1"/>
  <c r="L884" i="1" s="1"/>
  <c r="J883" i="1"/>
  <c r="L883" i="1" s="1"/>
  <c r="J882" i="1"/>
  <c r="L882" i="1" s="1"/>
  <c r="L881" i="1"/>
  <c r="J881" i="1"/>
  <c r="L880" i="1"/>
  <c r="J880" i="1"/>
  <c r="J879" i="1"/>
  <c r="L879" i="1" s="1"/>
  <c r="J878" i="1"/>
  <c r="L878" i="1" s="1"/>
  <c r="J877" i="1"/>
  <c r="L877" i="1" s="1"/>
  <c r="J876" i="1"/>
  <c r="L876" i="1" s="1"/>
  <c r="J875" i="1"/>
  <c r="L875" i="1" s="1"/>
  <c r="J874" i="1"/>
  <c r="L874" i="1" s="1"/>
  <c r="J873" i="1"/>
  <c r="L873" i="1" s="1"/>
  <c r="J872" i="1"/>
  <c r="L872" i="1" s="1"/>
  <c r="J871" i="1"/>
  <c r="L871" i="1" s="1"/>
  <c r="J870" i="1"/>
  <c r="L870" i="1" s="1"/>
  <c r="J869" i="1"/>
  <c r="L869" i="1" s="1"/>
  <c r="J868" i="1"/>
  <c r="L868" i="1" s="1"/>
  <c r="J867" i="1"/>
  <c r="L867" i="1" s="1"/>
  <c r="J866" i="1"/>
  <c r="L866" i="1" s="1"/>
  <c r="J865" i="1"/>
  <c r="L865" i="1" s="1"/>
  <c r="J864" i="1"/>
  <c r="L864" i="1" s="1"/>
  <c r="J863" i="1"/>
  <c r="L863" i="1" s="1"/>
  <c r="J862" i="1"/>
  <c r="L862" i="1" s="1"/>
  <c r="J861" i="1"/>
  <c r="L861" i="1" s="1"/>
  <c r="J860" i="1"/>
  <c r="L860" i="1" s="1"/>
  <c r="J859" i="1"/>
  <c r="L859" i="1" s="1"/>
  <c r="J858" i="1"/>
  <c r="L858" i="1" s="1"/>
  <c r="J857" i="1"/>
  <c r="L857" i="1" s="1"/>
  <c r="J856" i="1"/>
  <c r="L856" i="1" s="1"/>
  <c r="J855" i="1"/>
  <c r="L855" i="1" s="1"/>
  <c r="J854" i="1"/>
  <c r="L854" i="1" s="1"/>
  <c r="J853" i="1"/>
  <c r="L853" i="1" s="1"/>
  <c r="J852" i="1"/>
  <c r="L852" i="1" s="1"/>
  <c r="J851" i="1"/>
  <c r="L851" i="1" s="1"/>
  <c r="J850" i="1"/>
  <c r="L850" i="1" s="1"/>
  <c r="J849" i="1"/>
  <c r="L849" i="1" s="1"/>
  <c r="J848" i="1"/>
  <c r="L848" i="1" s="1"/>
  <c r="J847" i="1"/>
  <c r="L847" i="1" s="1"/>
  <c r="J846" i="1"/>
  <c r="L846" i="1" s="1"/>
  <c r="J845" i="1"/>
  <c r="L845" i="1" s="1"/>
  <c r="J844" i="1"/>
  <c r="L844" i="1" s="1"/>
  <c r="J843" i="1"/>
  <c r="L843" i="1" s="1"/>
  <c r="J842" i="1"/>
  <c r="L842" i="1" s="1"/>
  <c r="J841" i="1"/>
  <c r="L841" i="1" s="1"/>
  <c r="J840" i="1"/>
  <c r="L840" i="1" s="1"/>
  <c r="J839" i="1"/>
  <c r="L839" i="1" s="1"/>
  <c r="J838" i="1"/>
  <c r="L838" i="1" s="1"/>
  <c r="J837" i="1"/>
  <c r="L837" i="1" s="1"/>
  <c r="J836" i="1"/>
  <c r="L836" i="1" s="1"/>
  <c r="J835" i="1"/>
  <c r="L835" i="1" s="1"/>
  <c r="J834" i="1"/>
  <c r="L834" i="1" s="1"/>
  <c r="J833" i="1"/>
  <c r="L833" i="1" s="1"/>
  <c r="J832" i="1"/>
  <c r="L832" i="1" s="1"/>
  <c r="J831" i="1"/>
  <c r="L831" i="1" s="1"/>
  <c r="J830" i="1"/>
  <c r="L830" i="1" s="1"/>
  <c r="J829" i="1"/>
  <c r="L829" i="1" s="1"/>
  <c r="J828" i="1"/>
  <c r="L828" i="1" s="1"/>
  <c r="J827" i="1"/>
  <c r="L827" i="1" s="1"/>
  <c r="J826" i="1"/>
  <c r="L826" i="1" s="1"/>
  <c r="J825" i="1"/>
  <c r="L825" i="1" s="1"/>
  <c r="J824" i="1"/>
  <c r="L824" i="1" s="1"/>
  <c r="J823" i="1"/>
  <c r="L823" i="1" s="1"/>
  <c r="J822" i="1"/>
  <c r="L822" i="1" s="1"/>
  <c r="J821" i="1"/>
  <c r="L821" i="1" s="1"/>
  <c r="J820" i="1"/>
  <c r="L820" i="1" s="1"/>
  <c r="J819" i="1"/>
  <c r="L819" i="1" s="1"/>
  <c r="J818" i="1"/>
  <c r="L818" i="1" s="1"/>
  <c r="J817" i="1"/>
  <c r="L817" i="1" s="1"/>
  <c r="J816" i="1"/>
  <c r="L816" i="1" s="1"/>
  <c r="J815" i="1"/>
  <c r="L815" i="1" s="1"/>
  <c r="J814" i="1"/>
  <c r="L814" i="1" s="1"/>
  <c r="J813" i="1"/>
  <c r="L813" i="1" s="1"/>
  <c r="J812" i="1"/>
  <c r="L812" i="1" s="1"/>
  <c r="J811" i="1"/>
  <c r="L811" i="1" s="1"/>
  <c r="J810" i="1"/>
  <c r="L810" i="1" s="1"/>
  <c r="J809" i="1"/>
  <c r="L809" i="1" s="1"/>
  <c r="J808" i="1"/>
  <c r="L808" i="1" s="1"/>
  <c r="L807" i="1"/>
  <c r="J807" i="1"/>
  <c r="J806" i="1"/>
  <c r="L806" i="1" s="1"/>
  <c r="J805" i="1"/>
  <c r="L805" i="1" s="1"/>
  <c r="J804" i="1"/>
  <c r="L804" i="1" s="1"/>
  <c r="J803" i="1"/>
  <c r="L803" i="1" s="1"/>
  <c r="L802" i="1"/>
  <c r="J802" i="1"/>
  <c r="J801" i="1"/>
  <c r="L801" i="1" s="1"/>
  <c r="J800" i="1"/>
  <c r="L800" i="1" s="1"/>
  <c r="J799" i="1"/>
  <c r="L799" i="1" s="1"/>
  <c r="J798" i="1"/>
  <c r="L798" i="1" s="1"/>
  <c r="J797" i="1"/>
  <c r="L797" i="1" s="1"/>
  <c r="J796" i="1"/>
  <c r="L796" i="1" s="1"/>
  <c r="J795" i="1"/>
  <c r="L795" i="1" s="1"/>
  <c r="J794" i="1"/>
  <c r="L794" i="1" s="1"/>
  <c r="J793" i="1"/>
  <c r="L793" i="1" s="1"/>
  <c r="L792" i="1"/>
  <c r="J792" i="1"/>
  <c r="J791" i="1"/>
  <c r="L791" i="1" s="1"/>
  <c r="J790" i="1"/>
  <c r="L790" i="1" s="1"/>
  <c r="J789" i="1"/>
  <c r="L789" i="1" s="1"/>
  <c r="J788" i="1"/>
  <c r="L788" i="1" s="1"/>
  <c r="J787" i="1"/>
  <c r="L787" i="1" s="1"/>
  <c r="J786" i="1"/>
  <c r="L786" i="1" s="1"/>
  <c r="J785" i="1"/>
  <c r="L785" i="1" s="1"/>
  <c r="J784" i="1"/>
  <c r="L784" i="1" s="1"/>
  <c r="J783" i="1"/>
  <c r="L783" i="1" s="1"/>
  <c r="J782" i="1"/>
  <c r="L782" i="1" s="1"/>
  <c r="J781" i="1"/>
  <c r="L781" i="1" s="1"/>
  <c r="J780" i="1"/>
  <c r="L780" i="1" s="1"/>
  <c r="J779" i="1"/>
  <c r="L779" i="1" s="1"/>
  <c r="J778" i="1"/>
  <c r="L778" i="1" s="1"/>
  <c r="J777" i="1"/>
  <c r="L777" i="1" s="1"/>
  <c r="J776" i="1"/>
  <c r="L776" i="1" s="1"/>
  <c r="J775" i="1"/>
  <c r="L775" i="1" s="1"/>
  <c r="J774" i="1"/>
  <c r="L774" i="1" s="1"/>
  <c r="J773" i="1"/>
  <c r="L773" i="1" s="1"/>
  <c r="J772" i="1"/>
  <c r="L772" i="1" s="1"/>
  <c r="J771" i="1"/>
  <c r="L771" i="1" s="1"/>
  <c r="J770" i="1"/>
  <c r="L770" i="1" s="1"/>
  <c r="J769" i="1"/>
  <c r="L769" i="1" s="1"/>
  <c r="J768" i="1"/>
  <c r="L768" i="1" s="1"/>
  <c r="J767" i="1"/>
  <c r="L767" i="1" s="1"/>
  <c r="J766" i="1"/>
  <c r="L766" i="1" s="1"/>
  <c r="L765" i="1"/>
  <c r="J765" i="1"/>
  <c r="J764" i="1"/>
  <c r="L764" i="1" s="1"/>
  <c r="J763" i="1"/>
  <c r="L763" i="1" s="1"/>
  <c r="J762" i="1"/>
  <c r="L762" i="1" s="1"/>
  <c r="J761" i="1"/>
  <c r="L761" i="1" s="1"/>
  <c r="J760" i="1"/>
  <c r="L760" i="1" s="1"/>
  <c r="J759" i="1"/>
  <c r="L759" i="1" s="1"/>
  <c r="J758" i="1"/>
  <c r="L758" i="1" s="1"/>
  <c r="J757" i="1"/>
  <c r="L757" i="1" s="1"/>
  <c r="J756" i="1"/>
  <c r="L756" i="1" s="1"/>
  <c r="J755" i="1"/>
  <c r="L755" i="1" s="1"/>
  <c r="J754" i="1"/>
  <c r="L754" i="1" s="1"/>
  <c r="J753" i="1"/>
  <c r="L753" i="1" s="1"/>
  <c r="J752" i="1"/>
  <c r="L752" i="1" s="1"/>
  <c r="J751" i="1"/>
  <c r="L751" i="1" s="1"/>
  <c r="J750" i="1"/>
  <c r="L750" i="1" s="1"/>
  <c r="J749" i="1"/>
  <c r="L749" i="1" s="1"/>
  <c r="J748" i="1"/>
  <c r="L748" i="1" s="1"/>
  <c r="J747" i="1"/>
  <c r="L747" i="1" s="1"/>
  <c r="J746" i="1"/>
  <c r="L746" i="1" s="1"/>
  <c r="J745" i="1"/>
  <c r="L745" i="1" s="1"/>
  <c r="J744" i="1"/>
  <c r="L744" i="1" s="1"/>
  <c r="J743" i="1"/>
  <c r="L743" i="1" s="1"/>
  <c r="J742" i="1"/>
  <c r="L742" i="1" s="1"/>
  <c r="L741" i="1"/>
  <c r="J741" i="1"/>
  <c r="J740" i="1"/>
  <c r="L740" i="1" s="1"/>
  <c r="J739" i="1"/>
  <c r="L739" i="1" s="1"/>
  <c r="J738" i="1"/>
  <c r="L738" i="1" s="1"/>
  <c r="J737" i="1"/>
  <c r="L737" i="1" s="1"/>
  <c r="J736" i="1"/>
  <c r="L736" i="1" s="1"/>
  <c r="J735" i="1"/>
  <c r="L735" i="1" s="1"/>
  <c r="J734" i="1"/>
  <c r="L734" i="1" s="1"/>
  <c r="J733" i="1"/>
  <c r="L733" i="1" s="1"/>
  <c r="J732" i="1"/>
  <c r="L732" i="1" s="1"/>
  <c r="J731" i="1"/>
  <c r="L731" i="1" s="1"/>
  <c r="J730" i="1"/>
  <c r="L730" i="1" s="1"/>
  <c r="J729" i="1"/>
  <c r="L729" i="1" s="1"/>
  <c r="J728" i="1"/>
  <c r="L728" i="1" s="1"/>
  <c r="J727" i="1"/>
  <c r="L727" i="1" s="1"/>
  <c r="J726" i="1"/>
  <c r="L726" i="1" s="1"/>
  <c r="J725" i="1"/>
  <c r="L725" i="1" s="1"/>
  <c r="J724" i="1"/>
  <c r="L724" i="1" s="1"/>
  <c r="J723" i="1"/>
  <c r="L723" i="1" s="1"/>
  <c r="J722" i="1"/>
  <c r="L722" i="1" s="1"/>
  <c r="J721" i="1"/>
  <c r="L721" i="1" s="1"/>
  <c r="L720" i="1"/>
  <c r="J720" i="1"/>
  <c r="J719" i="1"/>
  <c r="L719" i="1" s="1"/>
  <c r="J718" i="1"/>
  <c r="L718" i="1" s="1"/>
  <c r="J717" i="1"/>
  <c r="L717" i="1" s="1"/>
  <c r="J716" i="1"/>
  <c r="L716" i="1" s="1"/>
  <c r="J715" i="1"/>
  <c r="L715" i="1" s="1"/>
  <c r="J714" i="1"/>
  <c r="L714" i="1" s="1"/>
  <c r="J713" i="1"/>
  <c r="L713" i="1" s="1"/>
  <c r="J712" i="1"/>
  <c r="L712" i="1" s="1"/>
  <c r="L711" i="1"/>
  <c r="J711" i="1"/>
  <c r="J710" i="1"/>
  <c r="L710" i="1" s="1"/>
  <c r="J709" i="1"/>
  <c r="L709" i="1" s="1"/>
  <c r="J708" i="1"/>
  <c r="L708" i="1" s="1"/>
  <c r="J707" i="1"/>
  <c r="L707" i="1" s="1"/>
  <c r="J706" i="1"/>
  <c r="L706" i="1" s="1"/>
  <c r="J705" i="1"/>
  <c r="L705" i="1" s="1"/>
  <c r="J704" i="1"/>
  <c r="L704" i="1" s="1"/>
  <c r="J703" i="1"/>
  <c r="L703" i="1" s="1"/>
  <c r="J702" i="1"/>
  <c r="L702" i="1" s="1"/>
  <c r="J701" i="1"/>
  <c r="L701" i="1" s="1"/>
  <c r="J700" i="1"/>
  <c r="L700" i="1" s="1"/>
  <c r="J699" i="1"/>
  <c r="L699" i="1" s="1"/>
  <c r="J698" i="1"/>
  <c r="L698" i="1" s="1"/>
  <c r="J697" i="1"/>
  <c r="L697" i="1" s="1"/>
  <c r="J696" i="1"/>
  <c r="L696" i="1" s="1"/>
  <c r="J695" i="1"/>
  <c r="L695" i="1" s="1"/>
  <c r="J694" i="1"/>
  <c r="L694" i="1" s="1"/>
  <c r="J693" i="1"/>
  <c r="L693" i="1" s="1"/>
  <c r="J692" i="1"/>
  <c r="L692" i="1" s="1"/>
  <c r="J691" i="1"/>
  <c r="L691" i="1" s="1"/>
  <c r="J690" i="1"/>
  <c r="L690" i="1" s="1"/>
  <c r="J689" i="1"/>
  <c r="L689" i="1" s="1"/>
  <c r="J688" i="1"/>
  <c r="L688" i="1" s="1"/>
  <c r="J687" i="1"/>
  <c r="L687" i="1" s="1"/>
  <c r="J686" i="1"/>
  <c r="L686" i="1" s="1"/>
  <c r="J685" i="1"/>
  <c r="L685" i="1" s="1"/>
  <c r="J684" i="1"/>
  <c r="L684" i="1" s="1"/>
  <c r="J683" i="1"/>
  <c r="L683" i="1" s="1"/>
  <c r="J682" i="1"/>
  <c r="L682" i="1" s="1"/>
  <c r="L681" i="1"/>
  <c r="J681" i="1"/>
  <c r="J680" i="1"/>
  <c r="L680" i="1" s="1"/>
  <c r="J679" i="1"/>
  <c r="L679" i="1" s="1"/>
  <c r="J678" i="1"/>
  <c r="L678" i="1" s="1"/>
  <c r="J677" i="1"/>
  <c r="L677" i="1" s="1"/>
  <c r="J676" i="1"/>
  <c r="L676" i="1" s="1"/>
  <c r="J675" i="1"/>
  <c r="L675" i="1" s="1"/>
  <c r="J674" i="1"/>
  <c r="L674" i="1" s="1"/>
  <c r="J673" i="1"/>
  <c r="L673" i="1" s="1"/>
  <c r="J672" i="1"/>
  <c r="L672" i="1" s="1"/>
  <c r="J671" i="1"/>
  <c r="L671" i="1" s="1"/>
  <c r="J670" i="1"/>
  <c r="L670" i="1" s="1"/>
  <c r="J669" i="1"/>
  <c r="L669" i="1" s="1"/>
  <c r="J668" i="1"/>
  <c r="L668" i="1" s="1"/>
  <c r="J667" i="1"/>
  <c r="L667" i="1" s="1"/>
  <c r="L666" i="1"/>
  <c r="J666" i="1"/>
  <c r="J665" i="1"/>
  <c r="L665" i="1" s="1"/>
  <c r="J664" i="1"/>
  <c r="L664" i="1" s="1"/>
  <c r="J663" i="1"/>
  <c r="L663" i="1" s="1"/>
  <c r="J662" i="1"/>
  <c r="L662" i="1" s="1"/>
  <c r="L661" i="1"/>
  <c r="J661" i="1"/>
  <c r="J660" i="1"/>
  <c r="L660" i="1" s="1"/>
  <c r="J659" i="1"/>
  <c r="L659" i="1" s="1"/>
  <c r="J658" i="1"/>
  <c r="L658" i="1" s="1"/>
  <c r="J657" i="1"/>
  <c r="L657" i="1" s="1"/>
  <c r="J656" i="1"/>
  <c r="L656" i="1" s="1"/>
  <c r="J655" i="1"/>
  <c r="L655" i="1" s="1"/>
  <c r="J654" i="1"/>
  <c r="L654" i="1" s="1"/>
  <c r="J653" i="1"/>
  <c r="L653" i="1" s="1"/>
  <c r="J652" i="1"/>
  <c r="L652" i="1" s="1"/>
  <c r="J651" i="1"/>
  <c r="L651" i="1" s="1"/>
  <c r="J650" i="1"/>
  <c r="L650" i="1" s="1"/>
  <c r="J649" i="1"/>
  <c r="L649" i="1" s="1"/>
  <c r="J648" i="1"/>
  <c r="L648" i="1" s="1"/>
  <c r="J647" i="1"/>
  <c r="L647" i="1" s="1"/>
  <c r="J646" i="1"/>
  <c r="L646" i="1" s="1"/>
  <c r="J645" i="1"/>
  <c r="L645" i="1" s="1"/>
  <c r="J644" i="1"/>
  <c r="L644" i="1" s="1"/>
  <c r="J643" i="1"/>
  <c r="L643" i="1" s="1"/>
  <c r="J642" i="1"/>
  <c r="L642" i="1" s="1"/>
  <c r="J641" i="1"/>
  <c r="L641" i="1" s="1"/>
  <c r="J640" i="1"/>
  <c r="L640" i="1" s="1"/>
  <c r="J639" i="1"/>
  <c r="L639" i="1" s="1"/>
  <c r="J638" i="1"/>
  <c r="L638" i="1" s="1"/>
  <c r="J637" i="1"/>
  <c r="L637" i="1" s="1"/>
  <c r="J636" i="1"/>
  <c r="L636" i="1" s="1"/>
  <c r="J635" i="1"/>
  <c r="L635" i="1" s="1"/>
  <c r="J634" i="1"/>
  <c r="L634" i="1" s="1"/>
  <c r="J633" i="1"/>
  <c r="L633" i="1" s="1"/>
  <c r="J632" i="1"/>
  <c r="L632" i="1" s="1"/>
  <c r="J631" i="1"/>
  <c r="L631" i="1" s="1"/>
  <c r="J630" i="1"/>
  <c r="L630" i="1" s="1"/>
  <c r="J629" i="1"/>
  <c r="L629" i="1" s="1"/>
  <c r="J628" i="1"/>
  <c r="L628" i="1" s="1"/>
  <c r="J627" i="1"/>
  <c r="L627" i="1" s="1"/>
  <c r="J626" i="1"/>
  <c r="L626" i="1" s="1"/>
  <c r="J625" i="1"/>
  <c r="L625" i="1" s="1"/>
  <c r="J624" i="1"/>
  <c r="L624" i="1" s="1"/>
  <c r="J623" i="1"/>
  <c r="L623" i="1" s="1"/>
  <c r="J622" i="1"/>
  <c r="L622" i="1" s="1"/>
  <c r="J621" i="1"/>
  <c r="L621" i="1" s="1"/>
  <c r="J620" i="1"/>
  <c r="L620" i="1" s="1"/>
  <c r="J619" i="1"/>
  <c r="L619" i="1" s="1"/>
  <c r="J618" i="1"/>
  <c r="L618" i="1" s="1"/>
  <c r="J617" i="1"/>
  <c r="L617" i="1" s="1"/>
  <c r="J616" i="1"/>
  <c r="L616" i="1" s="1"/>
  <c r="J615" i="1"/>
  <c r="L615" i="1" s="1"/>
  <c r="J614" i="1"/>
  <c r="L614" i="1" s="1"/>
  <c r="J613" i="1"/>
  <c r="L613" i="1" s="1"/>
  <c r="J612" i="1"/>
  <c r="L612" i="1" s="1"/>
  <c r="J611" i="1"/>
  <c r="L611" i="1" s="1"/>
  <c r="J610" i="1"/>
  <c r="L610" i="1" s="1"/>
  <c r="L609" i="1"/>
  <c r="J609" i="1"/>
  <c r="J608" i="1"/>
  <c r="L608" i="1" s="1"/>
  <c r="J607" i="1"/>
  <c r="L607" i="1" s="1"/>
  <c r="J606" i="1"/>
  <c r="L606" i="1" s="1"/>
  <c r="J605" i="1"/>
  <c r="L605" i="1" s="1"/>
  <c r="J604" i="1"/>
  <c r="L604" i="1" s="1"/>
  <c r="J603" i="1"/>
  <c r="L603" i="1" s="1"/>
  <c r="J602" i="1"/>
  <c r="L602" i="1" s="1"/>
  <c r="J601" i="1"/>
  <c r="L601" i="1" s="1"/>
  <c r="L600" i="1"/>
  <c r="J600" i="1"/>
  <c r="J599" i="1"/>
  <c r="L599" i="1" s="1"/>
  <c r="J598" i="1"/>
  <c r="L598" i="1" s="1"/>
  <c r="J597" i="1"/>
  <c r="L597" i="1" s="1"/>
  <c r="J596" i="1"/>
  <c r="L596" i="1" s="1"/>
  <c r="J595" i="1"/>
  <c r="L595" i="1" s="1"/>
  <c r="J594" i="1"/>
  <c r="L594" i="1" s="1"/>
  <c r="L593" i="1"/>
  <c r="J593" i="1"/>
  <c r="J592" i="1"/>
  <c r="L592" i="1" s="1"/>
  <c r="J591" i="1"/>
  <c r="L591" i="1" s="1"/>
  <c r="J590" i="1"/>
  <c r="L590" i="1" s="1"/>
  <c r="J589" i="1"/>
  <c r="L589" i="1" s="1"/>
  <c r="L588" i="1"/>
  <c r="J588" i="1"/>
  <c r="J587" i="1"/>
  <c r="L587" i="1" s="1"/>
  <c r="J586" i="1"/>
  <c r="L586" i="1" s="1"/>
  <c r="J585" i="1"/>
  <c r="L585" i="1" s="1"/>
  <c r="J584" i="1"/>
  <c r="L584" i="1" s="1"/>
  <c r="J583" i="1"/>
  <c r="L583" i="1" s="1"/>
  <c r="L582" i="1"/>
  <c r="J582" i="1"/>
  <c r="L581" i="1"/>
  <c r="J581" i="1"/>
  <c r="J580" i="1"/>
  <c r="L580" i="1" s="1"/>
  <c r="J579" i="1"/>
  <c r="L579" i="1" s="1"/>
  <c r="J578" i="1"/>
  <c r="L578" i="1" s="1"/>
  <c r="J577" i="1"/>
  <c r="L577" i="1" s="1"/>
  <c r="J576" i="1"/>
  <c r="L576" i="1" s="1"/>
  <c r="J575" i="1"/>
  <c r="L575" i="1" s="1"/>
  <c r="J574" i="1"/>
  <c r="L574" i="1" s="1"/>
  <c r="J573" i="1"/>
  <c r="L573" i="1" s="1"/>
  <c r="J572" i="1"/>
  <c r="L572" i="1" s="1"/>
  <c r="J571" i="1"/>
  <c r="L571" i="1" s="1"/>
  <c r="J570" i="1"/>
  <c r="L570" i="1" s="1"/>
  <c r="J569" i="1"/>
  <c r="L569" i="1" s="1"/>
  <c r="L568" i="1"/>
  <c r="J568" i="1"/>
  <c r="J567" i="1"/>
  <c r="L567" i="1" s="1"/>
  <c r="J566" i="1"/>
  <c r="L566" i="1" s="1"/>
  <c r="L565" i="1"/>
  <c r="J565" i="1"/>
  <c r="L564" i="1"/>
  <c r="J564" i="1"/>
  <c r="J563" i="1"/>
  <c r="L563" i="1" s="1"/>
  <c r="J562" i="1"/>
  <c r="L562" i="1" s="1"/>
  <c r="J561" i="1"/>
  <c r="L561" i="1" s="1"/>
  <c r="J560" i="1"/>
  <c r="L560" i="1" s="1"/>
  <c r="J559" i="1"/>
  <c r="L559" i="1" s="1"/>
  <c r="J558" i="1"/>
  <c r="L558" i="1" s="1"/>
  <c r="J557" i="1"/>
  <c r="L557" i="1" s="1"/>
  <c r="L556" i="1"/>
  <c r="J556" i="1"/>
  <c r="J555" i="1"/>
  <c r="L555" i="1" s="1"/>
  <c r="J554" i="1"/>
  <c r="L554" i="1" s="1"/>
  <c r="J553" i="1"/>
  <c r="L553" i="1" s="1"/>
  <c r="J552" i="1"/>
  <c r="L552" i="1" s="1"/>
  <c r="L551" i="1"/>
  <c r="J551" i="1"/>
  <c r="L550" i="1"/>
  <c r="J550" i="1"/>
  <c r="L549" i="1"/>
  <c r="J549" i="1"/>
  <c r="L548" i="1"/>
  <c r="J548" i="1"/>
  <c r="J547" i="1"/>
  <c r="L547" i="1" s="1"/>
  <c r="J546" i="1"/>
  <c r="L546" i="1" s="1"/>
  <c r="J545" i="1"/>
  <c r="L545" i="1" s="1"/>
  <c r="J544" i="1"/>
  <c r="L544" i="1" s="1"/>
  <c r="J543" i="1"/>
  <c r="L543" i="1" s="1"/>
  <c r="J542" i="1"/>
  <c r="L542" i="1" s="1"/>
  <c r="J541" i="1"/>
  <c r="L541" i="1" s="1"/>
  <c r="J540" i="1"/>
  <c r="L540" i="1" s="1"/>
  <c r="J539" i="1"/>
  <c r="L539" i="1" s="1"/>
  <c r="J538" i="1"/>
  <c r="L538" i="1" s="1"/>
  <c r="J537" i="1"/>
  <c r="L537" i="1" s="1"/>
  <c r="J536" i="1"/>
  <c r="L536" i="1" s="1"/>
  <c r="J535" i="1"/>
  <c r="L535" i="1" s="1"/>
  <c r="L534" i="1"/>
  <c r="J534" i="1"/>
  <c r="J533" i="1"/>
  <c r="L533" i="1" s="1"/>
  <c r="J532" i="1"/>
  <c r="L532" i="1" s="1"/>
  <c r="L531" i="1"/>
  <c r="J531" i="1"/>
  <c r="J530" i="1"/>
  <c r="L530" i="1" s="1"/>
  <c r="L529" i="1"/>
  <c r="J529" i="1"/>
  <c r="L528" i="1"/>
  <c r="J528" i="1"/>
  <c r="J527" i="1"/>
  <c r="L527" i="1" s="1"/>
  <c r="J526" i="1"/>
  <c r="L526" i="1" s="1"/>
  <c r="J525" i="1"/>
  <c r="L525" i="1" s="1"/>
  <c r="J524" i="1"/>
  <c r="L524" i="1" s="1"/>
  <c r="J523" i="1"/>
  <c r="L523" i="1" s="1"/>
  <c r="J522" i="1"/>
  <c r="L522" i="1" s="1"/>
  <c r="J521" i="1"/>
  <c r="L521" i="1" s="1"/>
  <c r="J520" i="1"/>
  <c r="L520" i="1" s="1"/>
  <c r="J519" i="1"/>
  <c r="L519" i="1" s="1"/>
  <c r="L518" i="1"/>
  <c r="J518" i="1"/>
  <c r="L517" i="1"/>
  <c r="J517" i="1"/>
  <c r="J516" i="1"/>
  <c r="L516" i="1" s="1"/>
  <c r="J515" i="1"/>
  <c r="L515" i="1" s="1"/>
  <c r="J514" i="1"/>
  <c r="L514" i="1" s="1"/>
  <c r="J513" i="1"/>
  <c r="L513" i="1" s="1"/>
  <c r="J512" i="1"/>
  <c r="L512" i="1" s="1"/>
  <c r="J511" i="1"/>
  <c r="L511" i="1" s="1"/>
  <c r="J510" i="1"/>
  <c r="L510" i="1" s="1"/>
  <c r="L509" i="1"/>
  <c r="J509" i="1"/>
  <c r="L508" i="1"/>
  <c r="J508" i="1"/>
  <c r="J507" i="1"/>
  <c r="L507" i="1" s="1"/>
  <c r="L506" i="1"/>
  <c r="J506" i="1"/>
  <c r="J505" i="1"/>
  <c r="L505" i="1" s="1"/>
  <c r="J504" i="1"/>
  <c r="L504" i="1" s="1"/>
  <c r="J503" i="1"/>
  <c r="L503" i="1" s="1"/>
  <c r="J502" i="1"/>
  <c r="L502" i="1" s="1"/>
  <c r="J501" i="1"/>
  <c r="L501" i="1" s="1"/>
  <c r="J500" i="1"/>
  <c r="L500" i="1" s="1"/>
  <c r="J499" i="1"/>
  <c r="L499" i="1" s="1"/>
  <c r="L498" i="1"/>
  <c r="J498" i="1"/>
  <c r="J497" i="1"/>
  <c r="L497" i="1" s="1"/>
  <c r="J496" i="1"/>
  <c r="L496" i="1" s="1"/>
  <c r="J495" i="1"/>
  <c r="L495" i="1" s="1"/>
  <c r="J494" i="1"/>
  <c r="L494" i="1" s="1"/>
  <c r="J493" i="1"/>
  <c r="L493" i="1" s="1"/>
  <c r="J492" i="1"/>
  <c r="L492" i="1" s="1"/>
  <c r="L491" i="1"/>
  <c r="J491" i="1"/>
  <c r="L490" i="1"/>
  <c r="J490" i="1"/>
  <c r="L489" i="1"/>
  <c r="J489" i="1"/>
  <c r="J488" i="1"/>
  <c r="L488" i="1" s="1"/>
  <c r="J487" i="1"/>
  <c r="L487" i="1" s="1"/>
  <c r="J486" i="1"/>
  <c r="L486" i="1" s="1"/>
  <c r="J485" i="1"/>
  <c r="L485" i="1" s="1"/>
  <c r="J484" i="1"/>
  <c r="L484" i="1" s="1"/>
  <c r="J483" i="1"/>
  <c r="L483" i="1" s="1"/>
  <c r="J482" i="1"/>
  <c r="L482" i="1" s="1"/>
  <c r="J481" i="1"/>
  <c r="L481" i="1" s="1"/>
  <c r="J480" i="1"/>
  <c r="L480" i="1" s="1"/>
  <c r="J479" i="1"/>
  <c r="L479" i="1" s="1"/>
  <c r="J478" i="1"/>
  <c r="L478" i="1" s="1"/>
  <c r="J477" i="1"/>
  <c r="L477" i="1" s="1"/>
  <c r="J476" i="1"/>
  <c r="L476" i="1" s="1"/>
  <c r="J475" i="1"/>
  <c r="L475" i="1" s="1"/>
  <c r="J474" i="1"/>
  <c r="L474" i="1" s="1"/>
  <c r="J473" i="1"/>
  <c r="L473" i="1" s="1"/>
  <c r="J472" i="1"/>
  <c r="L472" i="1" s="1"/>
  <c r="J471" i="1"/>
  <c r="L471" i="1" s="1"/>
  <c r="J470" i="1"/>
  <c r="L470" i="1" s="1"/>
  <c r="J469" i="1"/>
  <c r="L469" i="1" s="1"/>
  <c r="J468" i="1"/>
  <c r="L468" i="1" s="1"/>
  <c r="J467" i="1"/>
  <c r="L467" i="1" s="1"/>
  <c r="L466" i="1"/>
  <c r="J466" i="1"/>
  <c r="J465" i="1"/>
  <c r="L465" i="1" s="1"/>
  <c r="J464" i="1"/>
  <c r="L464" i="1" s="1"/>
  <c r="J463" i="1"/>
  <c r="L463" i="1" s="1"/>
  <c r="J462" i="1"/>
  <c r="L462" i="1" s="1"/>
  <c r="J461" i="1"/>
  <c r="L461" i="1" s="1"/>
  <c r="J460" i="1"/>
  <c r="L460" i="1" s="1"/>
  <c r="J459" i="1"/>
  <c r="L459" i="1" s="1"/>
  <c r="J458" i="1"/>
  <c r="L458" i="1" s="1"/>
  <c r="J457" i="1"/>
  <c r="L457" i="1" s="1"/>
  <c r="J456" i="1"/>
  <c r="L456" i="1" s="1"/>
  <c r="J455" i="1"/>
  <c r="L455" i="1" s="1"/>
  <c r="J454" i="1"/>
  <c r="L454" i="1" s="1"/>
  <c r="J453" i="1"/>
  <c r="L453" i="1" s="1"/>
  <c r="J452" i="1"/>
  <c r="L452" i="1" s="1"/>
  <c r="J451" i="1"/>
  <c r="L451" i="1" s="1"/>
  <c r="J450" i="1"/>
  <c r="L450" i="1" s="1"/>
  <c r="L449" i="1"/>
  <c r="J449" i="1"/>
  <c r="J448" i="1"/>
  <c r="L448" i="1" s="1"/>
  <c r="J447" i="1"/>
  <c r="L447" i="1" s="1"/>
  <c r="J446" i="1"/>
  <c r="L446" i="1" s="1"/>
  <c r="J445" i="1"/>
  <c r="L445" i="1" s="1"/>
  <c r="J444" i="1"/>
  <c r="L444" i="1" s="1"/>
  <c r="J443" i="1"/>
  <c r="L443" i="1" s="1"/>
  <c r="J442" i="1"/>
  <c r="L442" i="1" s="1"/>
  <c r="L441" i="1"/>
  <c r="J441" i="1"/>
  <c r="L440" i="1"/>
  <c r="J440" i="1"/>
  <c r="J439" i="1"/>
  <c r="L439" i="1" s="1"/>
  <c r="J438" i="1"/>
  <c r="L438" i="1" s="1"/>
  <c r="J437" i="1"/>
  <c r="L437" i="1" s="1"/>
  <c r="J436" i="1"/>
  <c r="L436" i="1" s="1"/>
  <c r="L435" i="1"/>
  <c r="J435" i="1"/>
  <c r="J434" i="1"/>
  <c r="L434" i="1" s="1"/>
  <c r="J433" i="1"/>
  <c r="L433" i="1" s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J413" i="1"/>
  <c r="L413" i="1" s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L392" i="1"/>
  <c r="J392" i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L384" i="1"/>
  <c r="J384" i="1"/>
  <c r="L383" i="1"/>
  <c r="J383" i="1"/>
  <c r="L382" i="1"/>
  <c r="J382" i="1"/>
  <c r="L381" i="1"/>
  <c r="J381" i="1"/>
  <c r="L380" i="1"/>
  <c r="J380" i="1"/>
  <c r="L379" i="1"/>
  <c r="J379" i="1"/>
  <c r="L378" i="1"/>
  <c r="J378" i="1"/>
  <c r="L377" i="1"/>
  <c r="J377" i="1"/>
  <c r="L376" i="1"/>
  <c r="J376" i="1"/>
  <c r="L375" i="1"/>
  <c r="J375" i="1"/>
  <c r="L374" i="1"/>
  <c r="J374" i="1"/>
  <c r="L373" i="1"/>
  <c r="J373" i="1"/>
  <c r="L372" i="1"/>
  <c r="J372" i="1"/>
  <c r="L371" i="1"/>
  <c r="J371" i="1"/>
  <c r="L370" i="1"/>
  <c r="J370" i="1"/>
  <c r="L369" i="1"/>
  <c r="J369" i="1"/>
  <c r="L368" i="1"/>
  <c r="J368" i="1"/>
  <c r="L367" i="1"/>
  <c r="J367" i="1"/>
  <c r="L366" i="1"/>
  <c r="J366" i="1"/>
  <c r="L365" i="1"/>
  <c r="J365" i="1"/>
  <c r="L364" i="1"/>
  <c r="J364" i="1"/>
  <c r="L363" i="1"/>
  <c r="J363" i="1"/>
  <c r="L362" i="1"/>
  <c r="J362" i="1"/>
  <c r="L361" i="1"/>
  <c r="J361" i="1"/>
  <c r="L360" i="1"/>
  <c r="J360" i="1"/>
  <c r="L359" i="1"/>
  <c r="J359" i="1"/>
  <c r="L358" i="1"/>
  <c r="J358" i="1"/>
  <c r="L357" i="1"/>
  <c r="J357" i="1"/>
  <c r="L356" i="1"/>
  <c r="J356" i="1"/>
  <c r="L355" i="1"/>
  <c r="J355" i="1"/>
  <c r="L354" i="1"/>
  <c r="J354" i="1"/>
  <c r="L353" i="1"/>
  <c r="J353" i="1"/>
  <c r="L352" i="1"/>
  <c r="J352" i="1"/>
  <c r="L351" i="1"/>
  <c r="J351" i="1"/>
  <c r="L350" i="1"/>
  <c r="J350" i="1"/>
  <c r="L349" i="1"/>
  <c r="J349" i="1"/>
  <c r="L348" i="1"/>
  <c r="J348" i="1"/>
  <c r="L347" i="1"/>
  <c r="J347" i="1"/>
  <c r="L346" i="1"/>
  <c r="J346" i="1"/>
  <c r="L345" i="1"/>
  <c r="J345" i="1"/>
  <c r="J344" i="1"/>
  <c r="L344" i="1" s="1"/>
  <c r="L343" i="1"/>
  <c r="J343" i="1"/>
  <c r="L342" i="1"/>
  <c r="J342" i="1"/>
  <c r="L341" i="1"/>
  <c r="J341" i="1"/>
  <c r="L340" i="1"/>
  <c r="J340" i="1"/>
  <c r="L339" i="1"/>
  <c r="J339" i="1"/>
  <c r="L338" i="1"/>
  <c r="J338" i="1"/>
  <c r="L337" i="1"/>
  <c r="J337" i="1"/>
  <c r="L336" i="1"/>
  <c r="J336" i="1"/>
  <c r="L335" i="1"/>
  <c r="J335" i="1"/>
  <c r="L334" i="1"/>
  <c r="J334" i="1"/>
  <c r="L333" i="1"/>
  <c r="J333" i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L213" i="1"/>
  <c r="J213" i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L205" i="1"/>
  <c r="J205" i="1"/>
  <c r="L204" i="1"/>
  <c r="J204" i="1"/>
  <c r="L203" i="1"/>
  <c r="J203" i="1"/>
  <c r="L202" i="1"/>
  <c r="J202" i="1"/>
  <c r="L201" i="1"/>
  <c r="J201" i="1"/>
  <c r="L200" i="1"/>
  <c r="J200" i="1"/>
  <c r="L199" i="1"/>
  <c r="J199" i="1"/>
  <c r="L198" i="1"/>
  <c r="J198" i="1"/>
  <c r="L197" i="1"/>
  <c r="J197" i="1"/>
  <c r="L196" i="1"/>
  <c r="J196" i="1"/>
  <c r="L195" i="1"/>
  <c r="J195" i="1"/>
  <c r="L194" i="1"/>
  <c r="J194" i="1"/>
  <c r="L193" i="1"/>
  <c r="J193" i="1"/>
  <c r="L192" i="1"/>
  <c r="J192" i="1"/>
  <c r="L191" i="1"/>
  <c r="J191" i="1"/>
  <c r="L190" i="1"/>
  <c r="J190" i="1"/>
  <c r="L189" i="1"/>
  <c r="J189" i="1"/>
  <c r="L188" i="1"/>
  <c r="J188" i="1"/>
  <c r="L187" i="1"/>
  <c r="J187" i="1"/>
  <c r="L186" i="1"/>
  <c r="J186" i="1"/>
  <c r="L185" i="1"/>
  <c r="J185" i="1"/>
  <c r="L184" i="1"/>
  <c r="J184" i="1"/>
  <c r="L183" i="1"/>
  <c r="J183" i="1"/>
  <c r="L182" i="1"/>
  <c r="J182" i="1"/>
  <c r="L181" i="1"/>
  <c r="J181" i="1"/>
  <c r="L180" i="1"/>
  <c r="J180" i="1"/>
  <c r="L179" i="1"/>
  <c r="J179" i="1"/>
  <c r="L178" i="1"/>
  <c r="J178" i="1"/>
  <c r="L177" i="1"/>
  <c r="J177" i="1"/>
  <c r="L176" i="1"/>
  <c r="J176" i="1"/>
  <c r="L175" i="1"/>
  <c r="J175" i="1"/>
  <c r="L174" i="1"/>
  <c r="J174" i="1"/>
  <c r="L173" i="1"/>
  <c r="J173" i="1"/>
  <c r="L172" i="1"/>
  <c r="J172" i="1"/>
  <c r="L171" i="1"/>
  <c r="J171" i="1"/>
  <c r="L170" i="1"/>
  <c r="J170" i="1"/>
  <c r="L169" i="1"/>
  <c r="J169" i="1"/>
  <c r="L168" i="1"/>
  <c r="J168" i="1"/>
  <c r="L167" i="1"/>
  <c r="J167" i="1"/>
  <c r="L166" i="1"/>
  <c r="J166" i="1"/>
  <c r="L165" i="1"/>
  <c r="J165" i="1"/>
  <c r="L164" i="1"/>
  <c r="J164" i="1"/>
  <c r="L163" i="1"/>
  <c r="J163" i="1"/>
  <c r="L162" i="1"/>
  <c r="J162" i="1"/>
  <c r="L161" i="1"/>
  <c r="J161" i="1"/>
  <c r="L160" i="1"/>
  <c r="J160" i="1"/>
  <c r="L159" i="1"/>
  <c r="J159" i="1"/>
  <c r="L158" i="1"/>
  <c r="J158" i="1"/>
  <c r="L157" i="1"/>
  <c r="J157" i="1"/>
  <c r="L156" i="1"/>
  <c r="J156" i="1"/>
  <c r="L155" i="1"/>
  <c r="J155" i="1"/>
  <c r="L154" i="1"/>
  <c r="J154" i="1"/>
  <c r="L153" i="1"/>
  <c r="J153" i="1"/>
  <c r="L152" i="1"/>
  <c r="J152" i="1"/>
  <c r="L151" i="1"/>
  <c r="J151" i="1"/>
  <c r="L150" i="1"/>
  <c r="J150" i="1"/>
  <c r="L149" i="1"/>
  <c r="J149" i="1"/>
  <c r="L148" i="1"/>
  <c r="J148" i="1"/>
  <c r="L147" i="1"/>
  <c r="J147" i="1"/>
  <c r="L146" i="1"/>
  <c r="J146" i="1"/>
  <c r="L145" i="1"/>
  <c r="J145" i="1"/>
  <c r="L144" i="1"/>
  <c r="J144" i="1"/>
  <c r="J143" i="1"/>
  <c r="L143" i="1" s="1"/>
  <c r="L142" i="1"/>
  <c r="J142" i="1"/>
  <c r="L141" i="1"/>
  <c r="J141" i="1"/>
  <c r="L140" i="1"/>
  <c r="J140" i="1"/>
  <c r="L139" i="1"/>
  <c r="J139" i="1"/>
  <c r="L138" i="1"/>
  <c r="J138" i="1"/>
  <c r="L137" i="1"/>
  <c r="J137" i="1"/>
  <c r="L136" i="1"/>
  <c r="J136" i="1"/>
  <c r="L135" i="1"/>
  <c r="J135" i="1"/>
  <c r="L134" i="1"/>
  <c r="J134" i="1"/>
  <c r="L133" i="1"/>
  <c r="J133" i="1"/>
  <c r="L132" i="1"/>
  <c r="J132" i="1"/>
  <c r="L131" i="1"/>
  <c r="J131" i="1"/>
  <c r="L130" i="1"/>
  <c r="J130" i="1"/>
  <c r="L129" i="1"/>
  <c r="J129" i="1"/>
  <c r="L128" i="1"/>
  <c r="J128" i="1"/>
  <c r="L127" i="1"/>
  <c r="J127" i="1"/>
  <c r="L126" i="1"/>
  <c r="J126" i="1"/>
  <c r="L125" i="1"/>
  <c r="J125" i="1"/>
  <c r="L124" i="1"/>
  <c r="J124" i="1"/>
  <c r="L123" i="1"/>
  <c r="J123" i="1"/>
  <c r="L122" i="1"/>
  <c r="J122" i="1"/>
  <c r="L121" i="1"/>
  <c r="J121" i="1"/>
  <c r="L120" i="1"/>
  <c r="J120" i="1"/>
  <c r="L119" i="1"/>
  <c r="J119" i="1"/>
  <c r="L118" i="1"/>
  <c r="J118" i="1"/>
  <c r="L117" i="1"/>
  <c r="J117" i="1"/>
  <c r="L116" i="1"/>
  <c r="J116" i="1"/>
  <c r="L115" i="1"/>
  <c r="J115" i="1"/>
  <c r="L114" i="1"/>
  <c r="J114" i="1"/>
  <c r="L113" i="1"/>
  <c r="J113" i="1"/>
  <c r="L112" i="1"/>
  <c r="J112" i="1"/>
  <c r="L111" i="1"/>
  <c r="J111" i="1"/>
  <c r="L110" i="1"/>
  <c r="J110" i="1"/>
  <c r="L109" i="1"/>
  <c r="J109" i="1"/>
  <c r="L108" i="1"/>
  <c r="J108" i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J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J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  <c r="L49" i="1"/>
  <c r="J49" i="1"/>
  <c r="L48" i="1"/>
  <c r="J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4" i="1"/>
  <c r="J34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J5" i="1"/>
  <c r="L4" i="1"/>
  <c r="J4" i="1"/>
  <c r="L3" i="1"/>
  <c r="J3" i="1"/>
  <c r="L2" i="1"/>
  <c r="J2" i="1"/>
</calcChain>
</file>

<file path=xl/sharedStrings.xml><?xml version="1.0" encoding="utf-8"?>
<sst xmlns="http://schemas.openxmlformats.org/spreadsheetml/2006/main" count="13991" uniqueCount="4334">
  <si>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</si>
  <si>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</si>
  <si>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</si>
  <si>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</si>
  <si>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</si>
  <si>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</si>
  <si>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</si>
  <si>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</si>
  <si>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</si>
  <si>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</si>
  <si>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</si>
  <si>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</si>
  <si>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</si>
  <si>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</si>
  <si>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1379333</t>
  </si>
  <si>
    <t>بتول الحسنات</t>
  </si>
  <si>
    <t>8827288</t>
  </si>
  <si>
    <t>موظف</t>
  </si>
  <si>
    <t>2025-01-01</t>
  </si>
  <si>
    <t>AL HUSSIEN BIN TALAL UNIVERSITY</t>
  </si>
  <si>
    <t>1330420</t>
  </si>
  <si>
    <t>استبرق اسماعيل</t>
  </si>
  <si>
    <t>8855432</t>
  </si>
  <si>
    <t>عائله</t>
  </si>
  <si>
    <t>1325958</t>
  </si>
  <si>
    <t>محمد ريان الشماسين</t>
  </si>
  <si>
    <t>9376702</t>
  </si>
  <si>
    <t>2025-01-02</t>
  </si>
  <si>
    <t>1325958/2</t>
  </si>
  <si>
    <t>1327178</t>
  </si>
  <si>
    <t>اخلاص المساعدة</t>
  </si>
  <si>
    <t>8849892</t>
  </si>
  <si>
    <t>1325760</t>
  </si>
  <si>
    <t>ايمن الحمادين</t>
  </si>
  <si>
    <t>9835125</t>
  </si>
  <si>
    <t>2025-01-04</t>
  </si>
  <si>
    <t>1325763</t>
  </si>
  <si>
    <t>لمار الحمادين</t>
  </si>
  <si>
    <t>9835128</t>
  </si>
  <si>
    <t>1326443</t>
  </si>
  <si>
    <t>محمد نايف سلمان</t>
  </si>
  <si>
    <t>9833437</t>
  </si>
  <si>
    <t>1327717</t>
  </si>
  <si>
    <t>سهام النصرات</t>
  </si>
  <si>
    <t>9834788</t>
  </si>
  <si>
    <t>1327633</t>
  </si>
  <si>
    <t>جنى الهلالات</t>
  </si>
  <si>
    <t>9834684</t>
  </si>
  <si>
    <t>2025-01-05</t>
  </si>
  <si>
    <t>1329093</t>
  </si>
  <si>
    <t>عليا الحسنات</t>
  </si>
  <si>
    <t>9831533</t>
  </si>
  <si>
    <t>1329477</t>
  </si>
  <si>
    <t>حسين النصرات</t>
  </si>
  <si>
    <t>9838697</t>
  </si>
  <si>
    <t>1329478</t>
  </si>
  <si>
    <t>امير النصرات</t>
  </si>
  <si>
    <t>9831993</t>
  </si>
  <si>
    <t>1328400</t>
  </si>
  <si>
    <t>مريم الحلبي</t>
  </si>
  <si>
    <t>9841381</t>
  </si>
  <si>
    <t>1327153</t>
  </si>
  <si>
    <t>معتز الفلحات</t>
  </si>
  <si>
    <t>9834210</t>
  </si>
  <si>
    <t>2025-01-06</t>
  </si>
  <si>
    <t>1335324</t>
  </si>
  <si>
    <t>زينب الهلالي</t>
  </si>
  <si>
    <t>9844197</t>
  </si>
  <si>
    <t>1325228</t>
  </si>
  <si>
    <t>طلبه النصرات</t>
  </si>
  <si>
    <t>9840017</t>
  </si>
  <si>
    <t>2025-01-07</t>
  </si>
  <si>
    <t>1329164</t>
  </si>
  <si>
    <t>ايمان الشموط</t>
  </si>
  <si>
    <t>9831626</t>
  </si>
  <si>
    <t>1325593</t>
  </si>
  <si>
    <t>ريا الحسنات</t>
  </si>
  <si>
    <t>9831353</t>
  </si>
  <si>
    <t>2025-01-08</t>
  </si>
  <si>
    <t>1326026</t>
  </si>
  <si>
    <t>ثريا ابونصار</t>
  </si>
  <si>
    <t>9833019</t>
  </si>
  <si>
    <t>1326520</t>
  </si>
  <si>
    <t>عامر ابو فرج</t>
  </si>
  <si>
    <t>9833525</t>
  </si>
  <si>
    <t>1326575</t>
  </si>
  <si>
    <t>ختام المساعدة</t>
  </si>
  <si>
    <t>9833579</t>
  </si>
  <si>
    <t>1327154</t>
  </si>
  <si>
    <t>ريتال الفلحات</t>
  </si>
  <si>
    <t>7302481</t>
  </si>
  <si>
    <t>13270146</t>
  </si>
  <si>
    <t>دينا السلامين</t>
  </si>
  <si>
    <t>9834203</t>
  </si>
  <si>
    <t>1326833</t>
  </si>
  <si>
    <t>يوسف الفلحات</t>
  </si>
  <si>
    <t>9833847</t>
  </si>
  <si>
    <t>2025-01-09</t>
  </si>
  <si>
    <t>1329321</t>
  </si>
  <si>
    <t>سلمان النصرات</t>
  </si>
  <si>
    <t>9831813</t>
  </si>
  <si>
    <t>1359495</t>
  </si>
  <si>
    <t>جسور الهلالات</t>
  </si>
  <si>
    <t>9832467</t>
  </si>
  <si>
    <t>1370949</t>
  </si>
  <si>
    <t>عهود الهلالات</t>
  </si>
  <si>
    <t>9833087</t>
  </si>
  <si>
    <t>1413225</t>
  </si>
  <si>
    <t>عليا الهلالات</t>
  </si>
  <si>
    <t>9833090</t>
  </si>
  <si>
    <t>ثريا ابو نصار</t>
  </si>
  <si>
    <t>98330190</t>
  </si>
  <si>
    <t>2025-01-11</t>
  </si>
  <si>
    <t>1334997</t>
  </si>
  <si>
    <t>نايفه الرفايعه</t>
  </si>
  <si>
    <t>10053553</t>
  </si>
  <si>
    <t>1326581</t>
  </si>
  <si>
    <t>رقيه الحسنات</t>
  </si>
  <si>
    <t>9833587</t>
  </si>
  <si>
    <t>2025-01-12</t>
  </si>
  <si>
    <t>1329816</t>
  </si>
  <si>
    <t>هديل الهلالات</t>
  </si>
  <si>
    <t>9832463</t>
  </si>
  <si>
    <t>1370028</t>
  </si>
  <si>
    <t>يحيى الهلالات</t>
  </si>
  <si>
    <t>9788177</t>
  </si>
  <si>
    <t>DELTA INSURANCE CO.</t>
  </si>
  <si>
    <t>1370029</t>
  </si>
  <si>
    <t>حليمة النوافلة</t>
  </si>
  <si>
    <t>9788178</t>
  </si>
  <si>
    <t>10041285</t>
  </si>
  <si>
    <t>1326918</t>
  </si>
  <si>
    <t>نسيبة الرواضية</t>
  </si>
  <si>
    <t>10053936</t>
  </si>
  <si>
    <t>1327150</t>
  </si>
  <si>
    <t>يمنى السلاين</t>
  </si>
  <si>
    <t>9834207</t>
  </si>
  <si>
    <t>2025-01-13</t>
  </si>
  <si>
    <t>10063042</t>
  </si>
  <si>
    <t>1328478</t>
  </si>
  <si>
    <t>عماد الفلحات</t>
  </si>
  <si>
    <t>9830772</t>
  </si>
  <si>
    <t>1337179</t>
  </si>
  <si>
    <t>شهم السلامين</t>
  </si>
  <si>
    <t>9832288</t>
  </si>
  <si>
    <t>9834717</t>
  </si>
  <si>
    <t>وسام النوافلة</t>
  </si>
  <si>
    <t>1327573</t>
  </si>
  <si>
    <t>محمد النصرات</t>
  </si>
  <si>
    <t>8829440</t>
  </si>
  <si>
    <t>2025-01-14</t>
  </si>
  <si>
    <t>1327576</t>
  </si>
  <si>
    <t>ديما النوافلة</t>
  </si>
  <si>
    <t>9834634</t>
  </si>
  <si>
    <t>9881000570</t>
  </si>
  <si>
    <t>علاء الدين محمد الفلاحات</t>
  </si>
  <si>
    <t>988100</t>
  </si>
  <si>
    <t>1327998</t>
  </si>
  <si>
    <t>نهى النوافلة</t>
  </si>
  <si>
    <t>10053512</t>
  </si>
  <si>
    <t>2025-01-15</t>
  </si>
  <si>
    <t>1327547</t>
  </si>
  <si>
    <t>يامن الفرجات</t>
  </si>
  <si>
    <t>9834598</t>
  </si>
  <si>
    <t>2025-01-19</t>
  </si>
  <si>
    <t>10058615</t>
  </si>
  <si>
    <t>1328222</t>
  </si>
  <si>
    <t>محمد الطويسي</t>
  </si>
  <si>
    <t>9830463</t>
  </si>
  <si>
    <t>1355207</t>
  </si>
  <si>
    <t>رغد العودات</t>
  </si>
  <si>
    <t>9831771</t>
  </si>
  <si>
    <t>1327324</t>
  </si>
  <si>
    <t>محمد الهلالات</t>
  </si>
  <si>
    <t>9834399</t>
  </si>
  <si>
    <t>2025-01-20</t>
  </si>
  <si>
    <t>1327327</t>
  </si>
  <si>
    <t>مريم الحسنات</t>
  </si>
  <si>
    <t>10063203</t>
  </si>
  <si>
    <t>1329283</t>
  </si>
  <si>
    <t>جود العودات</t>
  </si>
  <si>
    <t>9831766</t>
  </si>
  <si>
    <t>1329286</t>
  </si>
  <si>
    <t>غزل العودات</t>
  </si>
  <si>
    <t>9831769</t>
  </si>
  <si>
    <t>1329704</t>
  </si>
  <si>
    <t>كرم السلامين</t>
  </si>
  <si>
    <t>9832285</t>
  </si>
  <si>
    <t>1341841</t>
  </si>
  <si>
    <t>9830932</t>
  </si>
  <si>
    <t>1326702</t>
  </si>
  <si>
    <t>احمد السلامين</t>
  </si>
  <si>
    <t>9833707</t>
  </si>
  <si>
    <t>9834569</t>
  </si>
  <si>
    <t>سكيبة الحسنات</t>
  </si>
  <si>
    <t>1325447</t>
  </si>
  <si>
    <t>1325317</t>
  </si>
  <si>
    <t>احمد الطويسي</t>
  </si>
  <si>
    <t>9833398</t>
  </si>
  <si>
    <t>2025-01-21</t>
  </si>
  <si>
    <t>1325584</t>
  </si>
  <si>
    <t>محمد السلامين</t>
  </si>
  <si>
    <t>9831270</t>
  </si>
  <si>
    <t>1326543</t>
  </si>
  <si>
    <t>خديجة الشبعان</t>
  </si>
  <si>
    <t>9833544</t>
  </si>
  <si>
    <t>1326831</t>
  </si>
  <si>
    <t>عمر الفلحات</t>
  </si>
  <si>
    <t>9833845</t>
  </si>
  <si>
    <t>1327842</t>
  </si>
  <si>
    <t>بلال الحمادين</t>
  </si>
  <si>
    <t>10054102</t>
  </si>
  <si>
    <t>1327957</t>
  </si>
  <si>
    <t>رحمه الخليفات</t>
  </si>
  <si>
    <t>9830174</t>
  </si>
  <si>
    <t>9830932/2</t>
  </si>
  <si>
    <t>1326870</t>
  </si>
  <si>
    <t>شروق السلامين</t>
  </si>
  <si>
    <t>9833886</t>
  </si>
  <si>
    <t>2025-01-22</t>
  </si>
  <si>
    <t>يمنى السلامين</t>
  </si>
  <si>
    <t>10058193</t>
  </si>
  <si>
    <t>1327853</t>
  </si>
  <si>
    <t>سوسن النصرات</t>
  </si>
  <si>
    <t>9834940</t>
  </si>
  <si>
    <t>1328297</t>
  </si>
  <si>
    <t>احمد العمرات</t>
  </si>
  <si>
    <t>9830560</t>
  </si>
  <si>
    <t>حليمه النوافلة</t>
  </si>
  <si>
    <t>36416923</t>
  </si>
  <si>
    <t>1326594</t>
  </si>
  <si>
    <t>ايات الحسنات</t>
  </si>
  <si>
    <t>9833602</t>
  </si>
  <si>
    <t>2025-01-23</t>
  </si>
  <si>
    <t>1326595</t>
  </si>
  <si>
    <t>مها الحسنات</t>
  </si>
  <si>
    <t>9833603</t>
  </si>
  <si>
    <t>1326651</t>
  </si>
  <si>
    <t>موسى النوافلة</t>
  </si>
  <si>
    <t>10057643</t>
  </si>
  <si>
    <t>1327183</t>
  </si>
  <si>
    <t>سوسن الفرجات</t>
  </si>
  <si>
    <t>9834244</t>
  </si>
  <si>
    <t>1327299</t>
  </si>
  <si>
    <t>محمود الهلالات</t>
  </si>
  <si>
    <t>9834367</t>
  </si>
  <si>
    <t>1335033</t>
  </si>
  <si>
    <t>ميسر السلامين</t>
  </si>
  <si>
    <t>10054017</t>
  </si>
  <si>
    <t>1326817</t>
  </si>
  <si>
    <t>سليمان السعيدات</t>
  </si>
  <si>
    <t>9833826</t>
  </si>
  <si>
    <t>2025-01-25</t>
  </si>
  <si>
    <t>1326820</t>
  </si>
  <si>
    <t>يامن السعيدات</t>
  </si>
  <si>
    <t>9833829</t>
  </si>
  <si>
    <t>1326821</t>
  </si>
  <si>
    <t>رجاء الدبوبي</t>
  </si>
  <si>
    <t>9833830</t>
  </si>
  <si>
    <t>1366625</t>
  </si>
  <si>
    <t>مريم السعيدات</t>
  </si>
  <si>
    <t>9832694</t>
  </si>
  <si>
    <t>1417913</t>
  </si>
  <si>
    <t>عاطف السلامين</t>
  </si>
  <si>
    <t>9834073</t>
  </si>
  <si>
    <t>1326700</t>
  </si>
  <si>
    <t>خالد السلامين</t>
  </si>
  <si>
    <t>9833705</t>
  </si>
  <si>
    <t>1326604</t>
  </si>
  <si>
    <t>9833608</t>
  </si>
  <si>
    <t>2025-01-26</t>
  </si>
  <si>
    <t>10063016</t>
  </si>
  <si>
    <t>1327534</t>
  </si>
  <si>
    <t>رانسي النوافلة</t>
  </si>
  <si>
    <t>9834584</t>
  </si>
  <si>
    <t>1327965</t>
  </si>
  <si>
    <t>سوزان عبدالدايم</t>
  </si>
  <si>
    <t>10054212</t>
  </si>
  <si>
    <t>1326916</t>
  </si>
  <si>
    <t>شيماء الهلالات</t>
  </si>
  <si>
    <t>9833942</t>
  </si>
  <si>
    <t>2025-01-28</t>
  </si>
  <si>
    <t>1336708</t>
  </si>
  <si>
    <t>موسى الحسنات</t>
  </si>
  <si>
    <t>9832544</t>
  </si>
  <si>
    <t>10057834</t>
  </si>
  <si>
    <t>1326597</t>
  </si>
  <si>
    <t>ايلاف الحسنات</t>
  </si>
  <si>
    <t>9833605</t>
  </si>
  <si>
    <t>2025-01-29</t>
  </si>
  <si>
    <t>1327148</t>
  </si>
  <si>
    <t>ثائر السلامين</t>
  </si>
  <si>
    <t>9834205</t>
  </si>
  <si>
    <t>10151156</t>
  </si>
  <si>
    <t>بلال ابراهيم الحمادين</t>
  </si>
  <si>
    <t>9835559</t>
  </si>
  <si>
    <t>1328397</t>
  </si>
  <si>
    <t>الايهم النوافلة</t>
  </si>
  <si>
    <t>9830686</t>
  </si>
  <si>
    <t>1328978</t>
  </si>
  <si>
    <t>امير النوافلة</t>
  </si>
  <si>
    <t>9831387</t>
  </si>
  <si>
    <t>1329163</t>
  </si>
  <si>
    <t>ضياء الحق الهلالات</t>
  </si>
  <si>
    <t>9831625</t>
  </si>
  <si>
    <t>1329165</t>
  </si>
  <si>
    <t>بكيل الهلالات</t>
  </si>
  <si>
    <t>9831627</t>
  </si>
  <si>
    <t>1364613</t>
  </si>
  <si>
    <t>داني الهلالات</t>
  </si>
  <si>
    <t>9832028</t>
  </si>
  <si>
    <t>1325383</t>
  </si>
  <si>
    <t>اماني الحسنات</t>
  </si>
  <si>
    <t>9833950</t>
  </si>
  <si>
    <t>2025-01-30</t>
  </si>
  <si>
    <t>1327145</t>
  </si>
  <si>
    <t>عطا السلامين</t>
  </si>
  <si>
    <t>9834202</t>
  </si>
  <si>
    <t>1327545</t>
  </si>
  <si>
    <t>حنين الفرحات</t>
  </si>
  <si>
    <t>9834596</t>
  </si>
  <si>
    <t>1367592</t>
  </si>
  <si>
    <t>عزيز الحمادين</t>
  </si>
  <si>
    <t>9833701</t>
  </si>
  <si>
    <t>351437</t>
  </si>
  <si>
    <t>اياد الفضول</t>
  </si>
  <si>
    <t>9726981</t>
  </si>
  <si>
    <t>2025-02-01</t>
  </si>
  <si>
    <t>JORDAN INSURANCE CO. (2)</t>
  </si>
  <si>
    <t>1325691</t>
  </si>
  <si>
    <t>باسم الهلالات</t>
  </si>
  <si>
    <t>10053612</t>
  </si>
  <si>
    <t>10057593</t>
  </si>
  <si>
    <t>1326871</t>
  </si>
  <si>
    <t>رؤى السلامين</t>
  </si>
  <si>
    <t>9833887</t>
  </si>
  <si>
    <t>1328218</t>
  </si>
  <si>
    <t>عمر الطويسي</t>
  </si>
  <si>
    <t>9830459</t>
  </si>
  <si>
    <t>10060454</t>
  </si>
  <si>
    <t>1329324</t>
  </si>
  <si>
    <t>وسن النصرات</t>
  </si>
  <si>
    <t>9831816</t>
  </si>
  <si>
    <t>1461814</t>
  </si>
  <si>
    <t>عبدالله الهلالات</t>
  </si>
  <si>
    <t>9832748</t>
  </si>
  <si>
    <t>1461817</t>
  </si>
  <si>
    <t>براء الهلالات</t>
  </si>
  <si>
    <t>9832751</t>
  </si>
  <si>
    <t>1326129</t>
  </si>
  <si>
    <t>يزيد الخليفات</t>
  </si>
  <si>
    <t>9833109</t>
  </si>
  <si>
    <t>2025-02-02</t>
  </si>
  <si>
    <t>1326555</t>
  </si>
  <si>
    <t>محمد الحسنات</t>
  </si>
  <si>
    <t>9833556</t>
  </si>
  <si>
    <t>36544473</t>
  </si>
  <si>
    <t>1328490</t>
  </si>
  <si>
    <t>عدي الفلحات</t>
  </si>
  <si>
    <t>9830794</t>
  </si>
  <si>
    <t>1329073</t>
  </si>
  <si>
    <t>تهاني الملاحيم</t>
  </si>
  <si>
    <t>9831502</t>
  </si>
  <si>
    <t>1329886</t>
  </si>
  <si>
    <t>راشد الهلالي</t>
  </si>
  <si>
    <t>9833820</t>
  </si>
  <si>
    <t>1392467</t>
  </si>
  <si>
    <t>هنادي الرياطي</t>
  </si>
  <si>
    <t>36544092</t>
  </si>
  <si>
    <t>1326695</t>
  </si>
  <si>
    <t>ادم الحمادين</t>
  </si>
  <si>
    <t>9833699</t>
  </si>
  <si>
    <t>2025-02-03</t>
  </si>
  <si>
    <t>1326699</t>
  </si>
  <si>
    <t>فاطمة السلامين</t>
  </si>
  <si>
    <t>9833704</t>
  </si>
  <si>
    <t>1327661</t>
  </si>
  <si>
    <t>محمد النوافلة</t>
  </si>
  <si>
    <t>10058694</t>
  </si>
  <si>
    <t>1327663</t>
  </si>
  <si>
    <t>عبدالرحمن النوافلة</t>
  </si>
  <si>
    <t>9834715</t>
  </si>
  <si>
    <t>1328499</t>
  </si>
  <si>
    <t>رنيم الحسنات</t>
  </si>
  <si>
    <t>9830805</t>
  </si>
  <si>
    <t>1336648</t>
  </si>
  <si>
    <t>عدبالله النوافلة</t>
  </si>
  <si>
    <t>9834718</t>
  </si>
  <si>
    <t>10056529</t>
  </si>
  <si>
    <t>1351079</t>
  </si>
  <si>
    <t>ليان النوافلة</t>
  </si>
  <si>
    <t>9834719</t>
  </si>
  <si>
    <t>1328497</t>
  </si>
  <si>
    <t>ممدوح الحسنات</t>
  </si>
  <si>
    <t>9830803</t>
  </si>
  <si>
    <t>10057569</t>
  </si>
  <si>
    <t>2025-02-04</t>
  </si>
  <si>
    <t>1327999</t>
  </si>
  <si>
    <t>مهيب النوافلة</t>
  </si>
  <si>
    <t>9834969</t>
  </si>
  <si>
    <t>10054487</t>
  </si>
  <si>
    <t>1329779</t>
  </si>
  <si>
    <t>فاطمة المراعيه</t>
  </si>
  <si>
    <t>9832420</t>
  </si>
  <si>
    <t>13265576</t>
  </si>
  <si>
    <t>جنى الفرجات</t>
  </si>
  <si>
    <t>9833580</t>
  </si>
  <si>
    <t>1327322</t>
  </si>
  <si>
    <t>شريفة الحسنات</t>
  </si>
  <si>
    <t>9834397</t>
  </si>
  <si>
    <t>2025-02-05</t>
  </si>
  <si>
    <t>1327326</t>
  </si>
  <si>
    <t>لارا الهلالات</t>
  </si>
  <si>
    <t>9834401</t>
  </si>
  <si>
    <t>1327533</t>
  </si>
  <si>
    <t>بهاء الدين النوافلة</t>
  </si>
  <si>
    <t>9834583</t>
  </si>
  <si>
    <t>10058565</t>
  </si>
  <si>
    <t>9833085</t>
  </si>
  <si>
    <t>1328219</t>
  </si>
  <si>
    <t>موسى الفلاحات</t>
  </si>
  <si>
    <t>9830460</t>
  </si>
  <si>
    <t>2025-02-06</t>
  </si>
  <si>
    <t>1328220</t>
  </si>
  <si>
    <t>زينب الفلحات</t>
  </si>
  <si>
    <t>9830461</t>
  </si>
  <si>
    <t>1328521</t>
  </si>
  <si>
    <t>حسن الحسنات</t>
  </si>
  <si>
    <t>9830824</t>
  </si>
  <si>
    <t>1365887+</t>
  </si>
  <si>
    <t>جنة السلامين</t>
  </si>
  <si>
    <t>9831624</t>
  </si>
  <si>
    <t>1370030</t>
  </si>
  <si>
    <t>ساره الهلالات</t>
  </si>
  <si>
    <t>9788179</t>
  </si>
  <si>
    <t>2025-02-07</t>
  </si>
  <si>
    <t>13/08/2025</t>
  </si>
  <si>
    <t>1328110</t>
  </si>
  <si>
    <t>دانيه الخوالدة</t>
  </si>
  <si>
    <t>9830342</t>
  </si>
  <si>
    <t>1336775</t>
  </si>
  <si>
    <t>وجدان الهلالات</t>
  </si>
  <si>
    <t>10056636</t>
  </si>
  <si>
    <t>1325586</t>
  </si>
  <si>
    <t>تاليا السلامين</t>
  </si>
  <si>
    <t>9831272</t>
  </si>
  <si>
    <t>2025-02-08</t>
  </si>
  <si>
    <t>1329094</t>
  </si>
  <si>
    <t>محمود الحسنات</t>
  </si>
  <si>
    <t>9831534</t>
  </si>
  <si>
    <t>1327038</t>
  </si>
  <si>
    <t>9834071</t>
  </si>
  <si>
    <t>1438865</t>
  </si>
  <si>
    <t>راشد الطويسي</t>
  </si>
  <si>
    <t>9830464</t>
  </si>
  <si>
    <t>1326693</t>
  </si>
  <si>
    <t>احمد الحمادين</t>
  </si>
  <si>
    <t>9833697</t>
  </si>
  <si>
    <t>2025-02-09</t>
  </si>
  <si>
    <t>10057688</t>
  </si>
  <si>
    <t>1327301</t>
  </si>
  <si>
    <t>جوري الهلالات</t>
  </si>
  <si>
    <t>9834369</t>
  </si>
  <si>
    <t>10054789</t>
  </si>
  <si>
    <t>1328484</t>
  </si>
  <si>
    <t>فاتن الهلالات</t>
  </si>
  <si>
    <t>9830778</t>
  </si>
  <si>
    <t>10054810</t>
  </si>
  <si>
    <t>1329622</t>
  </si>
  <si>
    <t>محمد طويسي</t>
  </si>
  <si>
    <t>9832181</t>
  </si>
  <si>
    <t>1335066</t>
  </si>
  <si>
    <t>محمد العمرات</t>
  </si>
  <si>
    <t>9835298</t>
  </si>
  <si>
    <t>1327660</t>
  </si>
  <si>
    <t>رويده احمد خليل المشاعلة</t>
  </si>
  <si>
    <t>10063516</t>
  </si>
  <si>
    <t>1326914</t>
  </si>
  <si>
    <t>ربيع الهلالات</t>
  </si>
  <si>
    <t>9833940</t>
  </si>
  <si>
    <t>2025-02-10</t>
  </si>
  <si>
    <t>1326996</t>
  </si>
  <si>
    <t>ضياء الحسنات</t>
  </si>
  <si>
    <t>9834035</t>
  </si>
  <si>
    <t>1327721</t>
  </si>
  <si>
    <t>ينال النصرات</t>
  </si>
  <si>
    <t>9834792</t>
  </si>
  <si>
    <t>9834665</t>
  </si>
  <si>
    <t>ابراهيم عيد السبوع</t>
  </si>
  <si>
    <t>1336681</t>
  </si>
  <si>
    <t>1328638</t>
  </si>
  <si>
    <t>فيروز محمد الرزاع</t>
  </si>
  <si>
    <t>10054973</t>
  </si>
  <si>
    <t>1325956</t>
  </si>
  <si>
    <t>نزار الشماسين</t>
  </si>
  <si>
    <t>9832973</t>
  </si>
  <si>
    <t>2025-02-11</t>
  </si>
  <si>
    <t>1326383</t>
  </si>
  <si>
    <t>محمود النوافلة</t>
  </si>
  <si>
    <t>9833376</t>
  </si>
  <si>
    <t>1326385</t>
  </si>
  <si>
    <t>ايهم النوافلة</t>
  </si>
  <si>
    <t>9833378</t>
  </si>
  <si>
    <t>1326698</t>
  </si>
  <si>
    <t>موسى السلامين</t>
  </si>
  <si>
    <t>9833703</t>
  </si>
  <si>
    <t>10057693</t>
  </si>
  <si>
    <t>1326913</t>
  </si>
  <si>
    <t>خليفه الهلالات</t>
  </si>
  <si>
    <t>9833939</t>
  </si>
  <si>
    <t>1328480</t>
  </si>
  <si>
    <t>رها الفلحات</t>
  </si>
  <si>
    <t>9830774</t>
  </si>
  <si>
    <t>1329305</t>
  </si>
  <si>
    <t>تولين الفضول</t>
  </si>
  <si>
    <t>10055803</t>
  </si>
  <si>
    <t>1329425</t>
  </si>
  <si>
    <t>راما النوافلة</t>
  </si>
  <si>
    <t>10055935</t>
  </si>
  <si>
    <t>1443460</t>
  </si>
  <si>
    <t>الينا النصرات</t>
  </si>
  <si>
    <t>9834793</t>
  </si>
  <si>
    <t>1325442</t>
  </si>
  <si>
    <t>احمد الحسنات</t>
  </si>
  <si>
    <t>9834566</t>
  </si>
  <si>
    <t>2025-02-12</t>
  </si>
  <si>
    <t>1326701</t>
  </si>
  <si>
    <t>مها الداعش</t>
  </si>
  <si>
    <t>10057695</t>
  </si>
  <si>
    <t>10057695/2</t>
  </si>
  <si>
    <t>10053978</t>
  </si>
  <si>
    <t>10063438</t>
  </si>
  <si>
    <t>1330598</t>
  </si>
  <si>
    <t>9832466</t>
  </si>
  <si>
    <t>1353646</t>
  </si>
  <si>
    <t>مها الخليفات</t>
  </si>
  <si>
    <t>9835303</t>
  </si>
  <si>
    <t>1328922</t>
  </si>
  <si>
    <t>10055330</t>
  </si>
  <si>
    <t>nan</t>
  </si>
  <si>
    <t>1326464</t>
  </si>
  <si>
    <t>لجين فراس الهلالات</t>
  </si>
  <si>
    <t>202542510</t>
  </si>
  <si>
    <t>2025-02-13</t>
  </si>
  <si>
    <t>عطا محمد السلامين</t>
  </si>
  <si>
    <t>202542552</t>
  </si>
  <si>
    <t>1365872</t>
  </si>
  <si>
    <t>محمود الفرجات</t>
  </si>
  <si>
    <t>9832688</t>
  </si>
  <si>
    <t>1326259</t>
  </si>
  <si>
    <t>ايمان خليل التلهوني</t>
  </si>
  <si>
    <t>9833227</t>
  </si>
  <si>
    <t>2025-02-15</t>
  </si>
  <si>
    <t>1326915</t>
  </si>
  <si>
    <t>ليان الهلالات</t>
  </si>
  <si>
    <t>9833941</t>
  </si>
  <si>
    <t>1327532</t>
  </si>
  <si>
    <t>عماد النوافلة</t>
  </si>
  <si>
    <t>10063386</t>
  </si>
  <si>
    <t>1329387</t>
  </si>
  <si>
    <t>لجين الحوارنه</t>
  </si>
  <si>
    <t>10055886</t>
  </si>
  <si>
    <t>100055886</t>
  </si>
  <si>
    <t>1326583</t>
  </si>
  <si>
    <t>سارة الحسنات</t>
  </si>
  <si>
    <t>9833589</t>
  </si>
  <si>
    <t>10057014</t>
  </si>
  <si>
    <t>2025-02-16</t>
  </si>
  <si>
    <t>1326662</t>
  </si>
  <si>
    <t>وسيم السلامين</t>
  </si>
  <si>
    <t>9833661</t>
  </si>
  <si>
    <t>10058059</t>
  </si>
  <si>
    <t>10063488</t>
  </si>
  <si>
    <t>رويده المشاعله</t>
  </si>
  <si>
    <t>10198995</t>
  </si>
  <si>
    <t>10198995/2</t>
  </si>
  <si>
    <t>1327665</t>
  </si>
  <si>
    <t>10058698</t>
  </si>
  <si>
    <t>1328483</t>
  </si>
  <si>
    <t>علي الفلحات</t>
  </si>
  <si>
    <t>9830777</t>
  </si>
  <si>
    <t>1328861</t>
  </si>
  <si>
    <t>ماجدة الفرجات</t>
  </si>
  <si>
    <t>9831239</t>
  </si>
  <si>
    <t>1329067</t>
  </si>
  <si>
    <t>عدي القرامسه</t>
  </si>
  <si>
    <t>9831493</t>
  </si>
  <si>
    <t>10055630</t>
  </si>
  <si>
    <t>10060709</t>
  </si>
  <si>
    <t>10058061</t>
  </si>
  <si>
    <t>10062466</t>
  </si>
  <si>
    <t>1326574</t>
  </si>
  <si>
    <t>فاطمة الفرجات</t>
  </si>
  <si>
    <t>10062391</t>
  </si>
  <si>
    <t>2025-02-17</t>
  </si>
  <si>
    <t>10062657</t>
  </si>
  <si>
    <t>1326912</t>
  </si>
  <si>
    <t>10057926</t>
  </si>
  <si>
    <t>1329627</t>
  </si>
  <si>
    <t>رغد الطويسي</t>
  </si>
  <si>
    <t>9832186</t>
  </si>
  <si>
    <t>1330418</t>
  </si>
  <si>
    <t>وفاء اسماعيل</t>
  </si>
  <si>
    <t>10053712</t>
  </si>
  <si>
    <t>1334506</t>
  </si>
  <si>
    <t>وسيم المشاعله</t>
  </si>
  <si>
    <t>1005509</t>
  </si>
  <si>
    <t>1335067</t>
  </si>
  <si>
    <t>بشار العمرات</t>
  </si>
  <si>
    <t>9835299</t>
  </si>
  <si>
    <t>1393809</t>
  </si>
  <si>
    <t>زينة الحسنات</t>
  </si>
  <si>
    <t>36703243</t>
  </si>
  <si>
    <t>13298919</t>
  </si>
  <si>
    <t>سهاد الحسنات</t>
  </si>
  <si>
    <t>36703152</t>
  </si>
  <si>
    <t>رجاء علي احمد الدبوبي</t>
  </si>
  <si>
    <t>9782046215</t>
  </si>
  <si>
    <t>2025-02-18</t>
  </si>
  <si>
    <t>1327662</t>
  </si>
  <si>
    <t>احمد النوافلة</t>
  </si>
  <si>
    <t>2002070418</t>
  </si>
  <si>
    <t>رغد طويسي</t>
  </si>
  <si>
    <t>36719279</t>
  </si>
  <si>
    <t>10058375</t>
  </si>
  <si>
    <t>2025-02-19</t>
  </si>
  <si>
    <t>10058377</t>
  </si>
  <si>
    <t>1327536</t>
  </si>
  <si>
    <t>ريا الرفايعه</t>
  </si>
  <si>
    <t>10198869</t>
  </si>
  <si>
    <t>1329160</t>
  </si>
  <si>
    <t>اشواق الفلاحات</t>
  </si>
  <si>
    <t>10055626</t>
  </si>
  <si>
    <t>1328606</t>
  </si>
  <si>
    <t>رؤيا الطويسي</t>
  </si>
  <si>
    <t>9830927</t>
  </si>
  <si>
    <t>2025-02-20</t>
  </si>
  <si>
    <t>10057809</t>
  </si>
  <si>
    <t>1326374</t>
  </si>
  <si>
    <t>هاشم السبوع</t>
  </si>
  <si>
    <t>36738892</t>
  </si>
  <si>
    <t>1326373</t>
  </si>
  <si>
    <t>سكينة السبوع</t>
  </si>
  <si>
    <t>10057355</t>
  </si>
  <si>
    <t>1325371</t>
  </si>
  <si>
    <t>سندس الحسنات</t>
  </si>
  <si>
    <t>9833910</t>
  </si>
  <si>
    <t>2025-02-21</t>
  </si>
  <si>
    <t>1325377</t>
  </si>
  <si>
    <t>جهاد الحسنات</t>
  </si>
  <si>
    <t>9833944</t>
  </si>
  <si>
    <t>10057690</t>
  </si>
  <si>
    <t>1326657</t>
  </si>
  <si>
    <t>علي السلامين</t>
  </si>
  <si>
    <t>10197948</t>
  </si>
  <si>
    <t>2025-02-22</t>
  </si>
  <si>
    <t>1326658</t>
  </si>
  <si>
    <t>خولة الفلاحات</t>
  </si>
  <si>
    <t>10197949</t>
  </si>
  <si>
    <t>1327594</t>
  </si>
  <si>
    <t>خضر الخليفات</t>
  </si>
  <si>
    <t>9834643</t>
  </si>
  <si>
    <t>1328474</t>
  </si>
  <si>
    <t>بلال الحسنات</t>
  </si>
  <si>
    <t>9830766</t>
  </si>
  <si>
    <t>36753021</t>
  </si>
  <si>
    <t>1336707</t>
  </si>
  <si>
    <t>سحر الحسنات</t>
  </si>
  <si>
    <t>9832543</t>
  </si>
  <si>
    <t>1380144</t>
  </si>
  <si>
    <t>اوج الحسنات</t>
  </si>
  <si>
    <t>9830771</t>
  </si>
  <si>
    <t>1325372</t>
  </si>
  <si>
    <t>روعة الحسنات</t>
  </si>
  <si>
    <t>9833911</t>
  </si>
  <si>
    <t>1325375</t>
  </si>
  <si>
    <t>عبير الرفايعة</t>
  </si>
  <si>
    <t>9833914</t>
  </si>
  <si>
    <t>1326577</t>
  </si>
  <si>
    <t>غنى الفرجات</t>
  </si>
  <si>
    <t>10057571</t>
  </si>
  <si>
    <t>1325892</t>
  </si>
  <si>
    <t>عمر الحسنات</t>
  </si>
  <si>
    <t>9832905</t>
  </si>
  <si>
    <t>2025-02-23</t>
  </si>
  <si>
    <t>10057535</t>
  </si>
  <si>
    <t>1335065</t>
  </si>
  <si>
    <t>10053842</t>
  </si>
  <si>
    <t>1327629</t>
  </si>
  <si>
    <t>ختام الهلالات</t>
  </si>
  <si>
    <t>9834680</t>
  </si>
  <si>
    <t>2025-02-24</t>
  </si>
  <si>
    <t>10054794</t>
  </si>
  <si>
    <t>1329162</t>
  </si>
  <si>
    <t>فاطمة الفلحات</t>
  </si>
  <si>
    <t>10060451</t>
  </si>
  <si>
    <t>1325592</t>
  </si>
  <si>
    <t>انتصار الحسنات</t>
  </si>
  <si>
    <t>9831352</t>
  </si>
  <si>
    <t>2025-02-25</t>
  </si>
  <si>
    <t>10061837</t>
  </si>
  <si>
    <t>شروق حسين السلامين</t>
  </si>
  <si>
    <t>10198176</t>
  </si>
  <si>
    <t>10122047</t>
  </si>
  <si>
    <t>1340857</t>
  </si>
  <si>
    <t>علي راكان السلامين</t>
  </si>
  <si>
    <t>9833888</t>
  </si>
  <si>
    <t>1462042</t>
  </si>
  <si>
    <t>نوح الحسنات</t>
  </si>
  <si>
    <t>9831371</t>
  </si>
  <si>
    <t>1321543</t>
  </si>
  <si>
    <t>رسل احمد الشماسين</t>
  </si>
  <si>
    <t>9157392</t>
  </si>
  <si>
    <t>2025-02-26</t>
  </si>
  <si>
    <t>10057390</t>
  </si>
  <si>
    <t>10058549</t>
  </si>
  <si>
    <t>10057876</t>
  </si>
  <si>
    <t>13277277</t>
  </si>
  <si>
    <t>مروى الخليفات</t>
  </si>
  <si>
    <t>9834343</t>
  </si>
  <si>
    <t>1326393</t>
  </si>
  <si>
    <t>يونس الحسنات</t>
  </si>
  <si>
    <t>9833386</t>
  </si>
  <si>
    <t>2025-02-27</t>
  </si>
  <si>
    <t>10062416</t>
  </si>
  <si>
    <t>10062516</t>
  </si>
  <si>
    <t>مها الداغش</t>
  </si>
  <si>
    <t>10062518</t>
  </si>
  <si>
    <t>1330624</t>
  </si>
  <si>
    <t>9833879</t>
  </si>
  <si>
    <t>9726982</t>
  </si>
  <si>
    <t>2025-03-01</t>
  </si>
  <si>
    <t>1324604</t>
  </si>
  <si>
    <t>كنان الفضول</t>
  </si>
  <si>
    <t>9726971</t>
  </si>
  <si>
    <t>10057686</t>
  </si>
  <si>
    <t>10058695</t>
  </si>
  <si>
    <t>1327996</t>
  </si>
  <si>
    <t>9834966</t>
  </si>
  <si>
    <t>1328310</t>
  </si>
  <si>
    <t>36846249</t>
  </si>
  <si>
    <t>1329410</t>
  </si>
  <si>
    <t>الحارث محمود الحسنات</t>
  </si>
  <si>
    <t>عبدالله النوافلة</t>
  </si>
  <si>
    <t>10058699</t>
  </si>
  <si>
    <t>1412736</t>
  </si>
  <si>
    <t>مريم احمد الشماسين</t>
  </si>
  <si>
    <t>36851344</t>
  </si>
  <si>
    <t>1327149</t>
  </si>
  <si>
    <t>ياقوت السلامين</t>
  </si>
  <si>
    <t>9834206</t>
  </si>
  <si>
    <t>1329501</t>
  </si>
  <si>
    <t>ملك الهلالات</t>
  </si>
  <si>
    <t>10056028</t>
  </si>
  <si>
    <t>10057877</t>
  </si>
  <si>
    <t>1327897</t>
  </si>
  <si>
    <t>ميار الخليفات</t>
  </si>
  <si>
    <t>9830110</t>
  </si>
  <si>
    <t>1325307</t>
  </si>
  <si>
    <t>رشا الملاحيم</t>
  </si>
  <si>
    <t>10057326</t>
  </si>
  <si>
    <t>2025-03-02</t>
  </si>
  <si>
    <t>10057104</t>
  </si>
  <si>
    <t>1326399</t>
  </si>
  <si>
    <t>10057384</t>
  </si>
  <si>
    <t>10197876</t>
  </si>
  <si>
    <t>1326862</t>
  </si>
  <si>
    <t>ايه الحسنات</t>
  </si>
  <si>
    <t>10057866</t>
  </si>
  <si>
    <t>10195182</t>
  </si>
  <si>
    <t>10054791</t>
  </si>
  <si>
    <t>1335009</t>
  </si>
  <si>
    <t>تسنيم النعيمات</t>
  </si>
  <si>
    <t>9835252</t>
  </si>
  <si>
    <t>1326591</t>
  </si>
  <si>
    <t>عبدالمطلب الحسنات</t>
  </si>
  <si>
    <t>9833599</t>
  </si>
  <si>
    <t>2025-03-03</t>
  </si>
  <si>
    <t>سوزان عبد الدايم</t>
  </si>
  <si>
    <t>10059035</t>
  </si>
  <si>
    <t>10058774</t>
  </si>
  <si>
    <t>10056466</t>
  </si>
  <si>
    <t>1328198</t>
  </si>
  <si>
    <t>راية البداونة</t>
  </si>
  <si>
    <t>10054458</t>
  </si>
  <si>
    <t>1334547</t>
  </si>
  <si>
    <t>حور العوضات</t>
  </si>
  <si>
    <t>9834186</t>
  </si>
  <si>
    <t>10057818</t>
  </si>
  <si>
    <t>10057932</t>
  </si>
  <si>
    <t>2025-03-04</t>
  </si>
  <si>
    <t>ريان الحسنات</t>
  </si>
  <si>
    <t>10055367</t>
  </si>
  <si>
    <t>1326834</t>
  </si>
  <si>
    <t>مريم الرواضيه</t>
  </si>
  <si>
    <t>202544856</t>
  </si>
  <si>
    <t>1326847</t>
  </si>
  <si>
    <t>عزالدين الخليفات</t>
  </si>
  <si>
    <t>9833861</t>
  </si>
  <si>
    <t>10063517</t>
  </si>
  <si>
    <t>1328479</t>
  </si>
  <si>
    <t>فادي الفلحات</t>
  </si>
  <si>
    <t>9830773</t>
  </si>
  <si>
    <t>1329130</t>
  </si>
  <si>
    <t>رفيف النوافلة</t>
  </si>
  <si>
    <t>9831585</t>
  </si>
  <si>
    <t>1357904</t>
  </si>
  <si>
    <t>فراس السلامين</t>
  </si>
  <si>
    <t>10062048</t>
  </si>
  <si>
    <t>1426614</t>
  </si>
  <si>
    <t>ملك الطويسي</t>
  </si>
  <si>
    <t>9833399</t>
  </si>
  <si>
    <t>1325315</t>
  </si>
  <si>
    <t>9833396</t>
  </si>
  <si>
    <t>1325316</t>
  </si>
  <si>
    <t>هيفاء السلامين</t>
  </si>
  <si>
    <t>9833397</t>
  </si>
  <si>
    <t>1063517</t>
  </si>
  <si>
    <t>10197328</t>
  </si>
  <si>
    <t>10057694</t>
  </si>
  <si>
    <t>1327300</t>
  </si>
  <si>
    <t>رابعه الحسنات</t>
  </si>
  <si>
    <t>9834368</t>
  </si>
  <si>
    <t>2025-03-05</t>
  </si>
  <si>
    <t>1328079</t>
  </si>
  <si>
    <t>عاتكه الدغمي</t>
  </si>
  <si>
    <t>9830300</t>
  </si>
  <si>
    <t>2025-03-06</t>
  </si>
  <si>
    <t>1328986</t>
  </si>
  <si>
    <t>ميسون الرواضية</t>
  </si>
  <si>
    <t>10055403</t>
  </si>
  <si>
    <t>36935320</t>
  </si>
  <si>
    <t>2025-03-07</t>
  </si>
  <si>
    <t>10055538</t>
  </si>
  <si>
    <t>1325887</t>
  </si>
  <si>
    <t>ايمان الحسنات</t>
  </si>
  <si>
    <t>9832900</t>
  </si>
  <si>
    <t>2025-03-08</t>
  </si>
  <si>
    <t>1327155</t>
  </si>
  <si>
    <t>رحاب الحمادين</t>
  </si>
  <si>
    <t>10053979</t>
  </si>
  <si>
    <t>موسى الفلحات</t>
  </si>
  <si>
    <t>10054484</t>
  </si>
  <si>
    <t>10054485</t>
  </si>
  <si>
    <t>1335030</t>
  </si>
  <si>
    <t>منى محمد الفلحات</t>
  </si>
  <si>
    <t>10194233</t>
  </si>
  <si>
    <t>علي محمود ضيف الله السلامين</t>
  </si>
  <si>
    <t>10206685</t>
  </si>
  <si>
    <t>2025-03-09</t>
  </si>
  <si>
    <t>10198122</t>
  </si>
  <si>
    <t>1329095</t>
  </si>
  <si>
    <t>اصفيه سليمان الحسنات</t>
  </si>
  <si>
    <t>9831535</t>
  </si>
  <si>
    <t>1334537</t>
  </si>
  <si>
    <t>تبارك السلامين</t>
  </si>
  <si>
    <t>10197951</t>
  </si>
  <si>
    <t>10057391</t>
  </si>
  <si>
    <t>راكان السلامين</t>
  </si>
  <si>
    <t>10062700</t>
  </si>
  <si>
    <t>مهيب علي النوافلة</t>
  </si>
  <si>
    <t>10053513</t>
  </si>
  <si>
    <t>فاتن احمد الهلالات</t>
  </si>
  <si>
    <t>10059618</t>
  </si>
  <si>
    <t>1327146</t>
  </si>
  <si>
    <t>10058189</t>
  </si>
  <si>
    <t>2025-03-10</t>
  </si>
  <si>
    <t>1328296</t>
  </si>
  <si>
    <t>وسيم محمود العمرات</t>
  </si>
  <si>
    <t>10054582</t>
  </si>
  <si>
    <t>1329502</t>
  </si>
  <si>
    <t>سلطان الهلالات</t>
  </si>
  <si>
    <t>9832027</t>
  </si>
  <si>
    <t>10062358</t>
  </si>
  <si>
    <t>خديجة موسى الشبعان</t>
  </si>
  <si>
    <t>10058696</t>
  </si>
  <si>
    <t>1330545</t>
  </si>
  <si>
    <t>لينا الحسنات</t>
  </si>
  <si>
    <t>9832907</t>
  </si>
  <si>
    <t>اصفيه الحسنات</t>
  </si>
  <si>
    <t>9726983</t>
  </si>
  <si>
    <t>2025-03-11</t>
  </si>
  <si>
    <t>1325591</t>
  </si>
  <si>
    <t>احمد صالح الحسنات</t>
  </si>
  <si>
    <t>9831351</t>
  </si>
  <si>
    <t>1327620</t>
  </si>
  <si>
    <t>ارام الخليفات</t>
  </si>
  <si>
    <t>9834669</t>
  </si>
  <si>
    <t>1326832</t>
  </si>
  <si>
    <t>9833846</t>
  </si>
  <si>
    <t>2025-03-12</t>
  </si>
  <si>
    <t>1327151</t>
  </si>
  <si>
    <t>اديب الفلاحات</t>
  </si>
  <si>
    <t>36990407</t>
  </si>
  <si>
    <t>100539799</t>
  </si>
  <si>
    <t>10063518</t>
  </si>
  <si>
    <t>37002069</t>
  </si>
  <si>
    <t>2025-03-13</t>
  </si>
  <si>
    <t>1214299</t>
  </si>
  <si>
    <t>احمد الشماسين</t>
  </si>
  <si>
    <t>9594979</t>
  </si>
  <si>
    <t>1326659</t>
  </si>
  <si>
    <t>هدى الطورة</t>
  </si>
  <si>
    <t>10197950</t>
  </si>
  <si>
    <t>10058564</t>
  </si>
  <si>
    <t>1329904</t>
  </si>
  <si>
    <t>بيسان الحسنات</t>
  </si>
  <si>
    <t>9831318</t>
  </si>
  <si>
    <t>1366629</t>
  </si>
  <si>
    <t>براءة السعيدات</t>
  </si>
  <si>
    <t>9832697</t>
  </si>
  <si>
    <t>وسام عبدالله النوافلة</t>
  </si>
  <si>
    <t>10063521</t>
  </si>
  <si>
    <t>عبدالله خليفه الهلالات</t>
  </si>
  <si>
    <t>10061289</t>
  </si>
  <si>
    <t>10194157</t>
  </si>
  <si>
    <t>2025-03-14</t>
  </si>
  <si>
    <t>1327852</t>
  </si>
  <si>
    <t>تبارك النصرات</t>
  </si>
  <si>
    <t>9834939</t>
  </si>
  <si>
    <t>1334545</t>
  </si>
  <si>
    <t>طارق الفلحات</t>
  </si>
  <si>
    <t>10056534</t>
  </si>
  <si>
    <t>1326623</t>
  </si>
  <si>
    <t>زهير الفلاحات</t>
  </si>
  <si>
    <t>37015640</t>
  </si>
  <si>
    <t>2025-03-15</t>
  </si>
  <si>
    <t>1326625</t>
  </si>
  <si>
    <t>عبدالعزيز الفلحات</t>
  </si>
  <si>
    <t>9833630</t>
  </si>
  <si>
    <t>1329856</t>
  </si>
  <si>
    <t>هلا الفلحات .</t>
  </si>
  <si>
    <t>9832548</t>
  </si>
  <si>
    <t>وسيم المشاعلة</t>
  </si>
  <si>
    <t>37015654</t>
  </si>
  <si>
    <t>10199000</t>
  </si>
  <si>
    <t>لينا فايز الحسنات</t>
  </si>
  <si>
    <t>10056902</t>
  </si>
  <si>
    <t>1326580</t>
  </si>
  <si>
    <t>طه الحسنات</t>
  </si>
  <si>
    <t>9833586</t>
  </si>
  <si>
    <t>2025-03-16</t>
  </si>
  <si>
    <t>1328385</t>
  </si>
  <si>
    <t>وسن البلداوي</t>
  </si>
  <si>
    <t>9830672</t>
  </si>
  <si>
    <t>1329121</t>
  </si>
  <si>
    <t>فخريه السعادنه</t>
  </si>
  <si>
    <t>10055571</t>
  </si>
  <si>
    <t>1325886</t>
  </si>
  <si>
    <t>فايز الحسنات</t>
  </si>
  <si>
    <t>9832899</t>
  </si>
  <si>
    <t>1327856</t>
  </si>
  <si>
    <t>عماد الفناطسة</t>
  </si>
  <si>
    <t>9834943</t>
  </si>
  <si>
    <t>2025-03-17</t>
  </si>
  <si>
    <t>1335219</t>
  </si>
  <si>
    <t>صفاء السلامين</t>
  </si>
  <si>
    <t>10058063</t>
  </si>
  <si>
    <t>1325376</t>
  </si>
  <si>
    <t>عزالدين الحسنلت</t>
  </si>
  <si>
    <t>9833915</t>
  </si>
  <si>
    <t>1326697</t>
  </si>
  <si>
    <t>أديب السلامين</t>
  </si>
  <si>
    <t>9833702</t>
  </si>
  <si>
    <t>زينه محمود الحسنات</t>
  </si>
  <si>
    <t>10055333</t>
  </si>
  <si>
    <t>10055366</t>
  </si>
  <si>
    <t>1327855</t>
  </si>
  <si>
    <t>بشرى النصرات</t>
  </si>
  <si>
    <t>10058921</t>
  </si>
  <si>
    <t>2025-03-18</t>
  </si>
  <si>
    <t>1343283</t>
  </si>
  <si>
    <t>سنان محمد الهلالات</t>
  </si>
  <si>
    <t>9833943</t>
  </si>
  <si>
    <t>1382590</t>
  </si>
  <si>
    <t>جمان السلامين</t>
  </si>
  <si>
    <t>9833334</t>
  </si>
  <si>
    <t>1329194</t>
  </si>
  <si>
    <t>تولين الشخيتر</t>
  </si>
  <si>
    <t>9831660</t>
  </si>
  <si>
    <t>1326370</t>
  </si>
  <si>
    <t>علي السبوع</t>
  </si>
  <si>
    <t>9833358</t>
  </si>
  <si>
    <t>2025-03-19</t>
  </si>
  <si>
    <t>1328983</t>
  </si>
  <si>
    <t>سونيا الطويسي</t>
  </si>
  <si>
    <t>10055400</t>
  </si>
  <si>
    <t>1329770</t>
  </si>
  <si>
    <t>رامي الحسنات</t>
  </si>
  <si>
    <t>9832385</t>
  </si>
  <si>
    <t>1361093</t>
  </si>
  <si>
    <t>9832388</t>
  </si>
  <si>
    <t>1327122</t>
  </si>
  <si>
    <t>هيام احمد النوافلة</t>
  </si>
  <si>
    <t>10058161</t>
  </si>
  <si>
    <t>1325889</t>
  </si>
  <si>
    <t>فاطمة الحسنات</t>
  </si>
  <si>
    <t>9832902</t>
  </si>
  <si>
    <t>2025-03-20</t>
  </si>
  <si>
    <t>1005621</t>
  </si>
  <si>
    <t>تاليا الغنيمات</t>
  </si>
  <si>
    <t>37086029</t>
  </si>
  <si>
    <t>2025-03-22</t>
  </si>
  <si>
    <t>1325381</t>
  </si>
  <si>
    <t>9833948</t>
  </si>
  <si>
    <t>1325585</t>
  </si>
  <si>
    <t>نورس السلامين</t>
  </si>
  <si>
    <t>9831271</t>
  </si>
  <si>
    <t>1326584</t>
  </si>
  <si>
    <t>9833590</t>
  </si>
  <si>
    <t>10058919</t>
  </si>
  <si>
    <t>1325384</t>
  </si>
  <si>
    <t>علي الحسنات</t>
  </si>
  <si>
    <t>9833951</t>
  </si>
  <si>
    <t>9833952</t>
  </si>
  <si>
    <t>10054790</t>
  </si>
  <si>
    <t>2025-03-23</t>
  </si>
  <si>
    <t>1328481</t>
  </si>
  <si>
    <t>نوار الفلحات</t>
  </si>
  <si>
    <t>9830775</t>
  </si>
  <si>
    <t>عهود محمد الهلالات</t>
  </si>
  <si>
    <t>10061905</t>
  </si>
  <si>
    <t>1459037</t>
  </si>
  <si>
    <t>معاذ محمد الهلالات</t>
  </si>
  <si>
    <t>9832445</t>
  </si>
  <si>
    <t>37092854</t>
  </si>
  <si>
    <t>10055636</t>
  </si>
  <si>
    <t>1326027</t>
  </si>
  <si>
    <t>نور الفلحات</t>
  </si>
  <si>
    <t>37103546</t>
  </si>
  <si>
    <t>2025-03-24</t>
  </si>
  <si>
    <t>ياقوت عطا السلامين</t>
  </si>
  <si>
    <t>10058192</t>
  </si>
  <si>
    <t>37101868</t>
  </si>
  <si>
    <t>1327716</t>
  </si>
  <si>
    <t>10058768</t>
  </si>
  <si>
    <t>10063011</t>
  </si>
  <si>
    <t>2025-03-25</t>
  </si>
  <si>
    <t>1329072</t>
  </si>
  <si>
    <t>ياسين المشاعلة</t>
  </si>
  <si>
    <t>9831501</t>
  </si>
  <si>
    <t>1370951</t>
  </si>
  <si>
    <t>9833089</t>
  </si>
  <si>
    <t>ايمان التلهوني</t>
  </si>
  <si>
    <t>10057223</t>
  </si>
  <si>
    <t>2025-03-26</t>
  </si>
  <si>
    <t>1326465</t>
  </si>
  <si>
    <t>كنده الهلالات</t>
  </si>
  <si>
    <t>9833459</t>
  </si>
  <si>
    <t>1327039</t>
  </si>
  <si>
    <t>9834074</t>
  </si>
  <si>
    <t>1328396</t>
  </si>
  <si>
    <t>9830685</t>
  </si>
  <si>
    <t>1328399</t>
  </si>
  <si>
    <t>سلطان النوافلة</t>
  </si>
  <si>
    <t>9830688</t>
  </si>
  <si>
    <t>9830688/2</t>
  </si>
  <si>
    <t>1328844</t>
  </si>
  <si>
    <t>ابتسام الرواضية</t>
  </si>
  <si>
    <t>9831211</t>
  </si>
  <si>
    <t>1336724</t>
  </si>
  <si>
    <t>9834370</t>
  </si>
  <si>
    <t>1338403</t>
  </si>
  <si>
    <t>هناء الحسنات</t>
  </si>
  <si>
    <t>9833592</t>
  </si>
  <si>
    <t>1364616</t>
  </si>
  <si>
    <t>9833607</t>
  </si>
  <si>
    <t>1461816</t>
  </si>
  <si>
    <t>36769240</t>
  </si>
  <si>
    <t>7517109</t>
  </si>
  <si>
    <t>2025-03-27</t>
  </si>
  <si>
    <t>18/08/2025</t>
  </si>
  <si>
    <t>1326837</t>
  </si>
  <si>
    <t>مصطفى الفضول</t>
  </si>
  <si>
    <t>10053929</t>
  </si>
  <si>
    <t>10063522</t>
  </si>
  <si>
    <t>1404729</t>
  </si>
  <si>
    <t>ايسرر كريشان</t>
  </si>
  <si>
    <t>9833934</t>
  </si>
  <si>
    <t>1404730</t>
  </si>
  <si>
    <t>ريماس كريشان</t>
  </si>
  <si>
    <t>10057923</t>
  </si>
  <si>
    <t>1404731</t>
  </si>
  <si>
    <t>اوبي كريشان</t>
  </si>
  <si>
    <t>10057924</t>
  </si>
  <si>
    <t>37123464</t>
  </si>
  <si>
    <t>37124894</t>
  </si>
  <si>
    <t>علي محمد الفلحات</t>
  </si>
  <si>
    <t>10059617</t>
  </si>
  <si>
    <t>2025-03-28</t>
  </si>
  <si>
    <t>1326008</t>
  </si>
  <si>
    <t>رغد المشاعله</t>
  </si>
  <si>
    <t>9835218</t>
  </si>
  <si>
    <t>2025-03-29</t>
  </si>
  <si>
    <t>1326011</t>
  </si>
  <si>
    <t>موسى المشاعله</t>
  </si>
  <si>
    <t>9835221</t>
  </si>
  <si>
    <t>10063200</t>
  </si>
  <si>
    <t>10197396</t>
  </si>
  <si>
    <t>1327325</t>
  </si>
  <si>
    <t>زيد الهلالات</t>
  </si>
  <si>
    <t>10058378</t>
  </si>
  <si>
    <t>فادي عماد الفلحات</t>
  </si>
  <si>
    <t>10059613</t>
  </si>
  <si>
    <t>1325356</t>
  </si>
  <si>
    <t>دانيال الخليفات</t>
  </si>
  <si>
    <t>9833736</t>
  </si>
  <si>
    <t>2025-03-30</t>
  </si>
  <si>
    <t>10058379</t>
  </si>
  <si>
    <t>10058379/1</t>
  </si>
  <si>
    <t>1346122</t>
  </si>
  <si>
    <t>كرمل الحسنات</t>
  </si>
  <si>
    <t>9830770</t>
  </si>
  <si>
    <t>1327328</t>
  </si>
  <si>
    <t>محمد سامي الرفايعة</t>
  </si>
  <si>
    <t>9834403</t>
  </si>
  <si>
    <t>10198967</t>
  </si>
  <si>
    <t>2025-04-01</t>
  </si>
  <si>
    <t>مريم الرواضية</t>
  </si>
  <si>
    <t>10057837</t>
  </si>
  <si>
    <t>رسل الشماسين</t>
  </si>
  <si>
    <t>9157393</t>
  </si>
  <si>
    <t>2025-04-02</t>
  </si>
  <si>
    <t>10055539</t>
  </si>
  <si>
    <t>2025-04-03</t>
  </si>
  <si>
    <t>1326386</t>
  </si>
  <si>
    <t>9833379</t>
  </si>
  <si>
    <t>1329413</t>
  </si>
  <si>
    <t>روان الفرجات</t>
  </si>
  <si>
    <t>9831914</t>
  </si>
  <si>
    <t>10055818</t>
  </si>
  <si>
    <t>1281212</t>
  </si>
  <si>
    <t>سلطان الفرجات</t>
  </si>
  <si>
    <t>10204292</t>
  </si>
  <si>
    <t>1313773</t>
  </si>
  <si>
    <t>اسيد الفرجات</t>
  </si>
  <si>
    <t>10204294</t>
  </si>
  <si>
    <t>1337172</t>
  </si>
  <si>
    <t>9831934</t>
  </si>
  <si>
    <t>2025-04-04</t>
  </si>
  <si>
    <t>ساره الحسنات</t>
  </si>
  <si>
    <t>10057579</t>
  </si>
  <si>
    <t>2025-04-05</t>
  </si>
  <si>
    <t>1374041</t>
  </si>
  <si>
    <t>رهف الفلحات</t>
  </si>
  <si>
    <t>10061360</t>
  </si>
  <si>
    <t>1461815</t>
  </si>
  <si>
    <t>9832749</t>
  </si>
  <si>
    <t>1326990</t>
  </si>
  <si>
    <t>هيا الهلالات</t>
  </si>
  <si>
    <t>9834029</t>
  </si>
  <si>
    <t>1326582</t>
  </si>
  <si>
    <t>شروق العلايا</t>
  </si>
  <si>
    <t>9833588</t>
  </si>
  <si>
    <t>1326696</t>
  </si>
  <si>
    <t>هناء النوافلة</t>
  </si>
  <si>
    <t>9833700</t>
  </si>
  <si>
    <t>10056743</t>
  </si>
  <si>
    <t>10062394</t>
  </si>
  <si>
    <t>2025-04-06</t>
  </si>
  <si>
    <t>1327995</t>
  </si>
  <si>
    <t>علي هارون النوافلة</t>
  </si>
  <si>
    <t>9834965</t>
  </si>
  <si>
    <t>1326552</t>
  </si>
  <si>
    <t>نضال الحسنات</t>
  </si>
  <si>
    <t>10057543</t>
  </si>
  <si>
    <t>1422044</t>
  </si>
  <si>
    <t>شهم الحسنات</t>
  </si>
  <si>
    <t>9830829</t>
  </si>
  <si>
    <t>1328082</t>
  </si>
  <si>
    <t>ليمار النوافلة</t>
  </si>
  <si>
    <t>10055588</t>
  </si>
  <si>
    <t>زينب الهلاللي</t>
  </si>
  <si>
    <t>10061903</t>
  </si>
  <si>
    <t>1326576</t>
  </si>
  <si>
    <t>10062393</t>
  </si>
  <si>
    <t>1329411</t>
  </si>
  <si>
    <t>نور الحسنات</t>
  </si>
  <si>
    <t>9831913</t>
  </si>
  <si>
    <t>10057576</t>
  </si>
  <si>
    <t>2025-04-07</t>
  </si>
  <si>
    <t>10057372</t>
  </si>
  <si>
    <t>رانسى النوافلة</t>
  </si>
  <si>
    <t>10063388</t>
  </si>
  <si>
    <t>1325304</t>
  </si>
  <si>
    <t>علاء الدين السلامين</t>
  </si>
  <si>
    <t>9833329</t>
  </si>
  <si>
    <t>10062421</t>
  </si>
  <si>
    <t>2025-04-08</t>
  </si>
  <si>
    <t>10062392</t>
  </si>
  <si>
    <t>1327819</t>
  </si>
  <si>
    <t>عاصم الخليفات</t>
  </si>
  <si>
    <t>9834910</t>
  </si>
  <si>
    <t>10054788</t>
  </si>
  <si>
    <t>1328476</t>
  </si>
  <si>
    <t>مغفرة النوافلة</t>
  </si>
  <si>
    <t>10059608</t>
  </si>
  <si>
    <t>1326626</t>
  </si>
  <si>
    <t>براء زهير الفلحات</t>
  </si>
  <si>
    <t>10057620</t>
  </si>
  <si>
    <t>2025-04-09</t>
  </si>
  <si>
    <t>1327052</t>
  </si>
  <si>
    <t>محمد الشماسين</t>
  </si>
  <si>
    <t>9834097</t>
  </si>
  <si>
    <t>1409542</t>
  </si>
  <si>
    <t>بيلار نادر كريشان</t>
  </si>
  <si>
    <t>10062748</t>
  </si>
  <si>
    <t>1398371</t>
  </si>
  <si>
    <t>ناهد النوافلة</t>
  </si>
  <si>
    <t>9832530</t>
  </si>
  <si>
    <t>1327730</t>
  </si>
  <si>
    <t>فوزي أبو دنة</t>
  </si>
  <si>
    <t>9834803</t>
  </si>
  <si>
    <t>1438894</t>
  </si>
  <si>
    <t>اقبال الفرجات</t>
  </si>
  <si>
    <t>9832670</t>
  </si>
  <si>
    <t>عبدالعزيز زهير الفلحات</t>
  </si>
  <si>
    <t>10057619</t>
  </si>
  <si>
    <t>1336658</t>
  </si>
  <si>
    <t>رنا الحسنات</t>
  </si>
  <si>
    <t>9833891</t>
  </si>
  <si>
    <t>1384397</t>
  </si>
  <si>
    <t>اثير الحسنات</t>
  </si>
  <si>
    <t>9832546</t>
  </si>
  <si>
    <t>10197394</t>
  </si>
  <si>
    <t>2025-04-10</t>
  </si>
  <si>
    <t>فاطمه المراعية</t>
  </si>
  <si>
    <t>10056419</t>
  </si>
  <si>
    <t>10063047</t>
  </si>
  <si>
    <t>2025-04-11</t>
  </si>
  <si>
    <t>1325589</t>
  </si>
  <si>
    <t>9831350</t>
  </si>
  <si>
    <t>1327064</t>
  </si>
  <si>
    <t>ايمان العوامرة</t>
  </si>
  <si>
    <t>9834110</t>
  </si>
  <si>
    <t>2025-04-12</t>
  </si>
  <si>
    <t>10056746</t>
  </si>
  <si>
    <t>10195970</t>
  </si>
  <si>
    <t>10197901</t>
  </si>
  <si>
    <t>10195087</t>
  </si>
  <si>
    <t>10055226</t>
  </si>
  <si>
    <t>1327278</t>
  </si>
  <si>
    <t>ماجدة الشرايدة</t>
  </si>
  <si>
    <t>10063145</t>
  </si>
  <si>
    <t>ابتسام الرواضيه</t>
  </si>
  <si>
    <t>1327277</t>
  </si>
  <si>
    <t>10058321</t>
  </si>
  <si>
    <t>1408067</t>
  </si>
  <si>
    <t>10269549</t>
  </si>
  <si>
    <t>10055917</t>
  </si>
  <si>
    <t>وسيم العمرات</t>
  </si>
  <si>
    <t>10194975</t>
  </si>
  <si>
    <t>2025-04-13</t>
  </si>
  <si>
    <t>1327147</t>
  </si>
  <si>
    <t>يقين السلامين</t>
  </si>
  <si>
    <t>9834204</t>
  </si>
  <si>
    <t>1328985</t>
  </si>
  <si>
    <t>علي الهلالات</t>
  </si>
  <si>
    <t>9831394</t>
  </si>
  <si>
    <t>10057930</t>
  </si>
  <si>
    <t>10195088</t>
  </si>
  <si>
    <t>1326372</t>
  </si>
  <si>
    <t>لين السبوع</t>
  </si>
  <si>
    <t>37317948</t>
  </si>
  <si>
    <t>2025-04-14</t>
  </si>
  <si>
    <t>1326865</t>
  </si>
  <si>
    <t>صفاء السعيدات</t>
  </si>
  <si>
    <t>7557963</t>
  </si>
  <si>
    <t>1328500</t>
  </si>
  <si>
    <t>رتيل ممدوح الحسنات</t>
  </si>
  <si>
    <t>98320806</t>
  </si>
  <si>
    <t>2025-04-15</t>
  </si>
  <si>
    <t>10056894</t>
  </si>
  <si>
    <t>1327502</t>
  </si>
  <si>
    <t>ايناس السلامين</t>
  </si>
  <si>
    <t>10198833</t>
  </si>
  <si>
    <t>1326807</t>
  </si>
  <si>
    <t>محمد الهلالي</t>
  </si>
  <si>
    <t>9833815</t>
  </si>
  <si>
    <t>1370948</t>
  </si>
  <si>
    <t>سعد محمد الهلالات</t>
  </si>
  <si>
    <t>9833086</t>
  </si>
  <si>
    <t>2025-04-16</t>
  </si>
  <si>
    <t>1329623</t>
  </si>
  <si>
    <t>مجد الفرجات</t>
  </si>
  <si>
    <t>9832182</t>
  </si>
  <si>
    <t>10063519</t>
  </si>
  <si>
    <t>1326578</t>
  </si>
  <si>
    <t>لين وصفي الفرجات</t>
  </si>
  <si>
    <t>10197880</t>
  </si>
  <si>
    <t>10060641</t>
  </si>
  <si>
    <t>2025-04-17</t>
  </si>
  <si>
    <t>1327067</t>
  </si>
  <si>
    <t>ثريا الهلالات</t>
  </si>
  <si>
    <t>9834114</t>
  </si>
  <si>
    <t>1326661</t>
  </si>
  <si>
    <t>ايهم السلامين</t>
  </si>
  <si>
    <t>9833660</t>
  </si>
  <si>
    <t>10196158</t>
  </si>
  <si>
    <t>2025-04-19</t>
  </si>
  <si>
    <t>1326866</t>
  </si>
  <si>
    <t>رغد الرواضية</t>
  </si>
  <si>
    <t>7568515</t>
  </si>
  <si>
    <t>10055365</t>
  </si>
  <si>
    <t>1326445</t>
  </si>
  <si>
    <t>سوار سلمان</t>
  </si>
  <si>
    <t>10057431</t>
  </si>
  <si>
    <t>10198998</t>
  </si>
  <si>
    <t>2025-04-20</t>
  </si>
  <si>
    <t>علي الفلاحات</t>
  </si>
  <si>
    <t>10195187</t>
  </si>
  <si>
    <t>1327848</t>
  </si>
  <si>
    <t>يحيى النصرات</t>
  </si>
  <si>
    <t>10058914</t>
  </si>
  <si>
    <t>10055772</t>
  </si>
  <si>
    <t>1326260</t>
  </si>
  <si>
    <t>داليا الصفوري</t>
  </si>
  <si>
    <t>10343934</t>
  </si>
  <si>
    <t>2025-04-21</t>
  </si>
  <si>
    <t>37403084</t>
  </si>
  <si>
    <t>2025-04-22</t>
  </si>
  <si>
    <t>عبدالله رويده النوافلة</t>
  </si>
  <si>
    <t>10199001</t>
  </si>
  <si>
    <t>10057692</t>
  </si>
  <si>
    <t>نوار عماد الفلحات</t>
  </si>
  <si>
    <t>10054792</t>
  </si>
  <si>
    <t>37412352</t>
  </si>
  <si>
    <t>2025-04-23</t>
  </si>
  <si>
    <t>اشواق الفلحات</t>
  </si>
  <si>
    <t>10195968</t>
  </si>
  <si>
    <t>هنادي جمعه الرياطي</t>
  </si>
  <si>
    <t>37412303</t>
  </si>
  <si>
    <t>10063447</t>
  </si>
  <si>
    <t>1327961</t>
  </si>
  <si>
    <t>وسن النوافلة</t>
  </si>
  <si>
    <t>37411396</t>
  </si>
  <si>
    <t>محمد الرفايعة</t>
  </si>
  <si>
    <t>37412374</t>
  </si>
  <si>
    <t>1326371</t>
  </si>
  <si>
    <t>بان علي السبوع</t>
  </si>
  <si>
    <t>10057353</t>
  </si>
  <si>
    <t>1326864</t>
  </si>
  <si>
    <t>زياد الرواضية</t>
  </si>
  <si>
    <t>7584726</t>
  </si>
  <si>
    <t>2025-04-24</t>
  </si>
  <si>
    <t>1329882</t>
  </si>
  <si>
    <t>اخلاص الخليفات</t>
  </si>
  <si>
    <t>9832386</t>
  </si>
  <si>
    <t>2025-04-25</t>
  </si>
  <si>
    <t>هيام النوافلة</t>
  </si>
  <si>
    <t>10062984</t>
  </si>
  <si>
    <t>2025-04-26</t>
  </si>
  <si>
    <t>10061723</t>
  </si>
  <si>
    <t>10055253</t>
  </si>
  <si>
    <t>1328027</t>
  </si>
  <si>
    <t>محمد حسن الحسنات</t>
  </si>
  <si>
    <t>9830236</t>
  </si>
  <si>
    <t>2025-04-27</t>
  </si>
  <si>
    <t>10057084</t>
  </si>
  <si>
    <t>ايلاف رامي الحسنات</t>
  </si>
  <si>
    <t>10056388</t>
  </si>
  <si>
    <t>2025-04-28</t>
  </si>
  <si>
    <t>10057936</t>
  </si>
  <si>
    <t>رامي محمد الحسنات</t>
  </si>
  <si>
    <t>10056385</t>
  </si>
  <si>
    <t>1328845</t>
  </si>
  <si>
    <t>اسماعيل الرواضية</t>
  </si>
  <si>
    <t>9831212</t>
  </si>
  <si>
    <t>10058190</t>
  </si>
  <si>
    <t>2025-04-29</t>
  </si>
  <si>
    <t>1329282</t>
  </si>
  <si>
    <t>حمزه العودات</t>
  </si>
  <si>
    <t>9831765</t>
  </si>
  <si>
    <t>سعد الهلالات</t>
  </si>
  <si>
    <t>10057081</t>
  </si>
  <si>
    <t>9830689</t>
  </si>
  <si>
    <t>1325901</t>
  </si>
  <si>
    <t>10056910</t>
  </si>
  <si>
    <t>1327707</t>
  </si>
  <si>
    <t>9834777</t>
  </si>
  <si>
    <t>1262875</t>
  </si>
  <si>
    <t>مها الهلالات</t>
  </si>
  <si>
    <t>9594981</t>
  </si>
  <si>
    <t>9594980</t>
  </si>
  <si>
    <t>10269550</t>
  </si>
  <si>
    <t>10041278</t>
  </si>
  <si>
    <t>2025-04-30</t>
  </si>
  <si>
    <t>10062699</t>
  </si>
  <si>
    <t>10057380</t>
  </si>
  <si>
    <t>1364615</t>
  </si>
  <si>
    <t>عبدالله الحسنات</t>
  </si>
  <si>
    <t>9833606</t>
  </si>
  <si>
    <t>1325891</t>
  </si>
  <si>
    <t>محمد فايز الحسنات</t>
  </si>
  <si>
    <t>9832904</t>
  </si>
  <si>
    <t>محمد عبدالله علي النوافلة</t>
  </si>
  <si>
    <t>10198996</t>
  </si>
  <si>
    <t>2025-05-01</t>
  </si>
  <si>
    <t>13/01/2026</t>
  </si>
  <si>
    <t>10198867</t>
  </si>
  <si>
    <t>2025-05-03</t>
  </si>
  <si>
    <t>زينب الفلاحات</t>
  </si>
  <si>
    <t>10194878</t>
  </si>
  <si>
    <t>1328634</t>
  </si>
  <si>
    <t>امل كردي</t>
  </si>
  <si>
    <t>10054969</t>
  </si>
  <si>
    <t>2025-05-04</t>
  </si>
  <si>
    <t>1336776</t>
  </si>
  <si>
    <t>نديمة الهلالات</t>
  </si>
  <si>
    <t>10056637</t>
  </si>
  <si>
    <t>10060758</t>
  </si>
  <si>
    <t>1327180</t>
  </si>
  <si>
    <t>لجين المشاعله</t>
  </si>
  <si>
    <t>10063044</t>
  </si>
  <si>
    <t>1328635</t>
  </si>
  <si>
    <t>10057970</t>
  </si>
  <si>
    <t>1329819</t>
  </si>
  <si>
    <t>ايمان بني هاني</t>
  </si>
  <si>
    <t>10061291</t>
  </si>
  <si>
    <t>1337905</t>
  </si>
  <si>
    <t>سلمى السبوع</t>
  </si>
  <si>
    <t>9833364</t>
  </si>
  <si>
    <t>2025-05-05</t>
  </si>
  <si>
    <t>1327181</t>
  </si>
  <si>
    <t>سيف المشاعله</t>
  </si>
  <si>
    <t>9834242</t>
  </si>
  <si>
    <t>132840</t>
  </si>
  <si>
    <t>رزان الرواضية</t>
  </si>
  <si>
    <t>9831207</t>
  </si>
  <si>
    <t>2025-05-06</t>
  </si>
  <si>
    <t>1374151</t>
  </si>
  <si>
    <t>ايناس العمرات</t>
  </si>
  <si>
    <t>10269517</t>
  </si>
  <si>
    <t>2025-05-08</t>
  </si>
  <si>
    <t>1326457</t>
  </si>
  <si>
    <t>100574444</t>
  </si>
  <si>
    <t>10041292</t>
  </si>
  <si>
    <t>28/09/2025</t>
  </si>
  <si>
    <t>10057444</t>
  </si>
  <si>
    <t>10061733</t>
  </si>
  <si>
    <t>10056745</t>
  </si>
  <si>
    <t>2025-05-09</t>
  </si>
  <si>
    <t>10060453</t>
  </si>
  <si>
    <t>2025-05-10</t>
  </si>
  <si>
    <t>1326844</t>
  </si>
  <si>
    <t>عبدالله الخليفات</t>
  </si>
  <si>
    <t>9833858</t>
  </si>
  <si>
    <t>2025-05-11</t>
  </si>
  <si>
    <t>1334531</t>
  </si>
  <si>
    <t>أمير الطورة</t>
  </si>
  <si>
    <t>10060229</t>
  </si>
  <si>
    <t>10057836</t>
  </si>
  <si>
    <t>1326384</t>
  </si>
  <si>
    <t>اسامة النوافلة</t>
  </si>
  <si>
    <t>9833377</t>
  </si>
  <si>
    <t>10061717</t>
  </si>
  <si>
    <t>10062193</t>
  </si>
  <si>
    <t>1416852</t>
  </si>
  <si>
    <t>زياد طويسي</t>
  </si>
  <si>
    <t>9306180</t>
  </si>
  <si>
    <t>Alrai Newspaper</t>
  </si>
  <si>
    <t>10063198</t>
  </si>
  <si>
    <t>2025-05-12</t>
  </si>
  <si>
    <t>10060626</t>
  </si>
  <si>
    <t>2025-05-13</t>
  </si>
  <si>
    <t>10061286</t>
  </si>
  <si>
    <t>10198177</t>
  </si>
  <si>
    <t>1327634</t>
  </si>
  <si>
    <t>بسام الهلالات</t>
  </si>
  <si>
    <t>10058666</t>
  </si>
  <si>
    <t>1327960</t>
  </si>
  <si>
    <t>10059031</t>
  </si>
  <si>
    <t>رؤى السلايمن</t>
  </si>
  <si>
    <t>2025-05-14</t>
  </si>
  <si>
    <t>10055379</t>
  </si>
  <si>
    <t>2025-05-15</t>
  </si>
  <si>
    <t>10195185</t>
  </si>
  <si>
    <t>10061566</t>
  </si>
  <si>
    <t>خليفه محمد الهلالات</t>
  </si>
  <si>
    <t>10057927</t>
  </si>
  <si>
    <t>10056188</t>
  </si>
  <si>
    <t>2025-05-17</t>
  </si>
  <si>
    <t>10057352</t>
  </si>
  <si>
    <t>1329122</t>
  </si>
  <si>
    <t>يوسف سمير الرفايعة</t>
  </si>
  <si>
    <t>37710357</t>
  </si>
  <si>
    <t>2025-05-18</t>
  </si>
  <si>
    <t>محمد علي هارون النوافلة</t>
  </si>
  <si>
    <t>37699347</t>
  </si>
  <si>
    <t>اديب الفلحات</t>
  </si>
  <si>
    <t>10122049</t>
  </si>
  <si>
    <t>1366630</t>
  </si>
  <si>
    <t>صالح احمد السعيدات</t>
  </si>
  <si>
    <t>9832698</t>
  </si>
  <si>
    <t>10198495</t>
  </si>
  <si>
    <t>1326994</t>
  </si>
  <si>
    <t>روضة الحسنات</t>
  </si>
  <si>
    <t>9834033</t>
  </si>
  <si>
    <t>2025-05-19</t>
  </si>
  <si>
    <t>10063204</t>
  </si>
  <si>
    <t>10057725</t>
  </si>
  <si>
    <t>37722463</t>
  </si>
  <si>
    <t>2025-05-20</t>
  </si>
  <si>
    <t>10195741</t>
  </si>
  <si>
    <t>1328221</t>
  </si>
  <si>
    <t>جاد محمد الطويسي</t>
  </si>
  <si>
    <t>37722763</t>
  </si>
  <si>
    <t>1398374</t>
  </si>
  <si>
    <t>ديالا الغنيمات</t>
  </si>
  <si>
    <t>9832531</t>
  </si>
  <si>
    <t>1398378</t>
  </si>
  <si>
    <t>احمد الغنيمات</t>
  </si>
  <si>
    <t>37722096</t>
  </si>
  <si>
    <t>9833228</t>
  </si>
  <si>
    <t>1327558</t>
  </si>
  <si>
    <t>حلا الخليفات</t>
  </si>
  <si>
    <t>9834612</t>
  </si>
  <si>
    <t>2025-05-21</t>
  </si>
  <si>
    <t>1462040</t>
  </si>
  <si>
    <t>ايهم الحسنات</t>
  </si>
  <si>
    <t>9831369</t>
  </si>
  <si>
    <t>10063012</t>
  </si>
  <si>
    <t>1326836</t>
  </si>
  <si>
    <t>ليان عمر الفلحات</t>
  </si>
  <si>
    <t>9833850</t>
  </si>
  <si>
    <t>رتيل الحسنات</t>
  </si>
  <si>
    <t>10054822</t>
  </si>
  <si>
    <t>2025-05-22</t>
  </si>
  <si>
    <t>1373019</t>
  </si>
  <si>
    <t>يعرب النعيمات</t>
  </si>
  <si>
    <t>9832062</t>
  </si>
  <si>
    <t>10063387</t>
  </si>
  <si>
    <t>10197843</t>
  </si>
  <si>
    <t>10198463</t>
  </si>
  <si>
    <t>محمد عمر الفلحات</t>
  </si>
  <si>
    <t>10057835</t>
  </si>
  <si>
    <t>2025-05-23</t>
  </si>
  <si>
    <t>مريم ناجح الرواضية</t>
  </si>
  <si>
    <t>10198138</t>
  </si>
  <si>
    <t>1326835</t>
  </si>
  <si>
    <t>تسنيم عمر الفلحات</t>
  </si>
  <si>
    <t>98323849</t>
  </si>
  <si>
    <t>1326920</t>
  </si>
  <si>
    <t>محمد العوضات</t>
  </si>
  <si>
    <t>9835398</t>
  </si>
  <si>
    <t>2025-05-24</t>
  </si>
  <si>
    <t>1328482</t>
  </si>
  <si>
    <t>ريان الفلحات</t>
  </si>
  <si>
    <t>1005616</t>
  </si>
  <si>
    <t>10197999</t>
  </si>
  <si>
    <t>10059616</t>
  </si>
  <si>
    <t>1326917</t>
  </si>
  <si>
    <t>حمزة العوضات</t>
  </si>
  <si>
    <t>9835395</t>
  </si>
  <si>
    <t>1327719</t>
  </si>
  <si>
    <t>كنان النصرات</t>
  </si>
  <si>
    <t>9834790</t>
  </si>
  <si>
    <t>1005782</t>
  </si>
  <si>
    <t>2025-05-25</t>
  </si>
  <si>
    <t>1326997</t>
  </si>
  <si>
    <t>سلمى الحسنات</t>
  </si>
  <si>
    <t>9834036</t>
  </si>
  <si>
    <t>1351081</t>
  </si>
  <si>
    <t>خالد النصرات</t>
  </si>
  <si>
    <t>9832877</t>
  </si>
  <si>
    <t>1326863</t>
  </si>
  <si>
    <t>اغادير الحسنات</t>
  </si>
  <si>
    <t>37763957</t>
  </si>
  <si>
    <t>2025-05-26</t>
  </si>
  <si>
    <t>10059771</t>
  </si>
  <si>
    <t>هلا ياسين الفلاحلات</t>
  </si>
  <si>
    <t>37765926</t>
  </si>
  <si>
    <t>1328919</t>
  </si>
  <si>
    <t>10055327</t>
  </si>
  <si>
    <t>2025-05-27</t>
  </si>
  <si>
    <t>10062882</t>
  </si>
  <si>
    <t>زينة محمود الحسنات</t>
  </si>
  <si>
    <t>2290294</t>
  </si>
  <si>
    <t>10057328</t>
  </si>
  <si>
    <t>2025-05-28</t>
  </si>
  <si>
    <t>10409514</t>
  </si>
  <si>
    <t>يوسف الفلاحات</t>
  </si>
  <si>
    <t>10062659</t>
  </si>
  <si>
    <t>2025-05-29</t>
  </si>
  <si>
    <t>10060361</t>
  </si>
  <si>
    <t>1325275</t>
  </si>
  <si>
    <t>زينب النعيمات</t>
  </si>
  <si>
    <t>10061992</t>
  </si>
  <si>
    <t>زينه الحسنات</t>
  </si>
  <si>
    <t>10060156</t>
  </si>
  <si>
    <t>2025-05-31</t>
  </si>
  <si>
    <t>10055507</t>
  </si>
  <si>
    <t>كندة الهلالات</t>
  </si>
  <si>
    <t>10057451</t>
  </si>
  <si>
    <t>1404724</t>
  </si>
  <si>
    <t>مسك النصرات</t>
  </si>
  <si>
    <t>9831817</t>
  </si>
  <si>
    <t>2025-06-01</t>
  </si>
  <si>
    <t>10054783</t>
  </si>
  <si>
    <t>10403564</t>
  </si>
  <si>
    <t>10405500</t>
  </si>
  <si>
    <t>ريتال اديب الفلحات</t>
  </si>
  <si>
    <t>10122048</t>
  </si>
  <si>
    <t>2025-06-02</t>
  </si>
  <si>
    <t>1346119</t>
  </si>
  <si>
    <t>عائشة الحسنات</t>
  </si>
  <si>
    <t>10059646</t>
  </si>
  <si>
    <t>10054783/1</t>
  </si>
  <si>
    <t>2025-06-03</t>
  </si>
  <si>
    <t>10193948</t>
  </si>
  <si>
    <t>1281211</t>
  </si>
  <si>
    <t>روان المومني</t>
  </si>
  <si>
    <t>10372029</t>
  </si>
  <si>
    <t>10062046</t>
  </si>
  <si>
    <t>10411090</t>
  </si>
  <si>
    <t>10197877</t>
  </si>
  <si>
    <t>1327177</t>
  </si>
  <si>
    <t>محمد الهلول</t>
  </si>
  <si>
    <t>10198520</t>
  </si>
  <si>
    <t>2025-06-04</t>
  </si>
  <si>
    <t>1329074</t>
  </si>
  <si>
    <t>غزل المشاعلة</t>
  </si>
  <si>
    <t>9831503</t>
  </si>
  <si>
    <t>10195864</t>
  </si>
  <si>
    <t>غزل المشاعله</t>
  </si>
  <si>
    <t>98310503</t>
  </si>
  <si>
    <t>2025-06-05</t>
  </si>
  <si>
    <t>1329500</t>
  </si>
  <si>
    <t>رناد العلايا</t>
  </si>
  <si>
    <t>10056027</t>
  </si>
  <si>
    <t>10411150</t>
  </si>
  <si>
    <t>10055918</t>
  </si>
  <si>
    <t>1328313</t>
  </si>
  <si>
    <t>ابراهيم علي السلامين</t>
  </si>
  <si>
    <t>98320585</t>
  </si>
  <si>
    <t>2025-06-07</t>
  </si>
  <si>
    <t>1326127</t>
  </si>
  <si>
    <t>موسى الخليفات</t>
  </si>
  <si>
    <t>10408007</t>
  </si>
  <si>
    <t>10408008</t>
  </si>
  <si>
    <t>إبراهيم السلامين</t>
  </si>
  <si>
    <t>9830584</t>
  </si>
  <si>
    <t>1327850</t>
  </si>
  <si>
    <t>ياسمين النصرات</t>
  </si>
  <si>
    <t>10058916</t>
  </si>
  <si>
    <t>2025-06-08</t>
  </si>
  <si>
    <t>10062755</t>
  </si>
  <si>
    <t>10058222</t>
  </si>
  <si>
    <t>2025-06-09</t>
  </si>
  <si>
    <t>1328217</t>
  </si>
  <si>
    <t>زينا الطويسي</t>
  </si>
  <si>
    <t>9830458</t>
  </si>
  <si>
    <t>2025-06-12</t>
  </si>
  <si>
    <t>10057578</t>
  </si>
  <si>
    <t>1329284</t>
  </si>
  <si>
    <t>كفا احمد النوافلة</t>
  </si>
  <si>
    <t>9831767</t>
  </si>
  <si>
    <t>مريم الشماسين</t>
  </si>
  <si>
    <t>10371839</t>
  </si>
  <si>
    <t>10061928</t>
  </si>
  <si>
    <t>10371833</t>
  </si>
  <si>
    <t>1455566</t>
  </si>
  <si>
    <t>عون حمزه العودات</t>
  </si>
  <si>
    <t>10055778</t>
  </si>
  <si>
    <t>10411583</t>
  </si>
  <si>
    <t>10411151</t>
  </si>
  <si>
    <t>2025-06-13</t>
  </si>
  <si>
    <t>1370967</t>
  </si>
  <si>
    <t>9832038</t>
  </si>
  <si>
    <t>الحارث الحسنات</t>
  </si>
  <si>
    <t>10055916</t>
  </si>
  <si>
    <t>1325871</t>
  </si>
  <si>
    <t>اريج الطويسي</t>
  </si>
  <si>
    <t>37939603</t>
  </si>
  <si>
    <t>2025-06-14</t>
  </si>
  <si>
    <t>أحمد الحسنات</t>
  </si>
  <si>
    <t>10063372</t>
  </si>
  <si>
    <t>10403572</t>
  </si>
  <si>
    <t>محمد مجاهد الهلالي</t>
  </si>
  <si>
    <t>10057804</t>
  </si>
  <si>
    <t>1329702</t>
  </si>
  <si>
    <t>رياض السلامين</t>
  </si>
  <si>
    <t>9832283</t>
  </si>
  <si>
    <t>رها عماد الفلحات</t>
  </si>
  <si>
    <t>10059614</t>
  </si>
  <si>
    <t>2025-06-16</t>
  </si>
  <si>
    <t>فيروز الرزاع</t>
  </si>
  <si>
    <t>10059796</t>
  </si>
  <si>
    <t>10055286</t>
  </si>
  <si>
    <t>2025-06-17</t>
  </si>
  <si>
    <t>10063202</t>
  </si>
  <si>
    <t>2025-06-18</t>
  </si>
  <si>
    <t>عون العودات</t>
  </si>
  <si>
    <t>37986330</t>
  </si>
  <si>
    <t>1329479</t>
  </si>
  <si>
    <t>10405850</t>
  </si>
  <si>
    <t>10197216</t>
  </si>
  <si>
    <t>2025-06-19</t>
  </si>
  <si>
    <t>10400950</t>
  </si>
  <si>
    <t>37993729</t>
  </si>
  <si>
    <t>10410885</t>
  </si>
  <si>
    <t>2025-06-21</t>
  </si>
  <si>
    <t>رحمه خليفات</t>
  </si>
  <si>
    <t>10194595</t>
  </si>
  <si>
    <t>10054706</t>
  </si>
  <si>
    <t>10055402</t>
  </si>
  <si>
    <t>38019079</t>
  </si>
  <si>
    <t>2025-06-22</t>
  </si>
  <si>
    <t>10409172</t>
  </si>
  <si>
    <t>10057868</t>
  </si>
  <si>
    <t>2025-06-23</t>
  </si>
  <si>
    <t>10057868/1</t>
  </si>
  <si>
    <t>10206683</t>
  </si>
  <si>
    <t>2025-06-24</t>
  </si>
  <si>
    <t>10060150</t>
  </si>
  <si>
    <t>خوله الفلحات</t>
  </si>
  <si>
    <t>10206688</t>
  </si>
  <si>
    <t>1328358</t>
  </si>
  <si>
    <t>سناء الحسنات</t>
  </si>
  <si>
    <t>10247944</t>
  </si>
  <si>
    <t>2025-06-25</t>
  </si>
  <si>
    <t>1327274</t>
  </si>
  <si>
    <t>عثمان الخليفات</t>
  </si>
  <si>
    <t>9834340</t>
  </si>
  <si>
    <t>10409518</t>
  </si>
  <si>
    <t>10402742</t>
  </si>
  <si>
    <t>10060190</t>
  </si>
  <si>
    <t>10059606</t>
  </si>
  <si>
    <t>1326395</t>
  </si>
  <si>
    <t>ضياء الدين الحسنات</t>
  </si>
  <si>
    <t>10057381</t>
  </si>
  <si>
    <t>10061904</t>
  </si>
  <si>
    <t>142413</t>
  </si>
  <si>
    <t>جواد الفرجات</t>
  </si>
  <si>
    <t>9832691</t>
  </si>
  <si>
    <t>سنائ الحسنات</t>
  </si>
  <si>
    <t>10247945</t>
  </si>
  <si>
    <t>2025-06-26</t>
  </si>
  <si>
    <t>10198681</t>
  </si>
  <si>
    <t>10061208</t>
  </si>
  <si>
    <t>9835169</t>
  </si>
  <si>
    <t>100198681</t>
  </si>
  <si>
    <t>1328357</t>
  </si>
  <si>
    <t>مرشد محمد الحسنات</t>
  </si>
  <si>
    <t>10247940</t>
  </si>
  <si>
    <t>2025-06-28</t>
  </si>
  <si>
    <t>1329426</t>
  </si>
  <si>
    <t>الاء عبدالكريم بني احمد</t>
  </si>
  <si>
    <t>38078691</t>
  </si>
  <si>
    <t>2025-06-29</t>
  </si>
  <si>
    <t>1370958</t>
  </si>
  <si>
    <t>9831916</t>
  </si>
  <si>
    <t>2025-06-30</t>
  </si>
  <si>
    <t>1329414</t>
  </si>
  <si>
    <t>زينا الحسنات</t>
  </si>
  <si>
    <t>9831915</t>
  </si>
  <si>
    <t>10057589</t>
  </si>
  <si>
    <t>1379334</t>
  </si>
  <si>
    <t>غنى المشاعله</t>
  </si>
  <si>
    <t>9831505</t>
  </si>
  <si>
    <t>2025-07-01</t>
  </si>
  <si>
    <t>10197068</t>
  </si>
  <si>
    <t>2025-07-02</t>
  </si>
  <si>
    <t>1327895</t>
  </si>
  <si>
    <t>زين الخليفات</t>
  </si>
  <si>
    <t>10054138</t>
  </si>
  <si>
    <t>10055919</t>
  </si>
  <si>
    <t>10411156</t>
  </si>
  <si>
    <t>10195702</t>
  </si>
  <si>
    <t>1327893</t>
  </si>
  <si>
    <t>فاتنة الخلايفة</t>
  </si>
  <si>
    <t>10054136</t>
  </si>
  <si>
    <t>10194154</t>
  </si>
  <si>
    <t>10055332</t>
  </si>
  <si>
    <t>1325761</t>
  </si>
  <si>
    <t>صبا الحمادين</t>
  </si>
  <si>
    <t>9835126</t>
  </si>
  <si>
    <t>10060076</t>
  </si>
  <si>
    <t>2025-07-03</t>
  </si>
  <si>
    <t>1328854</t>
  </si>
  <si>
    <t>9831233</t>
  </si>
  <si>
    <t>2025-07-05</t>
  </si>
  <si>
    <t>1328858</t>
  </si>
  <si>
    <t>ليان الحسنات</t>
  </si>
  <si>
    <t>9831237</t>
  </si>
  <si>
    <t>1327193</t>
  </si>
  <si>
    <t>10058236</t>
  </si>
  <si>
    <t>10195972</t>
  </si>
  <si>
    <t>10195628</t>
  </si>
  <si>
    <t>2025-07-06</t>
  </si>
  <si>
    <t>10057867</t>
  </si>
  <si>
    <t>1325867</t>
  </si>
  <si>
    <t>مجدي النصرات</t>
  </si>
  <si>
    <t>10056867</t>
  </si>
  <si>
    <t>2025-07-07</t>
  </si>
  <si>
    <t>10519333</t>
  </si>
  <si>
    <t>28/12/2025</t>
  </si>
  <si>
    <t>1327596</t>
  </si>
  <si>
    <t>ميسر الخليفات</t>
  </si>
  <si>
    <t>10058625</t>
  </si>
  <si>
    <t>1326009</t>
  </si>
  <si>
    <t>الحارث وليد المشاعلة</t>
  </si>
  <si>
    <t>10053764</t>
  </si>
  <si>
    <t>10198926</t>
  </si>
  <si>
    <t>10371835</t>
  </si>
  <si>
    <t>2025-07-08</t>
  </si>
  <si>
    <t>29/10/2025</t>
  </si>
  <si>
    <t>10195887</t>
  </si>
  <si>
    <t>1365887</t>
  </si>
  <si>
    <t>10055629</t>
  </si>
  <si>
    <t>1328003</t>
  </si>
  <si>
    <t>غنى ضيف الله المشاعلة</t>
  </si>
  <si>
    <t>10194634</t>
  </si>
  <si>
    <t>10056867/1</t>
  </si>
  <si>
    <t>10371837</t>
  </si>
  <si>
    <t>100586250</t>
  </si>
  <si>
    <t>38198603</t>
  </si>
  <si>
    <t>موسى المشاعلة</t>
  </si>
  <si>
    <t>10053766</t>
  </si>
  <si>
    <t>2025-07-09</t>
  </si>
  <si>
    <t>1326007</t>
  </si>
  <si>
    <t>وليد المشاعلة</t>
  </si>
  <si>
    <t>9835217</t>
  </si>
  <si>
    <t>10269518</t>
  </si>
  <si>
    <t>1336627</t>
  </si>
  <si>
    <t>اسامة الحسنات</t>
  </si>
  <si>
    <t>10409899</t>
  </si>
  <si>
    <t>2025-07-12</t>
  </si>
  <si>
    <t>10195742/1</t>
  </si>
  <si>
    <t>10062847</t>
  </si>
  <si>
    <t>10195742</t>
  </si>
  <si>
    <t>1370968</t>
  </si>
  <si>
    <t>احمد الهلالات</t>
  </si>
  <si>
    <t>10411484</t>
  </si>
  <si>
    <t>2025-07-13</t>
  </si>
  <si>
    <t>1398380</t>
  </si>
  <si>
    <t>مهاب الغنيمات</t>
  </si>
  <si>
    <t>9832534</t>
  </si>
  <si>
    <t>10056519</t>
  </si>
  <si>
    <t>10402978</t>
  </si>
  <si>
    <t>2025-07-14</t>
  </si>
  <si>
    <t>1325379</t>
  </si>
  <si>
    <t>عروب جهاد الحسنات</t>
  </si>
  <si>
    <t>10062757</t>
  </si>
  <si>
    <t>2025-07-15</t>
  </si>
  <si>
    <t>10063757</t>
  </si>
  <si>
    <t>1329513</t>
  </si>
  <si>
    <t>اسلام احمد الصبيحات</t>
  </si>
  <si>
    <t>38264536</t>
  </si>
  <si>
    <t>2025-07-16</t>
  </si>
  <si>
    <t>ريان عماد الفلاحات</t>
  </si>
  <si>
    <t>لارا عبدالله الهلالات</t>
  </si>
  <si>
    <t>38274727</t>
  </si>
  <si>
    <t>2025-07-17</t>
  </si>
  <si>
    <t>38272292</t>
  </si>
  <si>
    <t>10055822</t>
  </si>
  <si>
    <t>10404600</t>
  </si>
  <si>
    <t>10409515</t>
  </si>
  <si>
    <t>10195862</t>
  </si>
  <si>
    <t>2025-07-19</t>
  </si>
  <si>
    <t>10056030</t>
  </si>
  <si>
    <t>10407618</t>
  </si>
  <si>
    <t>10206684</t>
  </si>
  <si>
    <t>ربيع محمد الهلالات</t>
  </si>
  <si>
    <t>10057928</t>
  </si>
  <si>
    <t>10409072</t>
  </si>
  <si>
    <t>10060850</t>
  </si>
  <si>
    <t>اسلام الصبيحات</t>
  </si>
  <si>
    <t>9832037</t>
  </si>
  <si>
    <t>2025-07-20</t>
  </si>
  <si>
    <t>10057388</t>
  </si>
  <si>
    <t>1329645</t>
  </si>
  <si>
    <t>اسامة ذنيبات</t>
  </si>
  <si>
    <t>10061040</t>
  </si>
  <si>
    <t>ختام المساعده</t>
  </si>
  <si>
    <t>10408938</t>
  </si>
  <si>
    <t>2025-07-21</t>
  </si>
  <si>
    <t>1328920</t>
  </si>
  <si>
    <t>منة الحسنات</t>
  </si>
  <si>
    <t>10195703</t>
  </si>
  <si>
    <t>10197897</t>
  </si>
  <si>
    <t>10058345</t>
  </si>
  <si>
    <t>1326573</t>
  </si>
  <si>
    <t>وصفي الفرجات</t>
  </si>
  <si>
    <t>10057567</t>
  </si>
  <si>
    <t>1328336</t>
  </si>
  <si>
    <t>10398394</t>
  </si>
  <si>
    <t>10408987</t>
  </si>
  <si>
    <t>2025-07-22</t>
  </si>
  <si>
    <t>10063448</t>
  </si>
  <si>
    <t>10408939</t>
  </si>
  <si>
    <t>2025-07-23</t>
  </si>
  <si>
    <t>130780</t>
  </si>
  <si>
    <t>نسرين المرعي</t>
  </si>
  <si>
    <t>9726966</t>
  </si>
  <si>
    <t>10247941</t>
  </si>
  <si>
    <t>2025-07-24</t>
  </si>
  <si>
    <t>10058318</t>
  </si>
  <si>
    <t>10609829</t>
  </si>
  <si>
    <t>10053672</t>
  </si>
  <si>
    <t>مرشد الحسنات</t>
  </si>
  <si>
    <t>10247942</t>
  </si>
  <si>
    <t>10403573</t>
  </si>
  <si>
    <t>2025-07-26</t>
  </si>
  <si>
    <t>يونس القدمان</t>
  </si>
  <si>
    <t>10062203</t>
  </si>
  <si>
    <t>10608121</t>
  </si>
  <si>
    <t>10059529</t>
  </si>
  <si>
    <t>1383147</t>
  </si>
  <si>
    <t>فرح السلامين</t>
  </si>
  <si>
    <t>9833662</t>
  </si>
  <si>
    <t>2025-07-27</t>
  </si>
  <si>
    <t>10411144</t>
  </si>
  <si>
    <t>38367433</t>
  </si>
  <si>
    <t>2025-07-28</t>
  </si>
  <si>
    <t>1325694</t>
  </si>
  <si>
    <t>ازهار الهلالات</t>
  </si>
  <si>
    <t>10053615</t>
  </si>
  <si>
    <t>10408940</t>
  </si>
  <si>
    <t>10197992</t>
  </si>
  <si>
    <t>ياسمين يحيى النصرات</t>
  </si>
  <si>
    <t>10063739</t>
  </si>
  <si>
    <t>104089400</t>
  </si>
  <si>
    <t>10408942</t>
  </si>
  <si>
    <t>10122046</t>
  </si>
  <si>
    <t>2025-07-29</t>
  </si>
  <si>
    <t>1328838</t>
  </si>
  <si>
    <t>صالح الرواضية</t>
  </si>
  <si>
    <t>9831205</t>
  </si>
  <si>
    <t>2025-07-30</t>
  </si>
  <si>
    <t>1327718</t>
  </si>
  <si>
    <t>ريان النصرات</t>
  </si>
  <si>
    <t>9834789</t>
  </si>
  <si>
    <t>10411081</t>
  </si>
  <si>
    <t>10063597</t>
  </si>
  <si>
    <t>10408941</t>
  </si>
  <si>
    <t>10195861</t>
  </si>
  <si>
    <t>1328276</t>
  </si>
  <si>
    <t>مريم اللواما</t>
  </si>
  <si>
    <t>10054555</t>
  </si>
  <si>
    <t>2025-07-31</t>
  </si>
  <si>
    <t>10404972</t>
  </si>
  <si>
    <t>محمد ماجد الهلول</t>
  </si>
  <si>
    <t>10410206</t>
  </si>
  <si>
    <t>2025-08-01</t>
  </si>
  <si>
    <t>01/04/2026</t>
  </si>
  <si>
    <t>10411146</t>
  </si>
  <si>
    <t>2025-08-02</t>
  </si>
  <si>
    <t>1365873</t>
  </si>
  <si>
    <t>نردين الفرجات</t>
  </si>
  <si>
    <t>9832689</t>
  </si>
  <si>
    <t>لجين الهلالات</t>
  </si>
  <si>
    <t>10062273</t>
  </si>
  <si>
    <t>1325762</t>
  </si>
  <si>
    <t>محمد الحمادين</t>
  </si>
  <si>
    <t>9835127</t>
  </si>
  <si>
    <t>10401416</t>
  </si>
  <si>
    <t>1326838</t>
  </si>
  <si>
    <t>اخلاص الفضول</t>
  </si>
  <si>
    <t>10194372</t>
  </si>
  <si>
    <t>علي جهاد الحسنات</t>
  </si>
  <si>
    <t>10057939</t>
  </si>
  <si>
    <t>2025-08-03</t>
  </si>
  <si>
    <t>10402973/1</t>
  </si>
  <si>
    <t>10056183</t>
  </si>
  <si>
    <t>1325577</t>
  </si>
  <si>
    <t>مريم الشباطات</t>
  </si>
  <si>
    <t>10195562</t>
  </si>
  <si>
    <t>10402973</t>
  </si>
  <si>
    <t>جهاد محمد الحسنات</t>
  </si>
  <si>
    <t>10198233</t>
  </si>
  <si>
    <t>2025-08-04</t>
  </si>
  <si>
    <t>نسيبه الرواضيه</t>
  </si>
  <si>
    <t>10194374</t>
  </si>
  <si>
    <t>1326919</t>
  </si>
  <si>
    <t>يوسف العوضات</t>
  </si>
  <si>
    <t>9835397</t>
  </si>
  <si>
    <t>يحيى محمد الهلالات</t>
  </si>
  <si>
    <t>38468410</t>
  </si>
  <si>
    <t>10061211</t>
  </si>
  <si>
    <t>2025-08-05</t>
  </si>
  <si>
    <t>10196709</t>
  </si>
  <si>
    <t>10650541</t>
  </si>
  <si>
    <t>17/11/2025</t>
  </si>
  <si>
    <t>10371834</t>
  </si>
  <si>
    <t>10403562</t>
  </si>
  <si>
    <t>10371838</t>
  </si>
  <si>
    <t>10371836</t>
  </si>
  <si>
    <t>10404923</t>
  </si>
  <si>
    <t>10063741</t>
  </si>
  <si>
    <t>الحارث المشاعلة</t>
  </si>
  <si>
    <t>10194221/1</t>
  </si>
  <si>
    <t>2025-08-07</t>
  </si>
  <si>
    <t>10404514</t>
  </si>
  <si>
    <t>زيد رائد الهلالات</t>
  </si>
  <si>
    <t>10063201</t>
  </si>
  <si>
    <t>10194221</t>
  </si>
  <si>
    <t>1327664</t>
  </si>
  <si>
    <t>عزيز عبدالله النوافلة</t>
  </si>
  <si>
    <t>9834716</t>
  </si>
  <si>
    <t>2025-08-11</t>
  </si>
  <si>
    <t>1328309</t>
  </si>
  <si>
    <t>سميه الحسنات</t>
  </si>
  <si>
    <t>10054603</t>
  </si>
  <si>
    <t>2025-08-12</t>
  </si>
  <si>
    <t>فخرية السعادنة</t>
  </si>
  <si>
    <t>10060394</t>
  </si>
  <si>
    <t>1308780</t>
  </si>
  <si>
    <t>نسرين مرعي</t>
  </si>
  <si>
    <t>9726968</t>
  </si>
  <si>
    <t>2025-08-16</t>
  </si>
  <si>
    <t>10269519</t>
  </si>
  <si>
    <t>2025-08-20</t>
  </si>
  <si>
    <t>10269551</t>
  </si>
  <si>
    <t>2025-08-29</t>
  </si>
  <si>
    <t>9726969</t>
  </si>
  <si>
    <t>2025-09-01</t>
  </si>
  <si>
    <t>10269552</t>
  </si>
  <si>
    <t>2025-09-06</t>
  </si>
  <si>
    <t>9726972</t>
  </si>
  <si>
    <t>2025-09-10</t>
  </si>
  <si>
    <t>9726985</t>
  </si>
  <si>
    <t>10041282</t>
  </si>
  <si>
    <t>2025-10-01</t>
  </si>
  <si>
    <t>15/02/2026</t>
  </si>
  <si>
    <t>9726970</t>
  </si>
  <si>
    <t>10524768</t>
  </si>
  <si>
    <t>2025-10-11</t>
  </si>
  <si>
    <t>9726973</t>
  </si>
  <si>
    <t>1385258</t>
  </si>
  <si>
    <t>كندا الفضول</t>
  </si>
  <si>
    <t>9726976</t>
  </si>
  <si>
    <t>2025-10-12</t>
  </si>
  <si>
    <t>10524760</t>
  </si>
  <si>
    <t>10041283</t>
  </si>
  <si>
    <t>2025-10-21</t>
  </si>
  <si>
    <t>10498737</t>
  </si>
  <si>
    <t>2025-10-22</t>
  </si>
  <si>
    <t>10402975</t>
  </si>
  <si>
    <t>2025-10-23</t>
  </si>
  <si>
    <t>1484762</t>
  </si>
  <si>
    <t>هبة البطاينة</t>
  </si>
  <si>
    <t>10247952</t>
  </si>
  <si>
    <t>1328984</t>
  </si>
  <si>
    <t>منه الهلالات</t>
  </si>
  <si>
    <t>10060224</t>
  </si>
  <si>
    <t>1328995</t>
  </si>
  <si>
    <t>10060225</t>
  </si>
  <si>
    <t>1327549</t>
  </si>
  <si>
    <t>محمد الفرجات</t>
  </si>
  <si>
    <t>10058581</t>
  </si>
  <si>
    <t>2025-10-25</t>
  </si>
  <si>
    <t>1326860</t>
  </si>
  <si>
    <t>شيماء حابس الحسنات</t>
  </si>
  <si>
    <t>9833875</t>
  </si>
  <si>
    <t>ايه حابس الحسنات</t>
  </si>
  <si>
    <t>10409506</t>
  </si>
  <si>
    <t>10606857</t>
  </si>
  <si>
    <t>10195973</t>
  </si>
  <si>
    <t>10611140</t>
  </si>
  <si>
    <t>2025-10-26</t>
  </si>
  <si>
    <t>10362509</t>
  </si>
  <si>
    <t>10411590</t>
  </si>
  <si>
    <t>1335034</t>
  </si>
  <si>
    <t>افنان السلامين</t>
  </si>
  <si>
    <t>9835475</t>
  </si>
  <si>
    <t>9872010484</t>
  </si>
  <si>
    <t>2605509</t>
  </si>
  <si>
    <t>2607627</t>
  </si>
  <si>
    <t>2025-10-27</t>
  </si>
  <si>
    <t>10060816</t>
  </si>
  <si>
    <t>1329800</t>
  </si>
  <si>
    <t>حمزه الهلالات</t>
  </si>
  <si>
    <t>2607581</t>
  </si>
  <si>
    <t>10404515</t>
  </si>
  <si>
    <t>10062211</t>
  </si>
  <si>
    <t>2025-10-28</t>
  </si>
  <si>
    <t>10405941</t>
  </si>
  <si>
    <t>1326869</t>
  </si>
  <si>
    <t>9833885</t>
  </si>
  <si>
    <t>10058348</t>
  </si>
  <si>
    <t>10195212</t>
  </si>
  <si>
    <t>1451222</t>
  </si>
  <si>
    <t>نور السعيدات</t>
  </si>
  <si>
    <t>10056684</t>
  </si>
  <si>
    <t>اليانا النصرات</t>
  </si>
  <si>
    <t>10199075</t>
  </si>
  <si>
    <t>10062214</t>
  </si>
  <si>
    <t>1336709</t>
  </si>
  <si>
    <t>9832545</t>
  </si>
  <si>
    <t>2025-10-29</t>
  </si>
  <si>
    <t>10056531</t>
  </si>
  <si>
    <t>10408832</t>
  </si>
  <si>
    <t>ريتال الفلاحات</t>
  </si>
  <si>
    <t>10194405</t>
  </si>
  <si>
    <t>10411592</t>
  </si>
  <si>
    <t>1337906</t>
  </si>
  <si>
    <t>ألمى السبوع</t>
  </si>
  <si>
    <t>10197667</t>
  </si>
  <si>
    <t>2025-10-30</t>
  </si>
  <si>
    <t>1505340</t>
  </si>
  <si>
    <t>اخلاص الغنميين</t>
  </si>
  <si>
    <t>10827770</t>
  </si>
  <si>
    <t>10062641</t>
  </si>
  <si>
    <t>2025-10-31</t>
  </si>
  <si>
    <t>10060202</t>
  </si>
  <si>
    <t>2025-11-01</t>
  </si>
  <si>
    <t>يراء الهلالات</t>
  </si>
  <si>
    <t>10061569</t>
  </si>
  <si>
    <t>10198680</t>
  </si>
  <si>
    <t>خليفة الهلالات</t>
  </si>
  <si>
    <t>10062750</t>
  </si>
  <si>
    <t>10411292</t>
  </si>
  <si>
    <t>2025-11-02</t>
  </si>
  <si>
    <t>1367591</t>
  </si>
  <si>
    <t>حور المشاعله</t>
  </si>
  <si>
    <t>9834247</t>
  </si>
  <si>
    <t>1329322</t>
  </si>
  <si>
    <t>سالي النصرات</t>
  </si>
  <si>
    <t>9831814</t>
  </si>
  <si>
    <t>10055821</t>
  </si>
  <si>
    <t>10196855</t>
  </si>
  <si>
    <t>10401422</t>
  </si>
  <si>
    <t>10195556</t>
  </si>
  <si>
    <t>وليد غايض الحسنات</t>
  </si>
  <si>
    <t>1325571</t>
  </si>
  <si>
    <t>1327571</t>
  </si>
  <si>
    <t>ساره السعيدات</t>
  </si>
  <si>
    <t>10058609</t>
  </si>
  <si>
    <t>2025-11-03</t>
  </si>
  <si>
    <t>1341842</t>
  </si>
  <si>
    <t>جبريل الهلالات</t>
  </si>
  <si>
    <t>9834371</t>
  </si>
  <si>
    <t>10404610</t>
  </si>
  <si>
    <t>1451220</t>
  </si>
  <si>
    <t>توليب الاشعري</t>
  </si>
  <si>
    <t>10404862</t>
  </si>
  <si>
    <t>1325314</t>
  </si>
  <si>
    <t>سيف الدين الطويسي</t>
  </si>
  <si>
    <t>9833395</t>
  </si>
  <si>
    <t>2025-11-04</t>
  </si>
  <si>
    <t>10055777</t>
  </si>
  <si>
    <t>10669216</t>
  </si>
  <si>
    <t>39464726</t>
  </si>
  <si>
    <t>2025-11-05</t>
  </si>
  <si>
    <t>1329893</t>
  </si>
  <si>
    <t>كريم السلامين</t>
  </si>
  <si>
    <t>10056288</t>
  </si>
  <si>
    <t>10056284</t>
  </si>
  <si>
    <t>10410219</t>
  </si>
  <si>
    <t>10403630</t>
  </si>
  <si>
    <t>10608329</t>
  </si>
  <si>
    <t>رانسي عماد النوافلة</t>
  </si>
  <si>
    <t>39461479</t>
  </si>
  <si>
    <t>10196370</t>
  </si>
  <si>
    <t>10409448</t>
  </si>
  <si>
    <t>2025-11-06</t>
  </si>
  <si>
    <t>10408251</t>
  </si>
  <si>
    <t>1325576</t>
  </si>
  <si>
    <t>نصار الحسنات</t>
  </si>
  <si>
    <t>9831171</t>
  </si>
  <si>
    <t>1327619</t>
  </si>
  <si>
    <t>رغده الخليفات</t>
  </si>
  <si>
    <t>10411056</t>
  </si>
  <si>
    <t>10197990</t>
  </si>
  <si>
    <t>10409516</t>
  </si>
  <si>
    <t>1335227</t>
  </si>
  <si>
    <t>ميسم الفرجات</t>
  </si>
  <si>
    <t>9834601</t>
  </si>
  <si>
    <t>2025-11-08</t>
  </si>
  <si>
    <t>1335229</t>
  </si>
  <si>
    <t>سليمان الفرجات</t>
  </si>
  <si>
    <t>9834602</t>
  </si>
  <si>
    <t>10055508</t>
  </si>
  <si>
    <t>1329799</t>
  </si>
  <si>
    <t>عاصم الهلالات</t>
  </si>
  <si>
    <t>9832442</t>
  </si>
  <si>
    <t>10609649</t>
  </si>
  <si>
    <t>10195974</t>
  </si>
  <si>
    <t>10405142</t>
  </si>
  <si>
    <t>1482906</t>
  </si>
  <si>
    <t>بارين الهلالات</t>
  </si>
  <si>
    <t>10400430</t>
  </si>
  <si>
    <t>ابراهيم السلامين</t>
  </si>
  <si>
    <t>10059430</t>
  </si>
  <si>
    <t>10061460</t>
  </si>
  <si>
    <t>2025-11-09</t>
  </si>
  <si>
    <t>10606611</t>
  </si>
  <si>
    <t>اريج طويسي</t>
  </si>
  <si>
    <t>10056871</t>
  </si>
  <si>
    <t>10875095</t>
  </si>
  <si>
    <t>10401911</t>
  </si>
  <si>
    <t>10401910</t>
  </si>
  <si>
    <t>10405851</t>
  </si>
  <si>
    <t>1329064</t>
  </si>
  <si>
    <t>ربيعة النصرات</t>
  </si>
  <si>
    <t>104011201</t>
  </si>
  <si>
    <t>2025-11-10</t>
  </si>
  <si>
    <t>10727235</t>
  </si>
  <si>
    <t>هلا الفلاحات</t>
  </si>
  <si>
    <t>10406893</t>
  </si>
  <si>
    <t>10060851</t>
  </si>
  <si>
    <t>10410524</t>
  </si>
  <si>
    <t>10401120</t>
  </si>
  <si>
    <t>10062473</t>
  </si>
  <si>
    <t>10407099</t>
  </si>
  <si>
    <t>2025-11-11</t>
  </si>
  <si>
    <t>1424213</t>
  </si>
  <si>
    <t>جواد السلامين</t>
  </si>
  <si>
    <t>39535250</t>
  </si>
  <si>
    <t>10194155</t>
  </si>
  <si>
    <t>1328477</t>
  </si>
  <si>
    <t>مسار الحسنات</t>
  </si>
  <si>
    <t>9830769</t>
  </si>
  <si>
    <t>10056872</t>
  </si>
  <si>
    <t>2025-11-12</t>
  </si>
  <si>
    <t>13328477</t>
  </si>
  <si>
    <t>9830769/1</t>
  </si>
  <si>
    <t>1325369</t>
  </si>
  <si>
    <t>9833908</t>
  </si>
  <si>
    <t>2025-11-13</t>
  </si>
  <si>
    <t>10057581</t>
  </si>
  <si>
    <t>الاء بني احمد</t>
  </si>
  <si>
    <t>10727143</t>
  </si>
  <si>
    <t>1326818</t>
  </si>
  <si>
    <t>ليث السعيدات</t>
  </si>
  <si>
    <t>10057816</t>
  </si>
  <si>
    <t>روعه الحسنات</t>
  </si>
  <si>
    <t>10057900</t>
  </si>
  <si>
    <t>1325373</t>
  </si>
  <si>
    <t>غزل الحسنات</t>
  </si>
  <si>
    <t>9833912</t>
  </si>
  <si>
    <t>قاطمة الحسنات</t>
  </si>
  <si>
    <t>10056897</t>
  </si>
  <si>
    <t>عبير الرفايعه</t>
  </si>
  <si>
    <t>10062725</t>
  </si>
  <si>
    <t>10062722</t>
  </si>
  <si>
    <t>10896418</t>
  </si>
  <si>
    <t>10195178</t>
  </si>
  <si>
    <t>1489758</t>
  </si>
  <si>
    <t>غنى الحسنات</t>
  </si>
  <si>
    <t>10398372</t>
  </si>
  <si>
    <t>10062442</t>
  </si>
  <si>
    <t>1336687</t>
  </si>
  <si>
    <t>امير الرفايعة</t>
  </si>
  <si>
    <t>10195922</t>
  </si>
  <si>
    <t>2025-11-14</t>
  </si>
  <si>
    <t>10193945</t>
  </si>
  <si>
    <t>2025-11-15</t>
  </si>
  <si>
    <t>107271431</t>
  </si>
  <si>
    <t>10609857</t>
  </si>
  <si>
    <t>10727027</t>
  </si>
  <si>
    <t>1406406</t>
  </si>
  <si>
    <t>تمام شاهين</t>
  </si>
  <si>
    <t>10643641</t>
  </si>
  <si>
    <t>1328475</t>
  </si>
  <si>
    <t>يسر الحسنات</t>
  </si>
  <si>
    <t>9830767</t>
  </si>
  <si>
    <t>10403571</t>
  </si>
  <si>
    <t>2025-11-16</t>
  </si>
  <si>
    <t>10194599</t>
  </si>
  <si>
    <t>10875096</t>
  </si>
  <si>
    <t>10670279</t>
  </si>
  <si>
    <t>2025-11-17</t>
  </si>
  <si>
    <t>10057596</t>
  </si>
  <si>
    <t>عزالدين الحسنات</t>
  </si>
  <si>
    <t>10057903</t>
  </si>
  <si>
    <t>10197231</t>
  </si>
  <si>
    <t>10063168</t>
  </si>
  <si>
    <t>39617210</t>
  </si>
  <si>
    <t>2025-11-18</t>
  </si>
  <si>
    <t>زينب سليمان الهلالي</t>
  </si>
  <si>
    <t>39616124</t>
  </si>
  <si>
    <t>10060743</t>
  </si>
  <si>
    <t>39618352</t>
  </si>
  <si>
    <t>10060739</t>
  </si>
  <si>
    <t>1329389</t>
  </si>
  <si>
    <t>سليمان المعتصم بالله الحوارنه</t>
  </si>
  <si>
    <t>39617590</t>
  </si>
  <si>
    <t>1328342</t>
  </si>
  <si>
    <t>ايمان عيسى الحسنات</t>
  </si>
  <si>
    <t>39618492</t>
  </si>
  <si>
    <t>10057592</t>
  </si>
  <si>
    <t>1326593</t>
  </si>
  <si>
    <t>لجين الحسنات</t>
  </si>
  <si>
    <t>9833601</t>
  </si>
  <si>
    <t>محمد اسماعيل الشماسين</t>
  </si>
  <si>
    <t>1343284</t>
  </si>
  <si>
    <t>فرح عيال سلمان</t>
  </si>
  <si>
    <t>9833443</t>
  </si>
  <si>
    <t>2025-11-19</t>
  </si>
  <si>
    <t>1336625</t>
  </si>
  <si>
    <t>مهاب الحسنات</t>
  </si>
  <si>
    <t>10055188</t>
  </si>
  <si>
    <t>134122</t>
  </si>
  <si>
    <t>10054787</t>
  </si>
  <si>
    <t>1326592</t>
  </si>
  <si>
    <t>راما الحسنات</t>
  </si>
  <si>
    <t>9833600</t>
  </si>
  <si>
    <t>2025-11-20</t>
  </si>
  <si>
    <t>10055227</t>
  </si>
  <si>
    <t>يوسف الرفايعه</t>
  </si>
  <si>
    <t>10405041</t>
  </si>
  <si>
    <t>10198229</t>
  </si>
  <si>
    <t>107272027</t>
  </si>
  <si>
    <t>10728553</t>
  </si>
  <si>
    <t>2025-11-22</t>
  </si>
  <si>
    <t>1327275</t>
  </si>
  <si>
    <t>قاسم الخليفات</t>
  </si>
  <si>
    <t>10063142</t>
  </si>
  <si>
    <t>1462041</t>
  </si>
  <si>
    <t>يمان الحسنات</t>
  </si>
  <si>
    <t>9831370</t>
  </si>
  <si>
    <t>1338349</t>
  </si>
  <si>
    <t>ادم السبوع</t>
  </si>
  <si>
    <t>10411052</t>
  </si>
  <si>
    <t>1365871</t>
  </si>
  <si>
    <t>اياد الفرجات</t>
  </si>
  <si>
    <t>10061495</t>
  </si>
  <si>
    <t>يوسف الرفايعة</t>
  </si>
  <si>
    <t>10607892</t>
  </si>
  <si>
    <t>ادم احمد ابراهيم الحمادين</t>
  </si>
  <si>
    <t>39652867</t>
  </si>
  <si>
    <t>10669217</t>
  </si>
  <si>
    <t>1328843</t>
  </si>
  <si>
    <t>ليان الراوضية</t>
  </si>
  <si>
    <t>9831210</t>
  </si>
  <si>
    <t>ثائر عطا محمد السلامين</t>
  </si>
  <si>
    <t>39653215</t>
  </si>
  <si>
    <t>10062723</t>
  </si>
  <si>
    <t>10195754</t>
  </si>
  <si>
    <t>10410412</t>
  </si>
  <si>
    <t>وليد الحسنات</t>
  </si>
  <si>
    <t>10404308</t>
  </si>
  <si>
    <t>علي النوافلة</t>
  </si>
  <si>
    <t>10193944</t>
  </si>
  <si>
    <t>10196996</t>
  </si>
  <si>
    <t>نديمه الهلالات</t>
  </si>
  <si>
    <t>10196956</t>
  </si>
  <si>
    <t>100631421</t>
  </si>
  <si>
    <t>1328607</t>
  </si>
  <si>
    <t>تيماء الطويسي</t>
  </si>
  <si>
    <t>9830928</t>
  </si>
  <si>
    <t>10062726</t>
  </si>
  <si>
    <t>1327616</t>
  </si>
  <si>
    <t>موسى السبوع</t>
  </si>
  <si>
    <t>9834663</t>
  </si>
  <si>
    <t>10411597</t>
  </si>
  <si>
    <t>10060600</t>
  </si>
  <si>
    <t>2025-11-23</t>
  </si>
  <si>
    <t>1329306</t>
  </si>
  <si>
    <t>وسيم الفضول</t>
  </si>
  <si>
    <t>10055804</t>
  </si>
  <si>
    <t>1326447</t>
  </si>
  <si>
    <t>سيرين سمان</t>
  </si>
  <si>
    <t>10062256</t>
  </si>
  <si>
    <t>10041284</t>
  </si>
  <si>
    <t>29/03/2026</t>
  </si>
  <si>
    <t>10408871</t>
  </si>
  <si>
    <t>10398373</t>
  </si>
  <si>
    <t>10057356</t>
  </si>
  <si>
    <t>10058062</t>
  </si>
  <si>
    <t>10056520</t>
  </si>
  <si>
    <t>2025-11-24</t>
  </si>
  <si>
    <t>1327702</t>
  </si>
  <si>
    <t>لينا الطويسي</t>
  </si>
  <si>
    <t>10063577</t>
  </si>
  <si>
    <t>1335211</t>
  </si>
  <si>
    <t>وتين الحسنات</t>
  </si>
  <si>
    <t>9833558</t>
  </si>
  <si>
    <t>9726974</t>
  </si>
  <si>
    <t>10405146</t>
  </si>
  <si>
    <t>106692171</t>
  </si>
  <si>
    <t>10669215</t>
  </si>
  <si>
    <t>10198228</t>
  </si>
  <si>
    <t>10910578</t>
  </si>
  <si>
    <t>2025-11-25</t>
  </si>
  <si>
    <t>10195176</t>
  </si>
  <si>
    <t>هلا الفلحات</t>
  </si>
  <si>
    <t>10608818</t>
  </si>
  <si>
    <t>1378896</t>
  </si>
  <si>
    <t>رونزا الاشعري</t>
  </si>
  <si>
    <t>10195831</t>
  </si>
  <si>
    <t>2025-11-26</t>
  </si>
  <si>
    <t>10609896</t>
  </si>
  <si>
    <t>10411088</t>
  </si>
  <si>
    <t>10524769</t>
  </si>
  <si>
    <t>10524761</t>
  </si>
  <si>
    <t>رجاء الدوبي</t>
  </si>
  <si>
    <t>10610072</t>
  </si>
  <si>
    <t>2025-11-27</t>
  </si>
  <si>
    <t>10198125</t>
  </si>
  <si>
    <t>10411303</t>
  </si>
  <si>
    <t>10406607</t>
  </si>
  <si>
    <t>39702956</t>
  </si>
  <si>
    <t>10199072</t>
  </si>
  <si>
    <t>10411154</t>
  </si>
  <si>
    <t>2025-11-28</t>
  </si>
  <si>
    <t>10401843</t>
  </si>
  <si>
    <t>10197666</t>
  </si>
  <si>
    <t>المى السبوع</t>
  </si>
  <si>
    <t>1040851</t>
  </si>
  <si>
    <t>10411147</t>
  </si>
  <si>
    <t>10197070</t>
  </si>
  <si>
    <t>1511037</t>
  </si>
  <si>
    <t>حسام النعانعة</t>
  </si>
  <si>
    <t>10900228</t>
  </si>
  <si>
    <t>13243283</t>
  </si>
  <si>
    <t>سنان الهلالات</t>
  </si>
  <si>
    <t>10062754</t>
  </si>
  <si>
    <t>1329706</t>
  </si>
  <si>
    <t>علي الشماسين</t>
  </si>
  <si>
    <t>10056290</t>
  </si>
  <si>
    <t>2025-11-29</t>
  </si>
  <si>
    <t>10055248</t>
  </si>
  <si>
    <t>10404452</t>
  </si>
  <si>
    <t>10611144</t>
  </si>
  <si>
    <t>10059793</t>
  </si>
  <si>
    <t>1348397</t>
  </si>
  <si>
    <t>نجد الغنميين</t>
  </si>
  <si>
    <t>10198460</t>
  </si>
  <si>
    <t>1327966</t>
  </si>
  <si>
    <t>هاني النوافلة</t>
  </si>
  <si>
    <t>10194604</t>
  </si>
  <si>
    <t>1491782</t>
  </si>
  <si>
    <t>لين الزعبي</t>
  </si>
  <si>
    <t>10475645</t>
  </si>
  <si>
    <t>10061107</t>
  </si>
  <si>
    <t>10197071</t>
  </si>
  <si>
    <t>2025-11-30</t>
  </si>
  <si>
    <t>10196260</t>
  </si>
  <si>
    <t>10195765</t>
  </si>
  <si>
    <t>1329323</t>
  </si>
  <si>
    <t>صابرين النصرات</t>
  </si>
  <si>
    <t>10055820</t>
  </si>
  <si>
    <t>10610927</t>
  </si>
  <si>
    <t>1325594</t>
  </si>
  <si>
    <t>ريتال الحسنات</t>
  </si>
  <si>
    <t>9832354</t>
  </si>
  <si>
    <t>10408560</t>
  </si>
  <si>
    <t>10607711</t>
  </si>
  <si>
    <t>10609490</t>
  </si>
  <si>
    <t>10730605</t>
  </si>
  <si>
    <t>1495725</t>
  </si>
  <si>
    <t>اثار الفلحات</t>
  </si>
  <si>
    <t>10606156</t>
  </si>
  <si>
    <t>1328976</t>
  </si>
  <si>
    <t>صهيب النوافلة</t>
  </si>
  <si>
    <t>10404709</t>
  </si>
  <si>
    <t>ساره هلالات</t>
  </si>
  <si>
    <t>10041296</t>
  </si>
  <si>
    <t>1437909</t>
  </si>
  <si>
    <t>ماريا السلامين</t>
  </si>
  <si>
    <t>10408253</t>
  </si>
  <si>
    <t>2025-12-01</t>
  </si>
  <si>
    <t>10728395</t>
  </si>
  <si>
    <t>10409628</t>
  </si>
  <si>
    <t>101962600</t>
  </si>
  <si>
    <t>10195705</t>
  </si>
  <si>
    <t>محمود محمد الحسنات</t>
  </si>
  <si>
    <t>39759328</t>
  </si>
  <si>
    <t>يامن السبوع</t>
  </si>
  <si>
    <t>10197661</t>
  </si>
  <si>
    <t>2025-12-02</t>
  </si>
  <si>
    <t>علي محمود السلامين</t>
  </si>
  <si>
    <t>10609895</t>
  </si>
  <si>
    <t>10410208</t>
  </si>
  <si>
    <t>1327958</t>
  </si>
  <si>
    <t>ختام خليفات</t>
  </si>
  <si>
    <t>9830175</t>
  </si>
  <si>
    <t>1329624</t>
  </si>
  <si>
    <t>نور محمد الطويسي</t>
  </si>
  <si>
    <t>10062961</t>
  </si>
  <si>
    <t>10057085</t>
  </si>
  <si>
    <t>9726977</t>
  </si>
  <si>
    <t>2025-12-03</t>
  </si>
  <si>
    <t>10197887</t>
  </si>
  <si>
    <t>10729073</t>
  </si>
  <si>
    <t>1328608</t>
  </si>
  <si>
    <t>همام الطويسي</t>
  </si>
  <si>
    <t>10054945</t>
  </si>
  <si>
    <t>10060742</t>
  </si>
  <si>
    <t>10198239</t>
  </si>
  <si>
    <t>2025-12-04</t>
  </si>
  <si>
    <t>1326684</t>
  </si>
  <si>
    <t>مهند الحسنات</t>
  </si>
  <si>
    <t>9833688</t>
  </si>
  <si>
    <t>10405694</t>
  </si>
  <si>
    <t>10196258</t>
  </si>
  <si>
    <t>10196258/1</t>
  </si>
  <si>
    <t>10196333</t>
  </si>
  <si>
    <t>10059764</t>
  </si>
  <si>
    <t>2025-12-06</t>
  </si>
  <si>
    <t>عروب الحسنات</t>
  </si>
  <si>
    <t>10198235</t>
  </si>
  <si>
    <t>1325572</t>
  </si>
  <si>
    <t>تقى الحسنات</t>
  </si>
  <si>
    <t>9831167</t>
  </si>
  <si>
    <t>10403575</t>
  </si>
  <si>
    <t>39831528</t>
  </si>
  <si>
    <t>39852849</t>
  </si>
  <si>
    <t>2025-12-07</t>
  </si>
  <si>
    <t>10055819</t>
  </si>
  <si>
    <t>10060644</t>
  </si>
  <si>
    <t>10194184</t>
  </si>
  <si>
    <t>101941841</t>
  </si>
  <si>
    <t>1327543</t>
  </si>
  <si>
    <t>موسى الفرجات</t>
  </si>
  <si>
    <t>9834594</t>
  </si>
  <si>
    <t>2025-12-08</t>
  </si>
  <si>
    <t>10199070</t>
  </si>
  <si>
    <t>مها داغس</t>
  </si>
  <si>
    <t>10609946</t>
  </si>
  <si>
    <t>2025-12-09</t>
  </si>
  <si>
    <t>عزيز النوافلة</t>
  </si>
  <si>
    <t>10058697</t>
  </si>
  <si>
    <t>10063523</t>
  </si>
  <si>
    <t>1327473</t>
  </si>
  <si>
    <t>غزل الرواضية</t>
  </si>
  <si>
    <t>10198794</t>
  </si>
  <si>
    <t>2025-12-10</t>
  </si>
  <si>
    <t>عبود الهلالات</t>
  </si>
  <si>
    <t>39881147</t>
  </si>
  <si>
    <t>10730045</t>
  </si>
  <si>
    <t>2025-12-11</t>
  </si>
  <si>
    <t>1327854</t>
  </si>
  <si>
    <t>زينب النصرات</t>
  </si>
  <si>
    <t>10063743</t>
  </si>
  <si>
    <t>1329750</t>
  </si>
  <si>
    <t>عبادة الشماسين</t>
  </si>
  <si>
    <t>9832351</t>
  </si>
  <si>
    <t>10057546</t>
  </si>
  <si>
    <t>2025-12-12</t>
  </si>
  <si>
    <t>10410207</t>
  </si>
  <si>
    <t>10060643</t>
  </si>
  <si>
    <t>10196162</t>
  </si>
  <si>
    <t>10609939</t>
  </si>
  <si>
    <t>2025-12-13</t>
  </si>
  <si>
    <t>10402412</t>
  </si>
  <si>
    <t>1328498</t>
  </si>
  <si>
    <t>وعد الحسنات</t>
  </si>
  <si>
    <t>10607182</t>
  </si>
  <si>
    <t>39894063</t>
  </si>
  <si>
    <t>39895270</t>
  </si>
  <si>
    <t>براء الفلحات</t>
  </si>
  <si>
    <t>39903932</t>
  </si>
  <si>
    <t>2025-12-14</t>
  </si>
  <si>
    <t>ايمان راتب العوامرة</t>
  </si>
  <si>
    <t>39903042</t>
  </si>
  <si>
    <t>1327472</t>
  </si>
  <si>
    <t>ختام الخلايفه</t>
  </si>
  <si>
    <t>10410742</t>
  </si>
  <si>
    <t>2025-12-15</t>
  </si>
  <si>
    <t>1507438</t>
  </si>
  <si>
    <t>ملاك الهلالات</t>
  </si>
  <si>
    <t>10853446</t>
  </si>
  <si>
    <t>2025-12-16</t>
  </si>
  <si>
    <t>15/04/2026</t>
  </si>
  <si>
    <t>FIRST INSURANCE COMPANY</t>
  </si>
  <si>
    <t>1507440</t>
  </si>
  <si>
    <t>10853453</t>
  </si>
  <si>
    <t>1507441</t>
  </si>
  <si>
    <t>غدير علي العمرات</t>
  </si>
  <si>
    <t>3923122</t>
  </si>
  <si>
    <t>1507439</t>
  </si>
  <si>
    <t>يوسف الهلالات</t>
  </si>
  <si>
    <t>10853449</t>
  </si>
  <si>
    <t>1507437</t>
  </si>
  <si>
    <t>وسام الهلالات</t>
  </si>
  <si>
    <t>10853443</t>
  </si>
  <si>
    <t>غدير العمرات</t>
  </si>
  <si>
    <t>10853456</t>
  </si>
  <si>
    <t>عماد الفلاحات</t>
  </si>
  <si>
    <t>10198363</t>
  </si>
  <si>
    <t>زيد هلالات</t>
  </si>
  <si>
    <t>10410526</t>
  </si>
  <si>
    <t>39922214</t>
  </si>
  <si>
    <t>3992225</t>
  </si>
  <si>
    <t>39924500</t>
  </si>
  <si>
    <t>10056386</t>
  </si>
  <si>
    <t>افنان شاهر السلامين</t>
  </si>
  <si>
    <t>39921186</t>
  </si>
  <si>
    <t>10062443</t>
  </si>
  <si>
    <t>2025-12-17</t>
  </si>
  <si>
    <t>فاتنه الخلايفه</t>
  </si>
  <si>
    <t>39951132</t>
  </si>
  <si>
    <t>1329045</t>
  </si>
  <si>
    <t>هيثم الاشعري</t>
  </si>
  <si>
    <t>39956815</t>
  </si>
  <si>
    <t>39957366</t>
  </si>
  <si>
    <t>1352782</t>
  </si>
  <si>
    <t>ليث الفلحات</t>
  </si>
  <si>
    <t>9834076</t>
  </si>
  <si>
    <t>141782</t>
  </si>
  <si>
    <t>39956696</t>
  </si>
  <si>
    <t>رغد محمد الطويسي</t>
  </si>
  <si>
    <t>39980227</t>
  </si>
  <si>
    <t>2025-12-18</t>
  </si>
  <si>
    <t>10408658</t>
  </si>
  <si>
    <t>2025-12-20</t>
  </si>
  <si>
    <t>10063014</t>
  </si>
  <si>
    <t>10404974</t>
  </si>
  <si>
    <t>1335209</t>
  </si>
  <si>
    <t>ندى سلمان</t>
  </si>
  <si>
    <t>9833442</t>
  </si>
  <si>
    <t>10041297</t>
  </si>
  <si>
    <t>2025-12-21</t>
  </si>
  <si>
    <t>1326998</t>
  </si>
  <si>
    <t>فهد الحسنات</t>
  </si>
  <si>
    <t>40005738</t>
  </si>
  <si>
    <t>1327323</t>
  </si>
  <si>
    <t>رغد الهلالات</t>
  </si>
  <si>
    <t>9834398</t>
  </si>
  <si>
    <t>10402421</t>
  </si>
  <si>
    <t>9834037</t>
  </si>
  <si>
    <t>2025-12-22</t>
  </si>
  <si>
    <t>1327792</t>
  </si>
  <si>
    <t>وئام الهلالات</t>
  </si>
  <si>
    <t>10199160</t>
  </si>
  <si>
    <t>1327894</t>
  </si>
  <si>
    <t>وسيم الخليفات</t>
  </si>
  <si>
    <t>9830107</t>
  </si>
  <si>
    <t>10405143</t>
  </si>
  <si>
    <t>10400431</t>
  </si>
  <si>
    <t>10408561</t>
  </si>
  <si>
    <t>2025-12-23</t>
  </si>
  <si>
    <t>40031060</t>
  </si>
  <si>
    <t>نوار الفلاحات</t>
  </si>
  <si>
    <t>10726059</t>
  </si>
  <si>
    <t>اسامه النوافلة</t>
  </si>
  <si>
    <t>10057371</t>
  </si>
  <si>
    <t>2025-12-24</t>
  </si>
  <si>
    <t>40037955</t>
  </si>
  <si>
    <t>10411474</t>
  </si>
  <si>
    <t>عبدالله النوافله</t>
  </si>
  <si>
    <t>10729828</t>
  </si>
  <si>
    <t>10406883</t>
  </si>
  <si>
    <t>10727944</t>
  </si>
  <si>
    <t>10838498</t>
  </si>
  <si>
    <t>2025-12-25</t>
  </si>
  <si>
    <t>10410147</t>
  </si>
  <si>
    <t>2025-12-27</t>
  </si>
  <si>
    <t>10410157</t>
  </si>
  <si>
    <t>10610852</t>
  </si>
  <si>
    <t>10058376</t>
  </si>
  <si>
    <t>2025-12-29</t>
  </si>
  <si>
    <t>40075437</t>
  </si>
  <si>
    <t>106088922</t>
  </si>
  <si>
    <t>10401727</t>
  </si>
  <si>
    <t>2025-12-30</t>
  </si>
  <si>
    <t>10198364</t>
  </si>
  <si>
    <t>1365874</t>
  </si>
  <si>
    <t>لين الفرجات</t>
  </si>
  <si>
    <t>10056675</t>
  </si>
  <si>
    <t>104047180</t>
  </si>
  <si>
    <t>10400432</t>
  </si>
  <si>
    <t>1489755</t>
  </si>
  <si>
    <t>ريم الفلحات</t>
  </si>
  <si>
    <t>10398383</t>
  </si>
  <si>
    <t>1326810</t>
  </si>
  <si>
    <t>نسرين الهلالي</t>
  </si>
  <si>
    <t>10062630</t>
  </si>
  <si>
    <t>2025-12-31</t>
  </si>
  <si>
    <t>1326811</t>
  </si>
  <si>
    <t>خديجة المشاعلة</t>
  </si>
  <si>
    <t>10198115</t>
  </si>
  <si>
    <t>1327955</t>
  </si>
  <si>
    <t>جعفر الخليفات</t>
  </si>
  <si>
    <t>98301721</t>
  </si>
  <si>
    <t>9830172</t>
  </si>
  <si>
    <t>10195184</t>
  </si>
  <si>
    <t>10607858</t>
  </si>
  <si>
    <t>10405039</t>
  </si>
  <si>
    <t>10061113</t>
  </si>
  <si>
    <t>10407973</t>
  </si>
  <si>
    <t>12009357</t>
  </si>
  <si>
    <t>10056352</t>
  </si>
  <si>
    <t>2026-01-01</t>
  </si>
  <si>
    <t>10/06/2026</t>
  </si>
  <si>
    <t>10475647</t>
  </si>
  <si>
    <t>2026-01-03</t>
  </si>
  <si>
    <t>10198493</t>
  </si>
  <si>
    <t>10061209</t>
  </si>
  <si>
    <t>10608675</t>
  </si>
  <si>
    <t>10409629</t>
  </si>
  <si>
    <t>2026-01-05</t>
  </si>
  <si>
    <t>1518434</t>
  </si>
  <si>
    <t>ملاك عصام البطاينه</t>
  </si>
  <si>
    <t>40194087</t>
  </si>
  <si>
    <t>17/05/2026</t>
  </si>
  <si>
    <t>1518433</t>
  </si>
  <si>
    <t>12041591</t>
  </si>
  <si>
    <t>10410525</t>
  </si>
  <si>
    <t>10410152</t>
  </si>
  <si>
    <t>10607157</t>
  </si>
  <si>
    <t>2026-01-06</t>
  </si>
  <si>
    <t>فادي الفلاحات</t>
  </si>
  <si>
    <t>10726057</t>
  </si>
  <si>
    <t>بادي الفلاحات</t>
  </si>
  <si>
    <t>8262167</t>
  </si>
  <si>
    <t>10198677</t>
  </si>
  <si>
    <t>10730076</t>
  </si>
  <si>
    <t>1518521</t>
  </si>
  <si>
    <t>8262096</t>
  </si>
  <si>
    <t>12042176</t>
  </si>
  <si>
    <t>يوسف النوافلة</t>
  </si>
  <si>
    <t>1518357</t>
  </si>
  <si>
    <t>سلمى خليفات</t>
  </si>
  <si>
    <t>12041414</t>
  </si>
  <si>
    <t>1326446</t>
  </si>
  <si>
    <t>لارا سلمان</t>
  </si>
  <si>
    <t>10062255</t>
  </si>
  <si>
    <t>2026-01-07</t>
  </si>
  <si>
    <t>10475648</t>
  </si>
  <si>
    <t>1518752</t>
  </si>
  <si>
    <t>يحيى الحسنات</t>
  </si>
  <si>
    <t>12041261</t>
  </si>
  <si>
    <t>1518551</t>
  </si>
  <si>
    <t>اريام الفضول</t>
  </si>
  <si>
    <t>12041957</t>
  </si>
  <si>
    <t>1327575</t>
  </si>
  <si>
    <t>عواطف الطويسي</t>
  </si>
  <si>
    <t>40235753</t>
  </si>
  <si>
    <t>2026-01-08</t>
  </si>
  <si>
    <t>رناد محيسن العلايا</t>
  </si>
  <si>
    <t>12007846</t>
  </si>
  <si>
    <t>1518355</t>
  </si>
  <si>
    <t>مطر خليفات</t>
  </si>
  <si>
    <t>12041408</t>
  </si>
  <si>
    <t>10606581</t>
  </si>
  <si>
    <t>12007638</t>
  </si>
  <si>
    <t>2026-01-10</t>
  </si>
  <si>
    <t>1518368</t>
  </si>
  <si>
    <t>هديل النوافلة</t>
  </si>
  <si>
    <t>12041450</t>
  </si>
  <si>
    <t>ملك طويسي</t>
  </si>
  <si>
    <t>10197699</t>
  </si>
  <si>
    <t>2026-01-11</t>
  </si>
  <si>
    <t>1518378</t>
  </si>
  <si>
    <t>انس المساعدة</t>
  </si>
  <si>
    <t>12041480</t>
  </si>
  <si>
    <t>يونس محمد الحسنات</t>
  </si>
  <si>
    <t>10609645</t>
  </si>
  <si>
    <t>2026-01-12</t>
  </si>
  <si>
    <t>10198387</t>
  </si>
  <si>
    <t>10726087</t>
  </si>
  <si>
    <t>10402413</t>
  </si>
  <si>
    <t>2026-01-13</t>
  </si>
  <si>
    <t>10054137</t>
  </si>
  <si>
    <t>1518467</t>
  </si>
  <si>
    <t>12041699</t>
  </si>
  <si>
    <t>2026-01-14</t>
  </si>
  <si>
    <t>1330566</t>
  </si>
  <si>
    <t>زينة الهلالات</t>
  </si>
  <si>
    <t>9835071</t>
  </si>
  <si>
    <t>زينه الهلالات</t>
  </si>
  <si>
    <t>10730604</t>
  </si>
  <si>
    <t>1518680</t>
  </si>
  <si>
    <t>بدر النوافلة</t>
  </si>
  <si>
    <t>.</t>
  </si>
  <si>
    <t>2026-01-15</t>
  </si>
  <si>
    <t>10910587</t>
  </si>
  <si>
    <t>2026-01-16</t>
  </si>
  <si>
    <t>يمنى عطا السلامين</t>
  </si>
  <si>
    <t>40311763</t>
  </si>
  <si>
    <t>1333821</t>
  </si>
  <si>
    <t>هاني الرفوع</t>
  </si>
  <si>
    <t>12129776</t>
  </si>
  <si>
    <t>12008332</t>
  </si>
  <si>
    <t>2026-01-17</t>
  </si>
  <si>
    <t>12009329</t>
  </si>
  <si>
    <t>2026-01-18</t>
  </si>
  <si>
    <t>1328523</t>
  </si>
  <si>
    <t>ارين الحسنات</t>
  </si>
  <si>
    <t>10195229</t>
  </si>
  <si>
    <t>1518737</t>
  </si>
  <si>
    <t>فراس النوافلة</t>
  </si>
  <si>
    <t>12041210</t>
  </si>
  <si>
    <t>1327851</t>
  </si>
  <si>
    <t>تماضر النصرات</t>
  </si>
  <si>
    <t>9834938</t>
  </si>
  <si>
    <t>2026-01-19</t>
  </si>
  <si>
    <t>40341453</t>
  </si>
  <si>
    <t>حمزة العودات</t>
  </si>
  <si>
    <t>10055771</t>
  </si>
  <si>
    <t>2026-01-21</t>
  </si>
  <si>
    <t>10408504</t>
  </si>
  <si>
    <t>زهير الفلحات</t>
  </si>
  <si>
    <t>10062440</t>
  </si>
  <si>
    <t>1518366</t>
  </si>
  <si>
    <t>يحيى الخليفات</t>
  </si>
  <si>
    <t>12041444</t>
  </si>
  <si>
    <t>10403550</t>
  </si>
  <si>
    <t>1329235</t>
  </si>
  <si>
    <t>تسنيم الشماسين</t>
  </si>
  <si>
    <t>9831711</t>
  </si>
  <si>
    <t>2026-01-22</t>
  </si>
  <si>
    <t>12375483</t>
  </si>
  <si>
    <t>2026-01-24</t>
  </si>
  <si>
    <t>12378207</t>
  </si>
  <si>
    <t>1326553</t>
  </si>
  <si>
    <t>رانيا الحسنات</t>
  </si>
  <si>
    <t>10197852</t>
  </si>
  <si>
    <t>40387144</t>
  </si>
  <si>
    <t>10056744</t>
  </si>
  <si>
    <t>1518361</t>
  </si>
  <si>
    <t>طه سعيدات</t>
  </si>
  <si>
    <t>12041429</t>
  </si>
  <si>
    <t>12041594</t>
  </si>
  <si>
    <t>1518359</t>
  </si>
  <si>
    <t>رائد السعيدات</t>
  </si>
  <si>
    <t>12041423</t>
  </si>
  <si>
    <t>1518360</t>
  </si>
  <si>
    <t>جميل السعيدات</t>
  </si>
  <si>
    <t>12041426</t>
  </si>
  <si>
    <t>1518362</t>
  </si>
  <si>
    <t>ميساء السعيدات</t>
  </si>
  <si>
    <t>12041432</t>
  </si>
  <si>
    <t>1518363</t>
  </si>
  <si>
    <t>براء ابو درويش</t>
  </si>
  <si>
    <t>12041435</t>
  </si>
  <si>
    <t>10726062</t>
  </si>
  <si>
    <t>2026-01-25</t>
  </si>
  <si>
    <t>1326624</t>
  </si>
  <si>
    <t>حنان الشعيبات</t>
  </si>
  <si>
    <t>12009370</t>
  </si>
  <si>
    <t>10608813</t>
  </si>
  <si>
    <t>11914398</t>
  </si>
  <si>
    <t>1518354</t>
  </si>
  <si>
    <t>ليث الخليفات</t>
  </si>
  <si>
    <t>12041405</t>
  </si>
  <si>
    <t>1325900</t>
  </si>
  <si>
    <t>معتصم الطويسي</t>
  </si>
  <si>
    <t>10407646</t>
  </si>
  <si>
    <t>2026-01-26</t>
  </si>
  <si>
    <t>12375286</t>
  </si>
  <si>
    <t>10409449</t>
  </si>
  <si>
    <t>10408659</t>
  </si>
  <si>
    <t>10407100</t>
  </si>
  <si>
    <t>حسين علي النصرات</t>
  </si>
  <si>
    <t>10405846</t>
  </si>
  <si>
    <t>1327644</t>
  </si>
  <si>
    <t>كرم نايل الفضول</t>
  </si>
  <si>
    <t>40413279</t>
  </si>
  <si>
    <t>2026-01-27</t>
  </si>
  <si>
    <t>10408952</t>
  </si>
  <si>
    <t>40413635</t>
  </si>
  <si>
    <t>10607891</t>
  </si>
  <si>
    <t>1518440</t>
  </si>
  <si>
    <t>فهد عمر</t>
  </si>
  <si>
    <t>12041612</t>
  </si>
  <si>
    <t>1518328</t>
  </si>
  <si>
    <t>كوكب العمرات</t>
  </si>
  <si>
    <t>8261942</t>
  </si>
  <si>
    <t>1518327</t>
  </si>
  <si>
    <t>عبدالله السلامين</t>
  </si>
  <si>
    <t>6654936</t>
  </si>
  <si>
    <t>1518515</t>
  </si>
  <si>
    <t>40418002</t>
  </si>
  <si>
    <t>1518516</t>
  </si>
  <si>
    <t>12041849</t>
  </si>
  <si>
    <t>محمد غيث الحسنات</t>
  </si>
  <si>
    <t>40431200</t>
  </si>
  <si>
    <t>2026-01-28</t>
  </si>
  <si>
    <t>1328520</t>
  </si>
  <si>
    <t>ختام الحسنات</t>
  </si>
  <si>
    <t>40430672</t>
  </si>
  <si>
    <t>1518358</t>
  </si>
  <si>
    <t>صفاء الخليفات</t>
  </si>
  <si>
    <t>12041417</t>
  </si>
  <si>
    <t>1518623</t>
  </si>
  <si>
    <t>يامن ضرار النوافلة</t>
  </si>
  <si>
    <t>12042179</t>
  </si>
  <si>
    <t>10728850</t>
  </si>
  <si>
    <t>2026-01-29</t>
  </si>
  <si>
    <t>10198232</t>
  </si>
  <si>
    <t>10409618</t>
  </si>
  <si>
    <t>لين خالد محمد الزعبي</t>
  </si>
  <si>
    <t>40439162</t>
  </si>
  <si>
    <t>محمد هلالات</t>
  </si>
  <si>
    <t>10610611</t>
  </si>
  <si>
    <t>10196610</t>
  </si>
  <si>
    <t>2026-01-30</t>
  </si>
  <si>
    <t>1329703</t>
  </si>
  <si>
    <t>اميره السلامين</t>
  </si>
  <si>
    <t>983384</t>
  </si>
  <si>
    <t>2620961</t>
  </si>
  <si>
    <t>ختام الخليفات</t>
  </si>
  <si>
    <t>10054205</t>
  </si>
  <si>
    <t>2026-01-31</t>
  </si>
  <si>
    <t>10728393</t>
  </si>
  <si>
    <t>1518454</t>
  </si>
  <si>
    <t>اسماء طويسي</t>
  </si>
  <si>
    <t>12041657</t>
  </si>
  <si>
    <t>10411091</t>
  </si>
  <si>
    <t>1326398</t>
  </si>
  <si>
    <t>9833391</t>
  </si>
  <si>
    <t>2026-02-01</t>
  </si>
  <si>
    <t>ريان الفلاحات</t>
  </si>
  <si>
    <t>10607155</t>
  </si>
  <si>
    <t>2026-02-02</t>
  </si>
  <si>
    <t>بان السبوع</t>
  </si>
  <si>
    <t>10408507</t>
  </si>
  <si>
    <t>10729622</t>
  </si>
  <si>
    <t>2026-02-03</t>
  </si>
  <si>
    <t>10728549</t>
  </si>
  <si>
    <t>10057580</t>
  </si>
  <si>
    <t>1326156</t>
  </si>
  <si>
    <t>يزيد الحسنات</t>
  </si>
  <si>
    <t>10057131</t>
  </si>
  <si>
    <t>10060331</t>
  </si>
  <si>
    <t>2026-02-04</t>
  </si>
  <si>
    <t>1518611</t>
  </si>
  <si>
    <t>10056674</t>
  </si>
  <si>
    <t>10197996</t>
  </si>
  <si>
    <t>1518393</t>
  </si>
  <si>
    <t>احمد المشاعلة</t>
  </si>
  <si>
    <t>12041528</t>
  </si>
  <si>
    <t>10061175</t>
  </si>
  <si>
    <t>2026-02-05</t>
  </si>
  <si>
    <t>1327580</t>
  </si>
  <si>
    <t>محمود الهباهبه</t>
  </si>
  <si>
    <t>10063443</t>
  </si>
  <si>
    <t>10195000</t>
  </si>
  <si>
    <t>امير النوافله</t>
  </si>
  <si>
    <t>10060218</t>
  </si>
  <si>
    <t>10409621</t>
  </si>
  <si>
    <t>1518444</t>
  </si>
  <si>
    <t>12041627</t>
  </si>
  <si>
    <t>2026-02-07</t>
  </si>
  <si>
    <t>29/04/2026</t>
  </si>
  <si>
    <t>10057595</t>
  </si>
  <si>
    <t>10060594</t>
  </si>
  <si>
    <t>10729326</t>
  </si>
  <si>
    <t>10196516</t>
  </si>
  <si>
    <t>10730303</t>
  </si>
  <si>
    <t>10062419</t>
  </si>
  <si>
    <t>12006670</t>
  </si>
  <si>
    <t>كفا النوافلة</t>
  </si>
  <si>
    <t>10055773</t>
  </si>
  <si>
    <t>10408505</t>
  </si>
  <si>
    <t>1518494</t>
  </si>
  <si>
    <t>كريم العمرات</t>
  </si>
  <si>
    <t>12041783</t>
  </si>
  <si>
    <t>12041415</t>
  </si>
  <si>
    <t>هناء النوافله</t>
  </si>
  <si>
    <t>10057689</t>
  </si>
  <si>
    <t>12041447</t>
  </si>
  <si>
    <t>دلال الخليفات</t>
  </si>
  <si>
    <t>2026-02-08</t>
  </si>
  <si>
    <t>12041451</t>
  </si>
  <si>
    <t>12008995</t>
  </si>
  <si>
    <t>2026-02-09</t>
  </si>
  <si>
    <t>10197740</t>
  </si>
  <si>
    <t>10727202</t>
  </si>
  <si>
    <t>أمير النوافلة</t>
  </si>
  <si>
    <t>10195758</t>
  </si>
  <si>
    <t>1328605</t>
  </si>
  <si>
    <t xml:space="preserve"> نسيم الطويسي</t>
  </si>
  <si>
    <t>10059765</t>
  </si>
  <si>
    <t>12006700</t>
  </si>
  <si>
    <t>10056184</t>
  </si>
  <si>
    <t>10609853</t>
  </si>
  <si>
    <t>2026-02-10</t>
  </si>
  <si>
    <t>1849262</t>
  </si>
  <si>
    <t>علي الرواجفه</t>
  </si>
  <si>
    <t>86863212</t>
  </si>
  <si>
    <t>40633488</t>
  </si>
  <si>
    <t>2026-02-11</t>
  </si>
  <si>
    <t>عماد علي الفلحات</t>
  </si>
  <si>
    <t>10726056</t>
  </si>
  <si>
    <t>12374999</t>
  </si>
  <si>
    <t>12041452</t>
  </si>
  <si>
    <t>10611091</t>
  </si>
  <si>
    <t>2026-02-12</t>
  </si>
  <si>
    <t>10729512</t>
  </si>
  <si>
    <t>10411008</t>
  </si>
  <si>
    <t>1327873</t>
  </si>
  <si>
    <t>سحر الخشمان</t>
  </si>
  <si>
    <t>13278225</t>
  </si>
  <si>
    <t>2026-02-13</t>
  </si>
  <si>
    <t>10197194</t>
  </si>
  <si>
    <t>2026-02-14</t>
  </si>
  <si>
    <t>10607156</t>
  </si>
  <si>
    <t>2026-02-15</t>
  </si>
  <si>
    <t>10057649</t>
  </si>
  <si>
    <t>10060011</t>
  </si>
  <si>
    <t>10055186</t>
  </si>
  <si>
    <t>10404309</t>
  </si>
  <si>
    <t>12008555</t>
  </si>
  <si>
    <t>1518471</t>
  </si>
  <si>
    <t>فوزية الحسنات</t>
  </si>
  <si>
    <t>12041711</t>
  </si>
  <si>
    <t>12544678</t>
  </si>
  <si>
    <t>2026-02-16</t>
  </si>
  <si>
    <t>10057651</t>
  </si>
  <si>
    <t>10062840</t>
  </si>
  <si>
    <t>10729753</t>
  </si>
  <si>
    <t>هيا هلالات</t>
  </si>
  <si>
    <t>10401423</t>
  </si>
  <si>
    <t>12375953</t>
  </si>
  <si>
    <t>10404704</t>
  </si>
  <si>
    <t>2026-02-17</t>
  </si>
  <si>
    <t>10407749</t>
  </si>
  <si>
    <t>10609492</t>
  </si>
  <si>
    <t>1518566</t>
  </si>
  <si>
    <t>12042002</t>
  </si>
  <si>
    <t>1518564</t>
  </si>
  <si>
    <t>12041997</t>
  </si>
  <si>
    <t>1518568</t>
  </si>
  <si>
    <t>يارا الحسنات</t>
  </si>
  <si>
    <t>12042008</t>
  </si>
  <si>
    <t>10609354</t>
  </si>
  <si>
    <t>2026-02-18</t>
  </si>
  <si>
    <t>1327053</t>
  </si>
  <si>
    <t>يوسف الشماسين</t>
  </si>
  <si>
    <t>9834098</t>
  </si>
  <si>
    <t>1328980</t>
  </si>
  <si>
    <t>المعتصم سليمان النوافلة</t>
  </si>
  <si>
    <t>10195760</t>
  </si>
  <si>
    <t>1518613</t>
  </si>
  <si>
    <t>فاطمة الفلاحات</t>
  </si>
  <si>
    <t>12042149</t>
  </si>
  <si>
    <t>حمزه ضيف العوضات</t>
  </si>
  <si>
    <t>10670198</t>
  </si>
  <si>
    <t>تالا بادي الفلحات</t>
  </si>
  <si>
    <t>جواد جبريل السلامين</t>
  </si>
  <si>
    <t>2026-02-19</t>
  </si>
  <si>
    <t>ملاك البطاينه</t>
  </si>
  <si>
    <t>12041595</t>
  </si>
  <si>
    <t>10196612</t>
  </si>
  <si>
    <t>12585889</t>
  </si>
  <si>
    <t>10403854</t>
  </si>
  <si>
    <t>10060188</t>
  </si>
  <si>
    <t>رناد هلي محيسن العلايا</t>
  </si>
  <si>
    <t>40714879</t>
  </si>
  <si>
    <t>1518577</t>
  </si>
  <si>
    <t>موفق اسماعيل الفضول</t>
  </si>
  <si>
    <t>8262132مزمن شهر 1</t>
  </si>
  <si>
    <t>10195863</t>
  </si>
  <si>
    <t>2026-02-21</t>
  </si>
  <si>
    <t>10054784</t>
  </si>
  <si>
    <t>10198318</t>
  </si>
  <si>
    <t>1325575</t>
  </si>
  <si>
    <t>10055185</t>
  </si>
  <si>
    <t>1076848</t>
  </si>
  <si>
    <t>1518442</t>
  </si>
  <si>
    <t>محمد الرواضية</t>
  </si>
  <si>
    <t>12041621</t>
  </si>
  <si>
    <t>1335393</t>
  </si>
  <si>
    <t>الخنساء السلامين</t>
  </si>
  <si>
    <t>10060290</t>
  </si>
  <si>
    <t>1518391</t>
  </si>
  <si>
    <t>راشد المشاعله</t>
  </si>
  <si>
    <t>12041523</t>
  </si>
  <si>
    <t>1518344</t>
  </si>
  <si>
    <t>ايهم  الفلاحات</t>
  </si>
  <si>
    <t>12041376</t>
  </si>
  <si>
    <t>10060011/1</t>
  </si>
  <si>
    <t>يامن النوافلة</t>
  </si>
  <si>
    <t>12042180</t>
  </si>
  <si>
    <t>2026-02-22</t>
  </si>
  <si>
    <t>10728976</t>
  </si>
  <si>
    <t>1328981</t>
  </si>
  <si>
    <t>9831390</t>
  </si>
  <si>
    <t>10060642</t>
  </si>
  <si>
    <t>1518364</t>
  </si>
  <si>
    <t>12041438</t>
  </si>
  <si>
    <t>عبد المطلب الحسنات</t>
  </si>
  <si>
    <t>10408978</t>
  </si>
  <si>
    <t>1377940</t>
  </si>
  <si>
    <t>ميرا النصرات</t>
  </si>
  <si>
    <t>10198920</t>
  </si>
  <si>
    <t>2026-02-23</t>
  </si>
  <si>
    <t>ايمان جدوع الاسمر</t>
  </si>
  <si>
    <t>10726849</t>
  </si>
  <si>
    <t>40745322</t>
  </si>
  <si>
    <t>10607860</t>
  </si>
  <si>
    <t>2026-02-24</t>
  </si>
  <si>
    <t>10063199</t>
  </si>
  <si>
    <t>صالح الرواضيه</t>
  </si>
  <si>
    <t>10055220</t>
  </si>
  <si>
    <t>12547864</t>
  </si>
  <si>
    <t>12588782</t>
  </si>
  <si>
    <t>2026-02-25</t>
  </si>
  <si>
    <t>10053938</t>
  </si>
  <si>
    <t>12376972</t>
  </si>
  <si>
    <t>1518656</t>
  </si>
  <si>
    <t>12042282</t>
  </si>
  <si>
    <t>2026-02-26</t>
  </si>
  <si>
    <t>10061357</t>
  </si>
  <si>
    <t>1328401</t>
  </si>
  <si>
    <t>ايه محمد عيسى الفرجات</t>
  </si>
  <si>
    <t>40774515</t>
  </si>
  <si>
    <t>1327997</t>
  </si>
  <si>
    <t>بيلسان النوافلة</t>
  </si>
  <si>
    <t>9834967</t>
  </si>
  <si>
    <t>1518657</t>
  </si>
  <si>
    <t>جمانه  البدور</t>
  </si>
  <si>
    <t>40776738</t>
  </si>
  <si>
    <t>10410987</t>
  </si>
  <si>
    <t>1496238</t>
  </si>
  <si>
    <t>10632318</t>
  </si>
  <si>
    <t>10729693</t>
  </si>
  <si>
    <t>2026-02-27</t>
  </si>
  <si>
    <t>1518607</t>
  </si>
  <si>
    <t>بترا النوافلة</t>
  </si>
  <si>
    <t>12042131</t>
  </si>
  <si>
    <t>2026-02-28</t>
  </si>
  <si>
    <t>10057696</t>
  </si>
  <si>
    <t>10057677</t>
  </si>
  <si>
    <t>10198123</t>
  </si>
  <si>
    <t>تسنيم الفلحات</t>
  </si>
  <si>
    <t>10057832</t>
  </si>
  <si>
    <t>1518605</t>
  </si>
  <si>
    <t>بلال النوافلة</t>
  </si>
  <si>
    <t>12042126</t>
  </si>
  <si>
    <t>1330417</t>
  </si>
  <si>
    <t>سناء اسماعيل</t>
  </si>
  <si>
    <t>10401486</t>
  </si>
  <si>
    <t>مزمن شهر 2 -716718</t>
  </si>
  <si>
    <t>12375495</t>
  </si>
  <si>
    <t>2026-03-01</t>
  </si>
  <si>
    <t>12377860</t>
  </si>
  <si>
    <t>1336657</t>
  </si>
  <si>
    <t>بانا عماد النوافلة</t>
  </si>
  <si>
    <t>10402271</t>
  </si>
  <si>
    <t>1336704</t>
  </si>
  <si>
    <t>شروق الهلالات</t>
  </si>
  <si>
    <t>10063687</t>
  </si>
  <si>
    <t>82620961</t>
  </si>
  <si>
    <t>خليفه هلالات</t>
  </si>
  <si>
    <t>10409619</t>
  </si>
  <si>
    <t>2026-03-02</t>
  </si>
  <si>
    <t>10408979</t>
  </si>
  <si>
    <t>10409082</t>
  </si>
  <si>
    <t>2026-03-03</t>
  </si>
  <si>
    <t>10409163</t>
  </si>
  <si>
    <t>1329383</t>
  </si>
  <si>
    <t>جمانه الحسنات</t>
  </si>
  <si>
    <t>9831878</t>
  </si>
  <si>
    <t>10063593</t>
  </si>
  <si>
    <t>1327577</t>
  </si>
  <si>
    <t>كنده النصرات</t>
  </si>
  <si>
    <t>10063439</t>
  </si>
  <si>
    <t>2026-03-04</t>
  </si>
  <si>
    <t>10411305</t>
  </si>
  <si>
    <t>10404975</t>
  </si>
  <si>
    <t>133849</t>
  </si>
  <si>
    <t>آدم السبوع</t>
  </si>
  <si>
    <t>10411053</t>
  </si>
  <si>
    <t>1534877</t>
  </si>
  <si>
    <t>وهيب الحمادين</t>
  </si>
  <si>
    <t>12616210</t>
  </si>
  <si>
    <t>2026-03-05</t>
  </si>
  <si>
    <t>02/06/2026</t>
  </si>
  <si>
    <t>عبد الرحمن النوافله</t>
  </si>
  <si>
    <t>10729825</t>
  </si>
  <si>
    <t>1534668</t>
  </si>
  <si>
    <t>12615578</t>
  </si>
  <si>
    <t>1518703</t>
  </si>
  <si>
    <t>معاذ محمد الحسنات</t>
  </si>
  <si>
    <t>12041102</t>
  </si>
  <si>
    <t>1534895</t>
  </si>
  <si>
    <t>سامح الحمادين</t>
  </si>
  <si>
    <t>12616306</t>
  </si>
  <si>
    <t>عطالله محمد السلامين</t>
  </si>
  <si>
    <t>10729321</t>
  </si>
  <si>
    <t>1518704</t>
  </si>
  <si>
    <t>سالي الحسنات</t>
  </si>
  <si>
    <t>12041105</t>
  </si>
  <si>
    <t>1518702</t>
  </si>
  <si>
    <t>سامر الحسنات</t>
  </si>
  <si>
    <t>12041099</t>
  </si>
  <si>
    <t>1518705</t>
  </si>
  <si>
    <t>انهار الحسنات</t>
  </si>
  <si>
    <t>12041108</t>
  </si>
  <si>
    <t>ثامر عطا محمد السلامين</t>
  </si>
  <si>
    <t>10410153</t>
  </si>
  <si>
    <t>10405508</t>
  </si>
  <si>
    <t>1329070</t>
  </si>
  <si>
    <t>10607832</t>
  </si>
  <si>
    <t>1534770</t>
  </si>
  <si>
    <t>ديالا الفرجات</t>
  </si>
  <si>
    <t>12615838</t>
  </si>
  <si>
    <t>2026-03-07</t>
  </si>
  <si>
    <t>1534998</t>
  </si>
  <si>
    <t>حليمة الصبيحات</t>
  </si>
  <si>
    <t>12616762</t>
  </si>
  <si>
    <t>ليث الفلاحات</t>
  </si>
  <si>
    <t>10058064</t>
  </si>
  <si>
    <t>12007459</t>
  </si>
  <si>
    <t>1534841</t>
  </si>
  <si>
    <t>مريم فؤاد السلامين</t>
  </si>
  <si>
    <t>12616402</t>
  </si>
  <si>
    <t>1329855</t>
  </si>
  <si>
    <t>محمد الفلحات</t>
  </si>
  <si>
    <t>10056532</t>
  </si>
  <si>
    <t>2026-03-08</t>
  </si>
  <si>
    <t>10411294</t>
  </si>
  <si>
    <t>10728152</t>
  </si>
  <si>
    <t>1518624</t>
  </si>
  <si>
    <t>ضرار النوافلة</t>
  </si>
  <si>
    <t>12042182</t>
  </si>
  <si>
    <t>1328525</t>
  </si>
  <si>
    <t>امير الحسنات</t>
  </si>
  <si>
    <t>10607200</t>
  </si>
  <si>
    <t>10063171</t>
  </si>
  <si>
    <t>10407181</t>
  </si>
  <si>
    <t>10057383</t>
  </si>
  <si>
    <t>1534948</t>
  </si>
  <si>
    <t>سماح الصغير</t>
  </si>
  <si>
    <t>12615494</t>
  </si>
  <si>
    <t>12545173</t>
  </si>
  <si>
    <t>2026-03-09</t>
  </si>
  <si>
    <t>82621671</t>
  </si>
  <si>
    <t>10060540</t>
  </si>
  <si>
    <t>1500463</t>
  </si>
  <si>
    <t>احلام الخليفات</t>
  </si>
  <si>
    <t>10741126</t>
  </si>
  <si>
    <t>10060627</t>
  </si>
  <si>
    <t>2026-03-10</t>
  </si>
  <si>
    <t>1518679</t>
  </si>
  <si>
    <t>فهد النوافلة</t>
  </si>
  <si>
    <t>12041030</t>
  </si>
  <si>
    <t>12584189</t>
  </si>
  <si>
    <t>1534795</t>
  </si>
  <si>
    <t>محمد</t>
  </si>
  <si>
    <t>12615942</t>
  </si>
  <si>
    <t>11914399</t>
  </si>
  <si>
    <t>10726763</t>
  </si>
  <si>
    <t>1040613</t>
  </si>
  <si>
    <t>2026-03-11</t>
  </si>
  <si>
    <t>10060108</t>
  </si>
  <si>
    <t>10403554</t>
  </si>
  <si>
    <t>2026-03-12</t>
  </si>
  <si>
    <t>1535648</t>
  </si>
  <si>
    <t>عامر النوافلة</t>
  </si>
  <si>
    <t>12644806</t>
  </si>
  <si>
    <t>1518333</t>
  </si>
  <si>
    <t>محمود الخليفات</t>
  </si>
  <si>
    <t>12041342</t>
  </si>
  <si>
    <t>12041614</t>
  </si>
  <si>
    <t>10409154</t>
  </si>
  <si>
    <t>40963141</t>
  </si>
  <si>
    <t>1518334</t>
  </si>
  <si>
    <t>ودعة السعيدات</t>
  </si>
  <si>
    <t>12041345</t>
  </si>
  <si>
    <t>1518730</t>
  </si>
  <si>
    <t>فؤاد الهلالات</t>
  </si>
  <si>
    <t>12041190</t>
  </si>
  <si>
    <t>2026-03-14</t>
  </si>
  <si>
    <t>طه السعيدات</t>
  </si>
  <si>
    <t>12041430</t>
  </si>
  <si>
    <t>10408010</t>
  </si>
  <si>
    <t>1534996</t>
  </si>
  <si>
    <t>انس السلامين</t>
  </si>
  <si>
    <t>12616746</t>
  </si>
  <si>
    <t>1327219</t>
  </si>
  <si>
    <t>علي الجازي</t>
  </si>
  <si>
    <t>10063091</t>
  </si>
  <si>
    <t>12375394</t>
  </si>
  <si>
    <t>10063141</t>
  </si>
  <si>
    <t>10728735</t>
  </si>
  <si>
    <t>1534902</t>
  </si>
  <si>
    <t>صدام الحمادين</t>
  </si>
  <si>
    <t>12616334</t>
  </si>
  <si>
    <t>1451815</t>
  </si>
  <si>
    <t>10061567</t>
  </si>
  <si>
    <t>10197698</t>
  </si>
  <si>
    <t>2026-03-15</t>
  </si>
  <si>
    <t>10407619</t>
  </si>
  <si>
    <t>10725487</t>
  </si>
  <si>
    <t>1327964</t>
  </si>
  <si>
    <t>10059034</t>
  </si>
  <si>
    <t>10057389</t>
  </si>
  <si>
    <t>1534976</t>
  </si>
  <si>
    <t>12616666</t>
  </si>
  <si>
    <t>2026-03-16</t>
  </si>
  <si>
    <t>1327646</t>
  </si>
  <si>
    <t>كايد الفضول</t>
  </si>
  <si>
    <t>10058678</t>
  </si>
  <si>
    <t>1327642</t>
  </si>
  <si>
    <t>سناء الفلحات</t>
  </si>
  <si>
    <t>1041107</t>
  </si>
  <si>
    <t>10609196</t>
  </si>
  <si>
    <t>12009740</t>
  </si>
  <si>
    <t>1329116</t>
  </si>
  <si>
    <t>احمد الخلايفه</t>
  </si>
  <si>
    <t>10726786</t>
  </si>
  <si>
    <t>2026-03-17</t>
  </si>
  <si>
    <t>12041593</t>
  </si>
  <si>
    <t>41008964</t>
  </si>
  <si>
    <t>1518485</t>
  </si>
  <si>
    <t>فوزيه الحسنات</t>
  </si>
  <si>
    <t>12041753</t>
  </si>
  <si>
    <t>10408953</t>
  </si>
  <si>
    <t>1518484</t>
  </si>
  <si>
    <t>سند ابراهيم الحسنات</t>
  </si>
  <si>
    <t>12041750</t>
  </si>
  <si>
    <t>15348800</t>
  </si>
  <si>
    <t>ليان الحمادين</t>
  </si>
  <si>
    <t>12616222</t>
  </si>
  <si>
    <t>10607835</t>
  </si>
  <si>
    <t>2026-03-18</t>
  </si>
  <si>
    <t>12011171</t>
  </si>
  <si>
    <t>10196160</t>
  </si>
  <si>
    <t>12041433</t>
  </si>
  <si>
    <t>رائد سعيدات</t>
  </si>
  <si>
    <t>12041424</t>
  </si>
  <si>
    <t>12041712</t>
  </si>
  <si>
    <t>12041427</t>
  </si>
  <si>
    <t>2026-03-19</t>
  </si>
  <si>
    <t>10055182</t>
  </si>
  <si>
    <t>10609804</t>
  </si>
  <si>
    <t>12008761</t>
  </si>
  <si>
    <t>12042150</t>
  </si>
  <si>
    <t>ليان عبدالله النوافلة</t>
  </si>
  <si>
    <t>10199002</t>
  </si>
  <si>
    <t>1534876</t>
  </si>
  <si>
    <t>علي العلايا</t>
  </si>
  <si>
    <t>12616206</t>
  </si>
  <si>
    <t>10609694</t>
  </si>
  <si>
    <t>41026767</t>
  </si>
  <si>
    <t>12546270</t>
  </si>
  <si>
    <t>2026-03-20</t>
  </si>
  <si>
    <t>11914408</t>
  </si>
  <si>
    <t>2026-03-21</t>
  </si>
  <si>
    <t>11914414</t>
  </si>
  <si>
    <t>1534607</t>
  </si>
  <si>
    <t>عثمان الهلالات</t>
  </si>
  <si>
    <t>12615422</t>
  </si>
  <si>
    <t>2026-03-22</t>
  </si>
  <si>
    <t>المعتصم النوافلة</t>
  </si>
  <si>
    <t>10404716</t>
  </si>
  <si>
    <t>1327631</t>
  </si>
  <si>
    <t>شدن الهلالات</t>
  </si>
  <si>
    <t>10411085</t>
  </si>
  <si>
    <t>12010417</t>
  </si>
  <si>
    <t>10058579</t>
  </si>
  <si>
    <t>9832917</t>
  </si>
  <si>
    <t>انتصار النوافلة</t>
  </si>
  <si>
    <t>1325903</t>
  </si>
  <si>
    <t>12373549</t>
  </si>
  <si>
    <t>1325305</t>
  </si>
  <si>
    <t>ايلاف السلامين</t>
  </si>
  <si>
    <t>10057324</t>
  </si>
  <si>
    <t>2026-03-23</t>
  </si>
  <si>
    <t>12041622</t>
  </si>
  <si>
    <t>10607185</t>
  </si>
  <si>
    <t>1518439</t>
  </si>
  <si>
    <t>وسيم الرواضية</t>
  </si>
  <si>
    <t>12041609</t>
  </si>
  <si>
    <t>12376600</t>
  </si>
  <si>
    <t>2026-03-24</t>
  </si>
  <si>
    <t>10056467</t>
  </si>
  <si>
    <t>10406406</t>
  </si>
  <si>
    <t>1534875</t>
  </si>
  <si>
    <t>لانا المعاني</t>
  </si>
  <si>
    <t>12616202</t>
  </si>
  <si>
    <t>1534763</t>
  </si>
  <si>
    <t>الاء علايا</t>
  </si>
  <si>
    <t>12615810</t>
  </si>
  <si>
    <t>10405504</t>
  </si>
  <si>
    <t>1325306</t>
  </si>
  <si>
    <t>ابها السلامين</t>
  </si>
  <si>
    <t>10057325</t>
  </si>
  <si>
    <t>1534874</t>
  </si>
  <si>
    <t>اركان الشماسين</t>
  </si>
  <si>
    <t>12616198</t>
  </si>
  <si>
    <t>12616307</t>
  </si>
  <si>
    <t>2026-03-25</t>
  </si>
  <si>
    <t>نسيم الطويسي</t>
  </si>
  <si>
    <t>10195322</t>
  </si>
  <si>
    <t>12041406</t>
  </si>
  <si>
    <t>1534773</t>
  </si>
  <si>
    <t>كوثر الغنيمات</t>
  </si>
  <si>
    <t>12615850</t>
  </si>
  <si>
    <t>1534878</t>
  </si>
  <si>
    <t>امل الحلبي</t>
  </si>
  <si>
    <t>12616214</t>
  </si>
  <si>
    <t>1518612</t>
  </si>
  <si>
    <t>تالا الفلاحات</t>
  </si>
  <si>
    <t>12042147</t>
  </si>
  <si>
    <t>10408582</t>
  </si>
  <si>
    <t>10058917</t>
  </si>
  <si>
    <t>2026-03-26</t>
  </si>
  <si>
    <t>12041100</t>
  </si>
  <si>
    <t>2026-03-28</t>
  </si>
  <si>
    <t>1329381</t>
  </si>
  <si>
    <t>منال الشماسين</t>
  </si>
  <si>
    <t>10405620</t>
  </si>
  <si>
    <t>12009666</t>
  </si>
  <si>
    <t>10196144</t>
  </si>
  <si>
    <t>1329382</t>
  </si>
  <si>
    <t>ماريا الحسنات</t>
  </si>
  <si>
    <t>9831877</t>
  </si>
  <si>
    <t>1534885</t>
  </si>
  <si>
    <t>هيثم النوافلة</t>
  </si>
  <si>
    <t>12616262</t>
  </si>
  <si>
    <t>101953221</t>
  </si>
  <si>
    <t>10404676</t>
  </si>
  <si>
    <t>1534802</t>
  </si>
  <si>
    <t>يحيى الطربلسي</t>
  </si>
  <si>
    <t>12615970</t>
  </si>
  <si>
    <t>معاذ الحسنات</t>
  </si>
  <si>
    <t>12041103</t>
  </si>
  <si>
    <t>10197636</t>
  </si>
  <si>
    <t>10409626</t>
  </si>
  <si>
    <t>1327791</t>
  </si>
  <si>
    <t>عمار الهلالات</t>
  </si>
  <si>
    <t>10729986</t>
  </si>
  <si>
    <t>12041106</t>
  </si>
  <si>
    <t>12041109</t>
  </si>
  <si>
    <t>10061497</t>
  </si>
  <si>
    <t>سوسن يحيى النصرات</t>
  </si>
  <si>
    <t>29032026</t>
  </si>
  <si>
    <t>2026-03-29</t>
  </si>
  <si>
    <t>وسام عبدالله النوافله</t>
  </si>
  <si>
    <t>41091008</t>
  </si>
  <si>
    <t>رها الفلاحات</t>
  </si>
  <si>
    <t>10403566</t>
  </si>
  <si>
    <t>1328032</t>
  </si>
  <si>
    <t>زيد الخلايفه</t>
  </si>
  <si>
    <t>10054273</t>
  </si>
  <si>
    <t>1518604</t>
  </si>
  <si>
    <t>12042122</t>
  </si>
  <si>
    <t>1518549</t>
  </si>
  <si>
    <t>محمد الفضول</t>
  </si>
  <si>
    <t>12041951</t>
  </si>
  <si>
    <t>12006675</t>
  </si>
  <si>
    <t>9891056290</t>
  </si>
  <si>
    <t>احمد ابخيث النوافله</t>
  </si>
  <si>
    <t>تماضر يحيى عبدالله النصرات</t>
  </si>
  <si>
    <t>41090854</t>
  </si>
  <si>
    <t>12010892</t>
  </si>
  <si>
    <t>2026-03-30</t>
  </si>
  <si>
    <t>10401418</t>
  </si>
  <si>
    <t>1329705</t>
  </si>
  <si>
    <t>الين السلامين</t>
  </si>
  <si>
    <t>10056287</t>
  </si>
  <si>
    <t>107299920</t>
  </si>
  <si>
    <t>12616763</t>
  </si>
  <si>
    <t>1534997</t>
  </si>
  <si>
    <t>سليمان العمرات</t>
  </si>
  <si>
    <t>12616758</t>
  </si>
  <si>
    <t>1327795</t>
  </si>
  <si>
    <t>10199163</t>
  </si>
  <si>
    <t>1534879</t>
  </si>
  <si>
    <t>مناف الحمادين</t>
  </si>
  <si>
    <t>12616218</t>
  </si>
  <si>
    <t>1536076</t>
  </si>
  <si>
    <t>مشخص الفضول</t>
  </si>
  <si>
    <t>12694013</t>
  </si>
  <si>
    <t>10729992</t>
  </si>
  <si>
    <t>10411475</t>
  </si>
  <si>
    <t>1518381</t>
  </si>
  <si>
    <t>نداء العوامرة</t>
  </si>
  <si>
    <t>41106436</t>
  </si>
  <si>
    <t>1536075</t>
  </si>
  <si>
    <t>خالد هارون الفرجات</t>
  </si>
  <si>
    <t>8519551</t>
  </si>
  <si>
    <t>2026-03-31</t>
  </si>
  <si>
    <t>10728100</t>
  </si>
  <si>
    <t>1534845</t>
  </si>
  <si>
    <t>معاذ السلامين</t>
  </si>
  <si>
    <t>12616530</t>
  </si>
  <si>
    <t>1534777</t>
  </si>
  <si>
    <t>عمار الحراكي</t>
  </si>
  <si>
    <t>12615867</t>
  </si>
  <si>
    <t>15346444</t>
  </si>
  <si>
    <t>12615478</t>
  </si>
  <si>
    <t>12042003</t>
  </si>
  <si>
    <t>2026-04-01</t>
  </si>
  <si>
    <t>15/06/2026</t>
  </si>
  <si>
    <t>12041998</t>
  </si>
  <si>
    <t>1518567</t>
  </si>
  <si>
    <t>تالا الحسنات</t>
  </si>
  <si>
    <t>12042005</t>
  </si>
  <si>
    <t>1534958</t>
  </si>
  <si>
    <t>أمل السلامين</t>
  </si>
  <si>
    <t>12616591</t>
  </si>
  <si>
    <t>12042009</t>
  </si>
  <si>
    <t>10198494</t>
  </si>
  <si>
    <t>82621672</t>
  </si>
  <si>
    <t>2026-04-02</t>
  </si>
  <si>
    <t>1534661</t>
  </si>
  <si>
    <t>احمد ابو سالم</t>
  </si>
  <si>
    <t>12615550</t>
  </si>
  <si>
    <t>2026-04-03</t>
  </si>
  <si>
    <t>1534659</t>
  </si>
  <si>
    <t>هديل النادي</t>
  </si>
  <si>
    <t>12615542</t>
  </si>
  <si>
    <t>15347723</t>
  </si>
  <si>
    <t>ايهاب الحسنات</t>
  </si>
  <si>
    <t>12615750</t>
  </si>
  <si>
    <t>12615551</t>
  </si>
  <si>
    <t>2026-04-05</t>
  </si>
  <si>
    <t>12615839</t>
  </si>
  <si>
    <t>1534644</t>
  </si>
  <si>
    <t>12615479</t>
  </si>
  <si>
    <t>10726437</t>
  </si>
  <si>
    <t>10728394</t>
  </si>
  <si>
    <t>1327962</t>
  </si>
  <si>
    <t>باسل النوافلة</t>
  </si>
  <si>
    <t>10054209</t>
  </si>
  <si>
    <t>10405847</t>
  </si>
  <si>
    <t>10196606</t>
  </si>
  <si>
    <t>10056285</t>
  </si>
  <si>
    <t>12586554</t>
  </si>
  <si>
    <t>بانا النوافلة</t>
  </si>
  <si>
    <t>10058568</t>
  </si>
  <si>
    <t>1534959</t>
  </si>
  <si>
    <t>فاطمة السعيدات</t>
  </si>
  <si>
    <t>12616594</t>
  </si>
  <si>
    <t>12616748</t>
  </si>
  <si>
    <t>2026-04-06</t>
  </si>
  <si>
    <t>موفق الفضول</t>
  </si>
  <si>
    <t>12042039</t>
  </si>
  <si>
    <t>12041754</t>
  </si>
  <si>
    <t>سند الحسنات</t>
  </si>
  <si>
    <t>12041751</t>
  </si>
  <si>
    <t>10607526</t>
  </si>
  <si>
    <t>10670183</t>
  </si>
  <si>
    <t>1329285</t>
  </si>
  <si>
    <t>جوري العودات</t>
  </si>
  <si>
    <t>10060597</t>
  </si>
  <si>
    <t>1329380</t>
  </si>
  <si>
    <t>10060702</t>
  </si>
  <si>
    <t>10062404</t>
  </si>
  <si>
    <t>مطر الخليفات</t>
  </si>
  <si>
    <t>12041409</t>
  </si>
  <si>
    <t>2026-04-07</t>
  </si>
  <si>
    <t>سلمى الخليفات</t>
  </si>
  <si>
    <t>12041416</t>
  </si>
  <si>
    <t>10728708</t>
  </si>
  <si>
    <t>10409168</t>
  </si>
  <si>
    <t>10409812</t>
  </si>
  <si>
    <t>12586097</t>
  </si>
  <si>
    <t>10197069</t>
  </si>
  <si>
    <t>1534839</t>
  </si>
  <si>
    <t>فؤاد السلامين</t>
  </si>
  <si>
    <t>12616395</t>
  </si>
  <si>
    <t>2026-04-08</t>
  </si>
  <si>
    <t>10728757</t>
  </si>
  <si>
    <t>10405619</t>
  </si>
  <si>
    <t>1534838</t>
  </si>
  <si>
    <t>سماح النوافلة</t>
  </si>
  <si>
    <t>12616391</t>
  </si>
  <si>
    <t>1536971</t>
  </si>
  <si>
    <t>126900558</t>
  </si>
  <si>
    <t>12616199</t>
  </si>
  <si>
    <t>2026-04-09</t>
  </si>
  <si>
    <t>1518464</t>
  </si>
  <si>
    <t>حسن الهلالات</t>
  </si>
  <si>
    <t>12041690</t>
  </si>
  <si>
    <t>12616203</t>
  </si>
  <si>
    <t>12009149</t>
  </si>
  <si>
    <t>10610169</t>
  </si>
  <si>
    <t>1327045</t>
  </si>
  <si>
    <t>باسم السبوع</t>
  </si>
  <si>
    <t>10409924</t>
  </si>
  <si>
    <t>10198620</t>
  </si>
  <si>
    <t>ايه فرجات</t>
  </si>
  <si>
    <t>12543926</t>
  </si>
  <si>
    <t>1438864</t>
  </si>
  <si>
    <t>عرار السبوع</t>
  </si>
  <si>
    <t>10198384</t>
  </si>
  <si>
    <t>1536860</t>
  </si>
  <si>
    <t>رجا المناجعة</t>
  </si>
  <si>
    <t>12685811</t>
  </si>
  <si>
    <t>جمانه البدور</t>
  </si>
  <si>
    <t>12717832</t>
  </si>
  <si>
    <t>2026-04-11</t>
  </si>
  <si>
    <t>12717146</t>
  </si>
  <si>
    <t>12717830</t>
  </si>
  <si>
    <t>1534932</t>
  </si>
  <si>
    <t>فاطمة النوافلة</t>
  </si>
  <si>
    <t>12616482</t>
  </si>
  <si>
    <t>10198203</t>
  </si>
  <si>
    <t>10198204</t>
  </si>
  <si>
    <t>1325868</t>
  </si>
  <si>
    <t>فجر النصرات</t>
  </si>
  <si>
    <t>10407567</t>
  </si>
  <si>
    <t>1328295</t>
  </si>
  <si>
    <t>10725857</t>
  </si>
  <si>
    <t>10407574</t>
  </si>
  <si>
    <t>11914400</t>
  </si>
  <si>
    <t>2026-04-12</t>
  </si>
  <si>
    <t>10061720</t>
  </si>
  <si>
    <t>10728681</t>
  </si>
  <si>
    <t>12544052</t>
  </si>
  <si>
    <t>نور الطويسي</t>
  </si>
  <si>
    <t>10056185</t>
  </si>
  <si>
    <t>10197904</t>
  </si>
  <si>
    <t>1534655</t>
  </si>
  <si>
    <t>زياد النوافلة</t>
  </si>
  <si>
    <t>12615526</t>
  </si>
  <si>
    <t>2026-04-13</t>
  </si>
  <si>
    <t>1535099</t>
  </si>
  <si>
    <t>12617549</t>
  </si>
  <si>
    <t>1534608</t>
  </si>
  <si>
    <t>شاديه السلامين</t>
  </si>
  <si>
    <t>12615427</t>
  </si>
  <si>
    <t>1534834</t>
  </si>
  <si>
    <t>مهند النوافلة</t>
  </si>
  <si>
    <t>12616234</t>
  </si>
  <si>
    <t>1534622</t>
  </si>
  <si>
    <t>احمد العتون</t>
  </si>
  <si>
    <t>12615375</t>
  </si>
  <si>
    <t>12041031</t>
  </si>
  <si>
    <t>10405147</t>
  </si>
  <si>
    <t>10405148</t>
  </si>
  <si>
    <t>126165941</t>
  </si>
  <si>
    <t>1534961</t>
  </si>
  <si>
    <t>12616602</t>
  </si>
  <si>
    <t>1534962</t>
  </si>
  <si>
    <t>12616606</t>
  </si>
  <si>
    <t>1534981</t>
  </si>
  <si>
    <t>عماد العلايا</t>
  </si>
  <si>
    <t>41336335</t>
  </si>
  <si>
    <t>2026-04-14</t>
  </si>
  <si>
    <t>12616686</t>
  </si>
  <si>
    <t>1534747</t>
  </si>
  <si>
    <t>عامر السلامين</t>
  </si>
  <si>
    <t>12615738</t>
  </si>
  <si>
    <t>10609795</t>
  </si>
  <si>
    <t>41343776</t>
  </si>
  <si>
    <t>41341678</t>
  </si>
  <si>
    <t>1535043</t>
  </si>
  <si>
    <t>12617287</t>
  </si>
  <si>
    <t>1535044</t>
  </si>
  <si>
    <t>12617288</t>
  </si>
  <si>
    <t>1537533</t>
  </si>
  <si>
    <t>ظبية الوليع</t>
  </si>
  <si>
    <t>12710594</t>
  </si>
  <si>
    <t>2026-04-15</t>
  </si>
  <si>
    <t>طارق الفلاحات</t>
  </si>
  <si>
    <t>10196852</t>
  </si>
  <si>
    <t>1518522</t>
  </si>
  <si>
    <t>سهام السلامين</t>
  </si>
  <si>
    <t>12041867</t>
  </si>
  <si>
    <t>2026-04-16</t>
  </si>
  <si>
    <t>1518329</t>
  </si>
  <si>
    <t>علي الطويسي</t>
  </si>
  <si>
    <t>12041330</t>
  </si>
  <si>
    <t>12041445</t>
  </si>
  <si>
    <t>1518331</t>
  </si>
  <si>
    <t>ميار الطويسي</t>
  </si>
  <si>
    <t>12041336</t>
  </si>
  <si>
    <t>12616207</t>
  </si>
  <si>
    <t>12717396</t>
  </si>
  <si>
    <t>12717256</t>
  </si>
  <si>
    <t>شيماء الحسنات</t>
  </si>
  <si>
    <t>10057864</t>
  </si>
  <si>
    <t>10610113</t>
  </si>
  <si>
    <t>10062690</t>
  </si>
  <si>
    <t>10896419</t>
  </si>
  <si>
    <t>10986419</t>
  </si>
  <si>
    <t>معتز الفلاحات</t>
  </si>
  <si>
    <t>41365055</t>
  </si>
  <si>
    <t>41365217</t>
  </si>
  <si>
    <t>10611001</t>
  </si>
  <si>
    <t>12041343</t>
  </si>
  <si>
    <t>12041346</t>
  </si>
  <si>
    <t>1518650</t>
  </si>
  <si>
    <t>شاكر الحسنات</t>
  </si>
  <si>
    <t>12717816</t>
  </si>
  <si>
    <t>2026-04-17</t>
  </si>
  <si>
    <t>10404724</t>
  </si>
  <si>
    <t>1518365</t>
  </si>
  <si>
    <t>يزن خليفات</t>
  </si>
  <si>
    <t>12041443</t>
  </si>
  <si>
    <t>2026-04-18</t>
  </si>
  <si>
    <t>1518367</t>
  </si>
  <si>
    <t>داليا خليفات</t>
  </si>
  <si>
    <t>12041448</t>
  </si>
  <si>
    <t>12717257</t>
  </si>
  <si>
    <t>10405505</t>
  </si>
  <si>
    <t>20269512</t>
  </si>
  <si>
    <t>2026-04-19</t>
  </si>
  <si>
    <t>10408664</t>
  </si>
  <si>
    <t>10729515</t>
  </si>
  <si>
    <t>1327963</t>
  </si>
  <si>
    <t>ايلاف النوافلة</t>
  </si>
  <si>
    <t>9830180</t>
  </si>
  <si>
    <t>10061007</t>
  </si>
  <si>
    <t>12702127</t>
  </si>
  <si>
    <t>1534766</t>
  </si>
  <si>
    <t>زيد النوافلة</t>
  </si>
  <si>
    <t>12615822</t>
  </si>
  <si>
    <t>2026-04-20</t>
  </si>
  <si>
    <t>1534820</t>
  </si>
  <si>
    <t>احمد االسلامين</t>
  </si>
  <si>
    <t>12616043</t>
  </si>
  <si>
    <t>1535015</t>
  </si>
  <si>
    <t>نيرش كومار</t>
  </si>
  <si>
    <t>12616830</t>
  </si>
  <si>
    <t>12717044</t>
  </si>
  <si>
    <t>12616211</t>
  </si>
  <si>
    <t>12376752</t>
  </si>
  <si>
    <t>10610996</t>
  </si>
  <si>
    <t>41402535</t>
  </si>
  <si>
    <t>10729902</t>
  </si>
  <si>
    <t>12041428</t>
  </si>
  <si>
    <t>2026-04-21</t>
  </si>
  <si>
    <t>12041434</t>
  </si>
  <si>
    <t>1534758</t>
  </si>
  <si>
    <t>عبدالله العلايا</t>
  </si>
  <si>
    <t>12615786</t>
  </si>
  <si>
    <t>12377048</t>
  </si>
  <si>
    <t>12543263</t>
  </si>
  <si>
    <t>10610893</t>
  </si>
  <si>
    <t>علياء الحسنات</t>
  </si>
  <si>
    <t>12007375</t>
  </si>
  <si>
    <t>10608963</t>
  </si>
  <si>
    <t>1518690</t>
  </si>
  <si>
    <t>12041064</t>
  </si>
  <si>
    <t>2026-04-22</t>
  </si>
  <si>
    <t>1518691</t>
  </si>
  <si>
    <t>اليسار الحمادين</t>
  </si>
  <si>
    <t>12041067</t>
  </si>
  <si>
    <t>1518380</t>
  </si>
  <si>
    <t>معتز الرواضية</t>
  </si>
  <si>
    <t>12041487</t>
  </si>
  <si>
    <t>1518693</t>
  </si>
  <si>
    <t>ايات المساعدة</t>
  </si>
  <si>
    <t>12041074</t>
  </si>
  <si>
    <t>12041490</t>
  </si>
  <si>
    <t>1518689</t>
  </si>
  <si>
    <t>كريم الحمادين</t>
  </si>
  <si>
    <t>12041061</t>
  </si>
  <si>
    <t>12041070</t>
  </si>
  <si>
    <t>يافا الحمادين</t>
  </si>
  <si>
    <t>1518692</t>
  </si>
  <si>
    <t>عز الدين الحسنات</t>
  </si>
  <si>
    <t>10409570</t>
  </si>
  <si>
    <t>خليفة الحمادين</t>
  </si>
  <si>
    <t>10729074</t>
  </si>
  <si>
    <t>1329113</t>
  </si>
  <si>
    <t>انتصار العراقدة</t>
  </si>
  <si>
    <t>12700336</t>
  </si>
  <si>
    <t>1329117</t>
  </si>
  <si>
    <t>اثير الخلايفه</t>
  </si>
  <si>
    <t>10405021</t>
  </si>
  <si>
    <t>12717374</t>
  </si>
  <si>
    <t>2026-04-23</t>
  </si>
  <si>
    <t>12376369</t>
  </si>
  <si>
    <t>10196117</t>
  </si>
  <si>
    <t>حسين عبدالله النوافله</t>
  </si>
  <si>
    <t>12615851</t>
  </si>
  <si>
    <t>2026-04-25</t>
  </si>
  <si>
    <t>1534772</t>
  </si>
  <si>
    <t>سمير الحمادين</t>
  </si>
  <si>
    <t>12615847</t>
  </si>
  <si>
    <t>يزن الخليفات</t>
  </si>
  <si>
    <t>12717250</t>
  </si>
  <si>
    <t>10062418</t>
  </si>
  <si>
    <t>1534940</t>
  </si>
  <si>
    <t>فاطمة المشاعلة</t>
  </si>
  <si>
    <t>12616514</t>
  </si>
  <si>
    <t>2026-04-26</t>
  </si>
  <si>
    <t>فهد العمر</t>
  </si>
  <si>
    <t>12717388</t>
  </si>
  <si>
    <t>12616515</t>
  </si>
  <si>
    <t>غزل الرواضيه</t>
  </si>
  <si>
    <t>41460995</t>
  </si>
  <si>
    <t>12010664</t>
  </si>
  <si>
    <t>منه الحسنات</t>
  </si>
  <si>
    <t>41462645</t>
  </si>
  <si>
    <t>132934</t>
  </si>
  <si>
    <t>41461655</t>
  </si>
  <si>
    <t>41462915</t>
  </si>
  <si>
    <t>12376169</t>
  </si>
  <si>
    <t>1327182</t>
  </si>
  <si>
    <t>جود المشاعله</t>
  </si>
  <si>
    <t>10063046</t>
  </si>
  <si>
    <t>2026-04-27</t>
  </si>
  <si>
    <t>1534952</t>
  </si>
  <si>
    <t>سوار النوافله</t>
  </si>
  <si>
    <t>12616566</t>
  </si>
  <si>
    <t>2026-04-28</t>
  </si>
  <si>
    <t>1534769</t>
  </si>
  <si>
    <t>عبدالله الفرجات</t>
  </si>
  <si>
    <t>12615834</t>
  </si>
  <si>
    <t>10726061</t>
  </si>
  <si>
    <t>10196259</t>
  </si>
  <si>
    <t>10194434</t>
  </si>
  <si>
    <t>12717045</t>
  </si>
  <si>
    <t>2026-04-29</t>
  </si>
  <si>
    <t>10610795</t>
  </si>
  <si>
    <t>1534767</t>
  </si>
  <si>
    <t>سعود الفرجات</t>
  </si>
  <si>
    <t>12615826</t>
  </si>
  <si>
    <t>2026-04-30</t>
  </si>
  <si>
    <t>12041104</t>
  </si>
  <si>
    <t>12041101</t>
  </si>
  <si>
    <t>10410212</t>
  </si>
  <si>
    <t>41534154</t>
  </si>
  <si>
    <t>12374326</t>
  </si>
  <si>
    <t>10727125</t>
  </si>
  <si>
    <t>12791197</t>
  </si>
  <si>
    <t>2026-05-01</t>
  </si>
  <si>
    <t>12789889</t>
  </si>
  <si>
    <t>2026-05-02</t>
  </si>
  <si>
    <t>ارام خليفات</t>
  </si>
  <si>
    <t>12792058</t>
  </si>
  <si>
    <t>12792208</t>
  </si>
  <si>
    <t>132177</t>
  </si>
  <si>
    <t>12790819</t>
  </si>
  <si>
    <t>2026-05-03</t>
  </si>
  <si>
    <t>12788995</t>
  </si>
  <si>
    <t>12790819/1</t>
  </si>
  <si>
    <t>10196608</t>
  </si>
  <si>
    <t>12786226</t>
  </si>
  <si>
    <t>82620962</t>
  </si>
  <si>
    <t>12041032</t>
  </si>
  <si>
    <t>12041034</t>
  </si>
  <si>
    <t>1518681</t>
  </si>
  <si>
    <t>امل العدايله</t>
  </si>
  <si>
    <t>12041036</t>
  </si>
  <si>
    <t>1534618</t>
  </si>
  <si>
    <t>12801723</t>
  </si>
  <si>
    <t>1534786</t>
  </si>
  <si>
    <t>عهد النوافلة</t>
  </si>
  <si>
    <t>12615902</t>
  </si>
  <si>
    <t>1534986</t>
  </si>
  <si>
    <t>رسيل العلايا</t>
  </si>
  <si>
    <t>12801106</t>
  </si>
  <si>
    <t>انس موسى السلامين</t>
  </si>
  <si>
    <t>12801123</t>
  </si>
  <si>
    <t>1326153</t>
  </si>
  <si>
    <t>سهام الحسنات</t>
  </si>
  <si>
    <t>12787891</t>
  </si>
  <si>
    <t>2026-05-04</t>
  </si>
  <si>
    <t>12790042</t>
  </si>
  <si>
    <t>12799701</t>
  </si>
  <si>
    <t>12799701*</t>
  </si>
  <si>
    <t>12784696</t>
  </si>
  <si>
    <t>12792209</t>
  </si>
  <si>
    <t>12041752</t>
  </si>
  <si>
    <t>12041755</t>
  </si>
  <si>
    <t>8262132/ مزمن شهر5</t>
  </si>
  <si>
    <t>احمد العطون</t>
  </si>
  <si>
    <t>12801513</t>
  </si>
  <si>
    <t>11914401</t>
  </si>
  <si>
    <t>2026-05-05</t>
  </si>
  <si>
    <t>11914403</t>
  </si>
  <si>
    <t>اميرة السلامين</t>
  </si>
  <si>
    <t>12785509</t>
  </si>
  <si>
    <t>12788629</t>
  </si>
  <si>
    <t>2026-05-06</t>
  </si>
  <si>
    <t>احمد طويسي</t>
  </si>
  <si>
    <t>127886290</t>
  </si>
  <si>
    <t>12790036</t>
  </si>
  <si>
    <t>12779701</t>
  </si>
  <si>
    <t>12783343</t>
  </si>
  <si>
    <t>12784474</t>
  </si>
  <si>
    <t>12792046</t>
  </si>
  <si>
    <t>12717098</t>
  </si>
  <si>
    <t>12800788</t>
  </si>
  <si>
    <t>1534890</t>
  </si>
  <si>
    <t>محمود المشاعلة</t>
  </si>
  <si>
    <t>12616283</t>
  </si>
  <si>
    <t>12800803</t>
  </si>
  <si>
    <t>حسين النوافلة</t>
  </si>
  <si>
    <t>12800992</t>
  </si>
  <si>
    <t>12780149</t>
  </si>
  <si>
    <t>2026-05-07</t>
  </si>
  <si>
    <t>12801309</t>
  </si>
  <si>
    <t>12783046</t>
  </si>
  <si>
    <t>2026-05-09</t>
  </si>
  <si>
    <t>12779872</t>
  </si>
  <si>
    <t>1518518</t>
  </si>
  <si>
    <t>لمار السلامين</t>
  </si>
  <si>
    <t>12041856</t>
  </si>
  <si>
    <t>1534880</t>
  </si>
  <si>
    <t>12819808</t>
  </si>
  <si>
    <t>41720659</t>
  </si>
  <si>
    <t>2026-05-10</t>
  </si>
  <si>
    <t>12779695</t>
  </si>
  <si>
    <t>دانية الخوالدة</t>
  </si>
  <si>
    <t>127801491</t>
  </si>
  <si>
    <t>12780832</t>
  </si>
  <si>
    <t>12780835</t>
  </si>
  <si>
    <t>1367581</t>
  </si>
  <si>
    <t>12781462</t>
  </si>
  <si>
    <t>12820096</t>
  </si>
  <si>
    <t>1534830</t>
  </si>
  <si>
    <t>8647222</t>
  </si>
  <si>
    <t>12788623</t>
  </si>
  <si>
    <t>2026-05-11</t>
  </si>
  <si>
    <t>12788630</t>
  </si>
  <si>
    <t>1329820</t>
  </si>
  <si>
    <t>احلام السعيدات</t>
  </si>
  <si>
    <t>12786070</t>
  </si>
  <si>
    <t>12785521</t>
  </si>
  <si>
    <t>12042181</t>
  </si>
  <si>
    <t>12825384</t>
  </si>
  <si>
    <t>12690559</t>
  </si>
  <si>
    <t>12790252</t>
  </si>
  <si>
    <t>2026-05-12</t>
  </si>
  <si>
    <t>12782584</t>
  </si>
  <si>
    <t>12783058</t>
  </si>
  <si>
    <t>41753773</t>
  </si>
  <si>
    <t>12717238</t>
  </si>
  <si>
    <t>طه جميل السعيدات</t>
  </si>
  <si>
    <t>12717240</t>
  </si>
  <si>
    <t>12042148</t>
  </si>
  <si>
    <t>12042151</t>
  </si>
  <si>
    <t>12826584</t>
  </si>
  <si>
    <t>1327578</t>
  </si>
  <si>
    <t>زينة النصرات</t>
  </si>
  <si>
    <t>12791956</t>
  </si>
  <si>
    <t>2026-05-13</t>
  </si>
  <si>
    <t>1327720</t>
  </si>
  <si>
    <t>12792430</t>
  </si>
  <si>
    <t>12792433</t>
  </si>
  <si>
    <t>12717251</t>
  </si>
  <si>
    <t>12717147</t>
  </si>
  <si>
    <t>12826916</t>
  </si>
  <si>
    <t>12789409</t>
  </si>
  <si>
    <t>2026-05-14</t>
  </si>
  <si>
    <t>كما النوافلة</t>
  </si>
  <si>
    <t>12784078</t>
  </si>
  <si>
    <t>1329369</t>
  </si>
  <si>
    <t>ناديا الطويسات</t>
  </si>
  <si>
    <t>12784318</t>
  </si>
  <si>
    <t>12790051</t>
  </si>
  <si>
    <t>صالح السعيدات</t>
  </si>
  <si>
    <t>12786718</t>
  </si>
  <si>
    <t>12787496</t>
  </si>
  <si>
    <t>2026-05-16</t>
  </si>
  <si>
    <t>12789199</t>
  </si>
  <si>
    <t>12791284</t>
  </si>
  <si>
    <t>12781357</t>
  </si>
  <si>
    <t>12781366</t>
  </si>
  <si>
    <t>12781376</t>
  </si>
  <si>
    <t>12782908</t>
  </si>
  <si>
    <t>12789490</t>
  </si>
  <si>
    <t>1326824</t>
  </si>
  <si>
    <t>عطاف السعيدات</t>
  </si>
  <si>
    <t>12789785</t>
  </si>
  <si>
    <t>2026-05-17</t>
  </si>
  <si>
    <t>12791833</t>
  </si>
  <si>
    <t>12791957</t>
  </si>
  <si>
    <t>1327643</t>
  </si>
  <si>
    <t>ثائر الفضول</t>
  </si>
  <si>
    <t>12792136</t>
  </si>
  <si>
    <t>1327896</t>
  </si>
  <si>
    <t>جواد الخليفات</t>
  </si>
  <si>
    <t>12779491</t>
  </si>
  <si>
    <t>12785524</t>
  </si>
  <si>
    <t>12791959</t>
  </si>
  <si>
    <t>12826884</t>
  </si>
  <si>
    <t>12789109</t>
  </si>
  <si>
    <t>2026-05-18</t>
  </si>
  <si>
    <t>12790744</t>
  </si>
  <si>
    <t>12792210</t>
  </si>
  <si>
    <t>12786196</t>
  </si>
  <si>
    <t>يارا العمرات</t>
  </si>
  <si>
    <t>12820951</t>
  </si>
  <si>
    <t>12787336</t>
  </si>
  <si>
    <t>2026-05-19</t>
  </si>
  <si>
    <t>12783517</t>
  </si>
  <si>
    <t>12785506</t>
  </si>
  <si>
    <t>12785515</t>
  </si>
  <si>
    <t>12042040</t>
  </si>
  <si>
    <t>1518672</t>
  </si>
  <si>
    <t>مراد الحسنات</t>
  </si>
  <si>
    <t>12716976</t>
  </si>
  <si>
    <t>12787258</t>
  </si>
  <si>
    <t>2026-05-20</t>
  </si>
  <si>
    <t>12788518</t>
  </si>
  <si>
    <t>12788524</t>
  </si>
  <si>
    <t>12781759</t>
  </si>
  <si>
    <t>12784831</t>
  </si>
  <si>
    <t>12785512</t>
  </si>
  <si>
    <t>12785836</t>
  </si>
  <si>
    <t>12787270</t>
  </si>
  <si>
    <t>غنى المشاعلة</t>
  </si>
  <si>
    <t>12783352</t>
  </si>
  <si>
    <t>12785525</t>
  </si>
  <si>
    <t>2026-05-21</t>
  </si>
  <si>
    <t>1518407</t>
  </si>
  <si>
    <t>12041667</t>
  </si>
  <si>
    <t>12787339</t>
  </si>
  <si>
    <t>2026-05-22</t>
  </si>
  <si>
    <t>12784795</t>
  </si>
  <si>
    <t>12717831</t>
  </si>
  <si>
    <t>جمانة البدور</t>
  </si>
  <si>
    <t>12717833</t>
  </si>
  <si>
    <t>1534739</t>
  </si>
  <si>
    <t>صدام النوافلة</t>
  </si>
  <si>
    <t>12826637</t>
  </si>
  <si>
    <t>1534964</t>
  </si>
  <si>
    <t>خالد الفلاحات</t>
  </si>
  <si>
    <t>12827038</t>
  </si>
  <si>
    <t>1325855</t>
  </si>
  <si>
    <t>فريال الفلحات</t>
  </si>
  <si>
    <t>12798889</t>
  </si>
  <si>
    <t>2026-05-23</t>
  </si>
  <si>
    <t>12791293</t>
  </si>
  <si>
    <t>1278811759</t>
  </si>
  <si>
    <t>ملك بطاينة</t>
  </si>
  <si>
    <t>12717377</t>
  </si>
  <si>
    <t>1534980</t>
  </si>
  <si>
    <t>ناديا السلامين</t>
  </si>
  <si>
    <t>12827073</t>
  </si>
  <si>
    <t>128270730</t>
  </si>
  <si>
    <t>مشخص الفصول</t>
  </si>
  <si>
    <t>12827146</t>
  </si>
  <si>
    <t>1325692</t>
  </si>
  <si>
    <t>12798561</t>
  </si>
  <si>
    <t>2026-05-24</t>
  </si>
  <si>
    <t>12790732</t>
  </si>
  <si>
    <t>12791821</t>
  </si>
  <si>
    <t>1327535</t>
  </si>
  <si>
    <t>رسيل النوافلة</t>
  </si>
  <si>
    <t>12791830</t>
  </si>
  <si>
    <t>12790381</t>
  </si>
  <si>
    <t>41864110</t>
  </si>
  <si>
    <t>12717478</t>
  </si>
  <si>
    <t>12717480</t>
  </si>
  <si>
    <t>1518759</t>
  </si>
  <si>
    <t>علي المشاعلة</t>
  </si>
  <si>
    <t>12041286</t>
  </si>
  <si>
    <t>1530781</t>
  </si>
  <si>
    <t>تسنيم النوافلة</t>
  </si>
  <si>
    <t>12781111</t>
  </si>
  <si>
    <t>12783022</t>
  </si>
  <si>
    <t>2026-05-25</t>
  </si>
  <si>
    <t>12789406</t>
  </si>
  <si>
    <t>12792427</t>
  </si>
  <si>
    <t>12784792</t>
  </si>
  <si>
    <t>12785528</t>
  </si>
  <si>
    <t>1534951</t>
  </si>
  <si>
    <t>12827015</t>
  </si>
  <si>
    <t>12827029</t>
  </si>
  <si>
    <t>12827036</t>
  </si>
  <si>
    <t>1534987</t>
  </si>
  <si>
    <t>ليث سلامه موسى الحسنات</t>
  </si>
  <si>
    <t>12827092</t>
  </si>
  <si>
    <t>1539742</t>
  </si>
  <si>
    <t>محمد السعودي</t>
  </si>
  <si>
    <t>12778579</t>
  </si>
  <si>
    <t>12789283</t>
  </si>
  <si>
    <t>2026-05-26</t>
  </si>
  <si>
    <t>12785529</t>
  </si>
  <si>
    <t>12717397</t>
  </si>
  <si>
    <t>12717038</t>
  </si>
  <si>
    <t>12717040</t>
  </si>
  <si>
    <t>12717042</t>
  </si>
  <si>
    <t>1518706</t>
  </si>
  <si>
    <t>وسام المشاعله</t>
  </si>
  <si>
    <t>12041111</t>
  </si>
  <si>
    <t>1534609</t>
  </si>
  <si>
    <t>12826484</t>
  </si>
  <si>
    <t>12827039</t>
  </si>
  <si>
    <t>12785526</t>
  </si>
  <si>
    <t>2026-05-28</t>
  </si>
  <si>
    <t>12786694</t>
  </si>
  <si>
    <t>سوار النوافلة</t>
  </si>
  <si>
    <t>12827018</t>
  </si>
  <si>
    <t>ايه الفرجات</t>
  </si>
  <si>
    <t>12781108</t>
  </si>
  <si>
    <t>2026-05-30</t>
  </si>
  <si>
    <t>127811008</t>
  </si>
  <si>
    <t>12784084</t>
  </si>
  <si>
    <t>خالد الفرجات</t>
  </si>
  <si>
    <t>112827143</t>
  </si>
  <si>
    <t>11914402</t>
  </si>
  <si>
    <t>2026-05-31</t>
  </si>
  <si>
    <t>12790837</t>
  </si>
  <si>
    <t>ختام هلالات</t>
  </si>
  <si>
    <t>12729091</t>
  </si>
  <si>
    <t>12792091</t>
  </si>
  <si>
    <t>12798027</t>
  </si>
  <si>
    <t>12798033</t>
  </si>
  <si>
    <t>1328000</t>
  </si>
  <si>
    <t>دينا الرصاعي</t>
  </si>
  <si>
    <t>12779785</t>
  </si>
  <si>
    <t>أمل الكردي</t>
  </si>
  <si>
    <t>12781825</t>
  </si>
  <si>
    <t>12784081</t>
  </si>
  <si>
    <t>12785837</t>
  </si>
  <si>
    <t>12788531</t>
  </si>
  <si>
    <t>المى سبوع</t>
  </si>
  <si>
    <t>12788533</t>
  </si>
  <si>
    <t>12717375</t>
  </si>
  <si>
    <t>فاطمة المشاعله</t>
  </si>
  <si>
    <t>12826993</t>
  </si>
  <si>
    <t>12789802</t>
  </si>
  <si>
    <t>2026-06-01</t>
  </si>
  <si>
    <t>12792205</t>
  </si>
  <si>
    <t>12784471</t>
  </si>
  <si>
    <t>12790378</t>
  </si>
  <si>
    <t>12789020</t>
  </si>
  <si>
    <t>2026-06-02</t>
  </si>
  <si>
    <t>128922100</t>
  </si>
  <si>
    <t>12785842</t>
  </si>
  <si>
    <t>1518501</t>
  </si>
  <si>
    <t>شهد الخصبة</t>
  </si>
  <si>
    <t>12041804</t>
  </si>
  <si>
    <t>1518527</t>
  </si>
  <si>
    <t>عارف الحسنات</t>
  </si>
  <si>
    <t>12041884</t>
  </si>
  <si>
    <t>1518528</t>
  </si>
  <si>
    <t>تمام الحسنات</t>
  </si>
  <si>
    <t>12717560</t>
  </si>
  <si>
    <t>بادي الفلحات</t>
  </si>
  <si>
    <t>7038218</t>
  </si>
  <si>
    <t>12826867</t>
  </si>
  <si>
    <t>12790834</t>
  </si>
  <si>
    <t>2026-06-03</t>
  </si>
  <si>
    <t>12784525</t>
  </si>
  <si>
    <t>1518466</t>
  </si>
  <si>
    <t>12717442</t>
  </si>
  <si>
    <t>41977185</t>
  </si>
  <si>
    <t>12717636</t>
  </si>
  <si>
    <t>12042004</t>
  </si>
  <si>
    <t>12042010</t>
  </si>
  <si>
    <t>12788740</t>
  </si>
  <si>
    <t>2026-06-04</t>
  </si>
  <si>
    <t>12791290</t>
  </si>
  <si>
    <t>رهف الفلاحات</t>
  </si>
  <si>
    <t>12786253</t>
  </si>
  <si>
    <t>12827034</t>
  </si>
  <si>
    <t>12789484</t>
  </si>
  <si>
    <t>2026-06-06</t>
  </si>
  <si>
    <t>12781372</t>
  </si>
  <si>
    <t>12783064</t>
  </si>
  <si>
    <t>12784072</t>
  </si>
  <si>
    <t>2026-06-07</t>
  </si>
  <si>
    <t>12784475</t>
  </si>
  <si>
    <t>12784477</t>
  </si>
  <si>
    <t>12786934</t>
  </si>
  <si>
    <t>12786937</t>
  </si>
  <si>
    <t>12716992</t>
  </si>
  <si>
    <t>1325870</t>
  </si>
  <si>
    <t>اعتدال الطويسي</t>
  </si>
  <si>
    <t>12787264</t>
  </si>
  <si>
    <t>2026-06-08</t>
  </si>
  <si>
    <t>12790660</t>
  </si>
  <si>
    <t>12783676</t>
  </si>
  <si>
    <t>1518586</t>
  </si>
  <si>
    <t>12042067</t>
  </si>
  <si>
    <t>1518589</t>
  </si>
  <si>
    <t>بسمة الحسنات</t>
  </si>
  <si>
    <t>12042075</t>
  </si>
  <si>
    <t>1534743</t>
  </si>
  <si>
    <t>12834645</t>
  </si>
  <si>
    <t>1534840</t>
  </si>
  <si>
    <t>معتز السلامين</t>
  </si>
  <si>
    <t>12826790</t>
  </si>
  <si>
    <t>مريم السلامين</t>
  </si>
  <si>
    <t>12826793</t>
  </si>
  <si>
    <t>1534900</t>
  </si>
  <si>
    <t>12826911</t>
  </si>
  <si>
    <t>12798559</t>
  </si>
  <si>
    <t>2026-06-09</t>
  </si>
  <si>
    <t>12798567</t>
  </si>
  <si>
    <t>1325893</t>
  </si>
  <si>
    <t>مقدام الحسنات</t>
  </si>
  <si>
    <t>12787342</t>
  </si>
  <si>
    <t>لين خالد الزعبي</t>
  </si>
  <si>
    <t>111</t>
  </si>
  <si>
    <t>1534785</t>
  </si>
  <si>
    <t>جهاد النوافلة</t>
  </si>
  <si>
    <t>12826705</t>
  </si>
  <si>
    <t>12799464</t>
  </si>
  <si>
    <t>12799467</t>
  </si>
  <si>
    <t>1326400</t>
  </si>
  <si>
    <t>اركان الحسنات</t>
  </si>
  <si>
    <t>12788614</t>
  </si>
  <si>
    <t>2026-06-10</t>
  </si>
  <si>
    <t>12779786</t>
  </si>
  <si>
    <t>ياسين المشاعله</t>
  </si>
  <si>
    <t>12783340</t>
  </si>
  <si>
    <t>12781460</t>
  </si>
  <si>
    <t>1535098</t>
  </si>
  <si>
    <t>اشجان الخرشه</t>
  </si>
  <si>
    <t>12827125</t>
  </si>
  <si>
    <t>12827147</t>
  </si>
  <si>
    <t>12784201</t>
  </si>
  <si>
    <t>2026-06-11</t>
  </si>
  <si>
    <t>12788752</t>
  </si>
  <si>
    <t>1462038</t>
  </si>
  <si>
    <t>ختام العطون</t>
  </si>
  <si>
    <t>12783035</t>
  </si>
  <si>
    <t>127830351</t>
  </si>
  <si>
    <t>1534723</t>
  </si>
  <si>
    <t>12826612</t>
  </si>
  <si>
    <t>1538073</t>
  </si>
  <si>
    <t>جسار الهلالات</t>
  </si>
  <si>
    <t>12784804</t>
  </si>
  <si>
    <t>12786688</t>
  </si>
  <si>
    <t>2026-06-12</t>
  </si>
  <si>
    <t>12786695</t>
  </si>
  <si>
    <t>12799698</t>
  </si>
  <si>
    <t>2026-06-13</t>
  </si>
  <si>
    <t>12791842</t>
  </si>
  <si>
    <t>1329303</t>
  </si>
  <si>
    <t>لبنى الحسنات</t>
  </si>
  <si>
    <t>12784150</t>
  </si>
  <si>
    <t>12784210</t>
  </si>
  <si>
    <t>1518465</t>
  </si>
  <si>
    <t>هيفا ابو درويش</t>
  </si>
  <si>
    <t>12041693</t>
  </si>
  <si>
    <t>12826686</t>
  </si>
  <si>
    <t>1286687</t>
  </si>
  <si>
    <t>1534835</t>
  </si>
  <si>
    <t>12826782</t>
  </si>
  <si>
    <t>12962700</t>
  </si>
  <si>
    <t>12826866</t>
  </si>
  <si>
    <t>ريتال</t>
  </si>
  <si>
    <t>2026-06-14</t>
  </si>
  <si>
    <t>12791107</t>
  </si>
  <si>
    <t>رغدة الخليفات</t>
  </si>
  <si>
    <t>12792055</t>
  </si>
  <si>
    <t>12779486</t>
  </si>
  <si>
    <t>1327967</t>
  </si>
  <si>
    <t>عون النوافلة</t>
  </si>
  <si>
    <t>12779712</t>
  </si>
  <si>
    <t>12780781</t>
  </si>
  <si>
    <t>12798893</t>
  </si>
  <si>
    <t>2026-06-15</t>
  </si>
  <si>
    <t>12827030</t>
  </si>
  <si>
    <t>12787331</t>
  </si>
  <si>
    <t>2026-06-16</t>
  </si>
  <si>
    <t>12792418</t>
  </si>
  <si>
    <t>12792841</t>
  </si>
  <si>
    <t>12782909</t>
  </si>
  <si>
    <t>1329161</t>
  </si>
  <si>
    <t>اسماعيل الفلحات</t>
  </si>
  <si>
    <t>12783667</t>
  </si>
  <si>
    <t>1534674</t>
  </si>
  <si>
    <t>12826597</t>
  </si>
  <si>
    <t>127920550</t>
  </si>
  <si>
    <t>2026-06-17</t>
  </si>
  <si>
    <t>12783518</t>
  </si>
  <si>
    <t>1518751</t>
  </si>
  <si>
    <t>12041258</t>
  </si>
  <si>
    <t>شادية السلامين</t>
  </si>
  <si>
    <t>12965063</t>
  </si>
  <si>
    <t>1534883</t>
  </si>
  <si>
    <t>gurmail singh</t>
  </si>
  <si>
    <t>12826878</t>
  </si>
  <si>
    <t>12788743</t>
  </si>
  <si>
    <t>2026-06-18</t>
  </si>
  <si>
    <t>12789803</t>
  </si>
  <si>
    <t>12792844</t>
  </si>
  <si>
    <t>12783341</t>
  </si>
  <si>
    <t>12784357</t>
  </si>
  <si>
    <t>محمد  الحسنات</t>
  </si>
  <si>
    <t>12786232</t>
  </si>
  <si>
    <t>12789016</t>
  </si>
  <si>
    <t>2026-06-20</t>
  </si>
  <si>
    <t>12798016</t>
  </si>
  <si>
    <t>13290093</t>
  </si>
  <si>
    <t>12783418</t>
  </si>
  <si>
    <t>12784319</t>
  </si>
  <si>
    <t>1534611</t>
  </si>
  <si>
    <t>هيثم العمرات</t>
  </si>
  <si>
    <t>12826490</t>
  </si>
  <si>
    <t>12826795</t>
  </si>
  <si>
    <t>12690560</t>
  </si>
  <si>
    <t>12783020</t>
  </si>
  <si>
    <t>2026-06-21</t>
  </si>
  <si>
    <t>12779704</t>
  </si>
  <si>
    <t>12781109</t>
  </si>
  <si>
    <t>12783053</t>
  </si>
  <si>
    <t>12716993</t>
  </si>
  <si>
    <t>1534762</t>
  </si>
  <si>
    <t>12826665</t>
  </si>
  <si>
    <t>1534765</t>
  </si>
  <si>
    <t>جاد النوافلة</t>
  </si>
  <si>
    <t>12826673</t>
  </si>
  <si>
    <t>12826672</t>
  </si>
  <si>
    <t>1534889</t>
  </si>
  <si>
    <t>عمر الفضول</t>
  </si>
  <si>
    <t>12826891</t>
  </si>
  <si>
    <t>12789740</t>
  </si>
  <si>
    <t>2026-06-22</t>
  </si>
  <si>
    <t>12781451</t>
  </si>
  <si>
    <t>12784831/1</t>
  </si>
  <si>
    <t>12791960</t>
  </si>
  <si>
    <t>12827035</t>
  </si>
  <si>
    <t>12827037</t>
  </si>
  <si>
    <t>12782465</t>
  </si>
  <si>
    <t>2026-06-23</t>
  </si>
  <si>
    <t>ازهار احمد الهلالات</t>
  </si>
  <si>
    <t>12798568</t>
  </si>
  <si>
    <t>12791834</t>
  </si>
  <si>
    <t>12784204</t>
  </si>
  <si>
    <t>12785507</t>
  </si>
  <si>
    <t>12717479</t>
  </si>
  <si>
    <t>12717481</t>
  </si>
  <si>
    <t>12789154</t>
  </si>
  <si>
    <t>2026-06-24</t>
  </si>
  <si>
    <t>12783424</t>
  </si>
  <si>
    <t>12789161</t>
  </si>
  <si>
    <t>12826680</t>
  </si>
  <si>
    <t>1534957</t>
  </si>
  <si>
    <t>12827026</t>
  </si>
  <si>
    <t>12784801</t>
  </si>
  <si>
    <t>2026-06-25</t>
  </si>
  <si>
    <t>12789157</t>
  </si>
  <si>
    <t>1373018</t>
  </si>
  <si>
    <t>لينا النعيمات</t>
  </si>
  <si>
    <t>12784903</t>
  </si>
  <si>
    <t>12789973</t>
  </si>
  <si>
    <t>2026-06-26</t>
  </si>
  <si>
    <t>12781358</t>
  </si>
  <si>
    <t>12717241</t>
  </si>
  <si>
    <t>2026-06-27</t>
  </si>
  <si>
    <t>ميسا السعيدات</t>
  </si>
  <si>
    <t>12717244</t>
  </si>
  <si>
    <t>12826499</t>
  </si>
  <si>
    <t>12798560</t>
  </si>
  <si>
    <t>2026-06-28</t>
  </si>
  <si>
    <t>1327794</t>
  </si>
  <si>
    <t>روعه الهلالات</t>
  </si>
  <si>
    <t>12792679</t>
  </si>
  <si>
    <t>127849003</t>
  </si>
  <si>
    <t>12717242</t>
  </si>
  <si>
    <t>1535406</t>
  </si>
  <si>
    <t>12799563</t>
  </si>
  <si>
    <t>12790828</t>
  </si>
  <si>
    <t>2026-06-29</t>
  </si>
  <si>
    <t>12784793</t>
  </si>
  <si>
    <t>12041691</t>
  </si>
  <si>
    <t>2026-06-30</t>
  </si>
  <si>
    <t>Tafila Technical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</si>
</sst>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0\ _د_._ا_._‏_-;\-* #,##0.000\ _د_._ا_._‏_-;_-* &quot;-&quot;???\ _د_._ا_._‏_-;_-@_-"/>
    <numFmt numFmtId="165" formatCode="yyyy\-mm\-dd\ 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4" fontId="2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9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157" totalsRowShown="0" headerRowDxfId="8" headerRowBorderDxfId="7" tableBorderDxfId="6">
  <autoFilter ref="A1:N2157" xr:uid="{00000000-0009-0000-0100-000001000000}"/>
  <sortState xmlns:xlrd2="http://schemas.microsoft.com/office/spreadsheetml/2017/richdata2" ref="A2:M2154">
    <sortCondition ref="F1:F2154"/>
  </sortState>
  <tableColumns count="14">
    <tableColumn id="1" xr3:uid="{00000000-0010-0000-0000-000001000000}" name="الرقم"/>
    <tableColumn id="2" xr3:uid="{00000000-0010-0000-0000-000002000000}" name="رقم الموظف /رقم البطاقة"/>
    <tableColumn id="3" xr3:uid="{00000000-0010-0000-0000-000003000000}" name="اسم المريض"/>
    <tableColumn id="4" xr3:uid="{00000000-0010-0000-0000-000004000000}" name="رقم النموذج"/>
    <tableColumn id="5" xr3:uid="{00000000-0010-0000-0000-000005000000}" name="نوع المستفيد"/>
    <tableColumn id="6" xr3:uid="{00000000-0010-0000-0000-000006000000}" name="تاريخ البيع"/>
    <tableColumn id="7" xr3:uid="{00000000-0010-0000-0000-000007000000}" name="قيمة الفاتورة" dataDxfId="5"/>
    <tableColumn id="8" xr3:uid="{00000000-0010-0000-0000-000008000000}" name="قيمة المشاركة" dataDxfId="4"/>
    <tableColumn id="9" xr3:uid="{00000000-0010-0000-0000-000009000000}" name="صافي القيمة" dataDxfId="3"/>
    <tableColumn id="10" xr3:uid="{00000000-0010-0000-0000-00000A000000}" name="القيمة المطلوبة" dataDxfId="2">
      <calculatedColumnFormula>Table1[[#This Row],[قيمة الفاتورة]]*0.94-Table1[[#This Row],[قيمة المشاركة]]</calculatedColumnFormula>
    </tableColumn>
    <tableColumn id="11" xr3:uid="{00000000-0010-0000-0000-00000B000000}" name="المدفوع" dataDxfId="1"/>
    <tableColumn id="12" xr3:uid="{00000000-0010-0000-0000-00000C000000}" name="المتبقي" dataDxfId="0">
      <calculatedColumnFormula>IF(ISNUMBER(K2), J2-K2, "")</calculatedColumnFormula>
    </tableColumn>
    <tableColumn id="13" xr3:uid="{00000000-0010-0000-0000-00000D000000}" name="تاريخ الدفعة"/>
    <tableColumn id="14" xr3:uid="{00000000-0010-0000-0000-00000E000000}" name="Insurance Company 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57"/>
  <sheetViews>
    <sheetView rightToLeft="1" tabSelected="1" topLeftCell="B1" workbookViewId="0">
      <pane ySplit="1" topLeftCell="A1889" activePane="bottomLeft" state="frozen"/>
      <selection pane="bottomLeft" activeCell="N1" sqref="N1"/>
    </sheetView>
  </sheetViews>
  <sheetFormatPr defaultRowHeight="14.4" x14ac:dyDescent="0.3"/>
  <cols>
    <col min="2" max="2" width="20.77734375" customWidth="1"/>
    <col min="3" max="3" width="17.6640625" customWidth="1"/>
    <col min="4" max="4" width="14.44140625" customWidth="1"/>
    <col min="5" max="5" width="12" customWidth="1"/>
    <col min="6" max="6" width="10.33203125" customWidth="1"/>
    <col min="7" max="7" width="11.44140625" style="3" customWidth="1"/>
    <col min="8" max="8" width="12.33203125" style="3" customWidth="1"/>
    <col min="9" max="9" width="15.21875" style="3" customWidth="1"/>
    <col min="10" max="10" width="13.21875" style="3" customWidth="1"/>
    <col min="11" max="11" width="11.5546875" style="3" bestFit="1" customWidth="1"/>
    <col min="12" max="12" width="10.5546875" style="3" bestFit="1" customWidth="1"/>
    <col min="13" max="13" width="11.5546875" customWidth="1"/>
    <col min="14" max="14" width="3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9" t="s">
        <v>13</v>
      </c>
    </row>
    <row r="2" spans="1:14" x14ac:dyDescent="0.3">
      <c r="A2">
        <v>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s="3">
        <v>13.12</v>
      </c>
      <c r="H2" s="3">
        <v>0</v>
      </c>
      <c r="I2" s="3">
        <v>13.12</v>
      </c>
      <c r="J2" s="3">
        <f>Table1[[#This Row],[قيمة الفاتورة]]*0.94-Table1[[#This Row],[قيمة المشاركة]]</f>
        <v>12.332799999999999</v>
      </c>
      <c r="L2" s="3" t="str">
        <f t="shared" ref="L2:L65" si="0">IF(ISNUMBER(K2), J2-K2, "")</f>
        <v/>
      </c>
      <c r="N2" t="s">
        <v>19</v>
      </c>
    </row>
    <row r="3" spans="1:14" x14ac:dyDescent="0.3">
      <c r="A3">
        <v>1</v>
      </c>
      <c r="B3" t="s">
        <v>20</v>
      </c>
      <c r="C3" t="s">
        <v>21</v>
      </c>
      <c r="D3" t="s">
        <v>22</v>
      </c>
      <c r="E3" t="s">
        <v>23</v>
      </c>
      <c r="F3" t="s">
        <v>18</v>
      </c>
      <c r="G3" s="3">
        <v>31.95</v>
      </c>
      <c r="H3" s="3">
        <v>4.7919999999999998</v>
      </c>
      <c r="I3" s="3">
        <v>27.158000000000001</v>
      </c>
      <c r="J3" s="3">
        <f>Table1[[#This Row],[قيمة الفاتورة]]*0.94-Table1[[#This Row],[قيمة المشاركة]]</f>
        <v>25.241</v>
      </c>
      <c r="L3" s="3" t="str">
        <f t="shared" si="0"/>
        <v/>
      </c>
      <c r="N3" t="s">
        <v>19</v>
      </c>
    </row>
    <row r="4" spans="1:14" x14ac:dyDescent="0.3">
      <c r="A4">
        <v>4</v>
      </c>
      <c r="B4" t="s">
        <v>24</v>
      </c>
      <c r="C4" t="s">
        <v>25</v>
      </c>
      <c r="D4" t="s">
        <v>26</v>
      </c>
      <c r="E4" t="s">
        <v>17</v>
      </c>
      <c r="F4" t="s">
        <v>27</v>
      </c>
      <c r="G4" s="3">
        <v>34.03</v>
      </c>
      <c r="H4" s="3">
        <v>0</v>
      </c>
      <c r="I4" s="3">
        <v>34.03</v>
      </c>
      <c r="J4" s="3">
        <f>Table1[[#This Row],[قيمة الفاتورة]]*0.94-Table1[[#This Row],[قيمة المشاركة]]</f>
        <v>31.988199999999999</v>
      </c>
      <c r="L4" s="3" t="str">
        <f t="shared" si="0"/>
        <v/>
      </c>
      <c r="N4" t="s">
        <v>19</v>
      </c>
    </row>
    <row r="5" spans="1:14" x14ac:dyDescent="0.3">
      <c r="A5">
        <v>5</v>
      </c>
      <c r="B5" t="s">
        <v>24</v>
      </c>
      <c r="C5" t="s">
        <v>25</v>
      </c>
      <c r="D5" t="s">
        <v>28</v>
      </c>
      <c r="E5" t="s">
        <v>23</v>
      </c>
      <c r="F5" t="s">
        <v>27</v>
      </c>
      <c r="G5" s="3">
        <v>4.1500000000000004</v>
      </c>
      <c r="H5" s="3">
        <v>0</v>
      </c>
      <c r="I5" s="3">
        <v>4.1500000000000004</v>
      </c>
      <c r="J5" s="3">
        <f>Table1[[#This Row],[قيمة الفاتورة]]*0.94-Table1[[#This Row],[قيمة المشاركة]]</f>
        <v>3.9010000000000002</v>
      </c>
      <c r="L5" s="3" t="str">
        <f t="shared" si="0"/>
        <v/>
      </c>
      <c r="N5" t="s">
        <v>19</v>
      </c>
    </row>
    <row r="6" spans="1:14" x14ac:dyDescent="0.3">
      <c r="A6">
        <v>3</v>
      </c>
      <c r="B6" t="s">
        <v>29</v>
      </c>
      <c r="C6" t="s">
        <v>30</v>
      </c>
      <c r="D6" t="s">
        <v>31</v>
      </c>
      <c r="E6" t="s">
        <v>17</v>
      </c>
      <c r="F6" t="s">
        <v>27</v>
      </c>
      <c r="G6" s="3">
        <v>25.47</v>
      </c>
      <c r="H6" s="3">
        <v>0</v>
      </c>
      <c r="I6" s="3">
        <v>25.47</v>
      </c>
      <c r="J6" s="3">
        <f>Table1[[#This Row],[قيمة الفاتورة]]*0.94-Table1[[#This Row],[قيمة المشاركة]]</f>
        <v>23.941799999999997</v>
      </c>
      <c r="L6" s="3" t="str">
        <f t="shared" si="0"/>
        <v/>
      </c>
      <c r="N6" t="s">
        <v>19</v>
      </c>
    </row>
    <row r="7" spans="1:14" x14ac:dyDescent="0.3">
      <c r="A7">
        <v>8</v>
      </c>
      <c r="B7" t="s">
        <v>32</v>
      </c>
      <c r="C7" t="s">
        <v>33</v>
      </c>
      <c r="D7" t="s">
        <v>34</v>
      </c>
      <c r="E7" t="s">
        <v>17</v>
      </c>
      <c r="F7" t="s">
        <v>35</v>
      </c>
      <c r="G7" s="3">
        <v>27.82</v>
      </c>
      <c r="H7" s="3">
        <v>4.173</v>
      </c>
      <c r="I7" s="3">
        <v>23.646999999999998</v>
      </c>
      <c r="J7" s="3">
        <f>Table1[[#This Row],[قيمة الفاتورة]]*0.94-Table1[[#This Row],[قيمة المشاركة]]</f>
        <v>21.977800000000002</v>
      </c>
      <c r="L7" s="3" t="str">
        <f t="shared" si="0"/>
        <v/>
      </c>
      <c r="N7" t="s">
        <v>19</v>
      </c>
    </row>
    <row r="8" spans="1:14" x14ac:dyDescent="0.3">
      <c r="A8">
        <v>9</v>
      </c>
      <c r="B8" t="s">
        <v>36</v>
      </c>
      <c r="C8" t="s">
        <v>37</v>
      </c>
      <c r="D8" t="s">
        <v>38</v>
      </c>
      <c r="E8" t="s">
        <v>23</v>
      </c>
      <c r="F8" t="s">
        <v>35</v>
      </c>
      <c r="G8" s="3">
        <v>17.36</v>
      </c>
      <c r="H8" s="3">
        <v>2.6040000000000001</v>
      </c>
      <c r="I8" s="3">
        <v>14.756</v>
      </c>
      <c r="J8" s="3">
        <f>Table1[[#This Row],[قيمة الفاتورة]]*0.94-Table1[[#This Row],[قيمة المشاركة]]</f>
        <v>13.714399999999998</v>
      </c>
      <c r="L8" s="3" t="str">
        <f t="shared" si="0"/>
        <v/>
      </c>
      <c r="N8" t="s">
        <v>19</v>
      </c>
    </row>
    <row r="9" spans="1:14" x14ac:dyDescent="0.3">
      <c r="A9">
        <v>6</v>
      </c>
      <c r="B9" t="s">
        <v>39</v>
      </c>
      <c r="C9" t="s">
        <v>40</v>
      </c>
      <c r="D9" t="s">
        <v>41</v>
      </c>
      <c r="E9" t="s">
        <v>17</v>
      </c>
      <c r="F9" t="s">
        <v>35</v>
      </c>
      <c r="G9" s="3">
        <v>13.11</v>
      </c>
      <c r="H9" s="3">
        <v>0</v>
      </c>
      <c r="I9" s="3">
        <v>13.11</v>
      </c>
      <c r="J9" s="3">
        <f>Table1[[#This Row],[قيمة الفاتورة]]*0.94-Table1[[#This Row],[قيمة المشاركة]]</f>
        <v>12.323399999999999</v>
      </c>
      <c r="L9" s="3" t="str">
        <f t="shared" si="0"/>
        <v/>
      </c>
      <c r="N9" t="s">
        <v>19</v>
      </c>
    </row>
    <row r="10" spans="1:14" x14ac:dyDescent="0.3">
      <c r="A10">
        <v>7</v>
      </c>
      <c r="B10" t="s">
        <v>42</v>
      </c>
      <c r="C10" t="s">
        <v>43</v>
      </c>
      <c r="D10" t="s">
        <v>44</v>
      </c>
      <c r="E10" t="s">
        <v>23</v>
      </c>
      <c r="F10" t="s">
        <v>35</v>
      </c>
      <c r="G10" s="3">
        <v>20.64</v>
      </c>
      <c r="H10" s="3">
        <v>0</v>
      </c>
      <c r="I10" s="3">
        <v>20.64</v>
      </c>
      <c r="J10" s="3">
        <f>Table1[[#This Row],[قيمة الفاتورة]]*0.94-Table1[[#This Row],[قيمة المشاركة]]</f>
        <v>19.401599999999998</v>
      </c>
      <c r="L10" s="3" t="str">
        <f t="shared" si="0"/>
        <v/>
      </c>
      <c r="N10" t="s">
        <v>19</v>
      </c>
    </row>
    <row r="11" spans="1:14" x14ac:dyDescent="0.3">
      <c r="A11">
        <v>12</v>
      </c>
      <c r="B11" t="s">
        <v>45</v>
      </c>
      <c r="C11" t="s">
        <v>46</v>
      </c>
      <c r="D11" t="s">
        <v>47</v>
      </c>
      <c r="E11" t="s">
        <v>23</v>
      </c>
      <c r="F11" t="s">
        <v>48</v>
      </c>
      <c r="G11" s="3">
        <v>25.11</v>
      </c>
      <c r="H11" s="3">
        <v>0</v>
      </c>
      <c r="I11" s="3">
        <v>25.11</v>
      </c>
      <c r="J11" s="3">
        <f>Table1[[#This Row],[قيمة الفاتورة]]*0.94-Table1[[#This Row],[قيمة المشاركة]]</f>
        <v>23.603399999999997</v>
      </c>
      <c r="L11" s="3" t="str">
        <f t="shared" si="0"/>
        <v/>
      </c>
      <c r="N11" t="s">
        <v>19</v>
      </c>
    </row>
    <row r="12" spans="1:14" x14ac:dyDescent="0.3">
      <c r="A12">
        <v>14</v>
      </c>
      <c r="B12" t="s">
        <v>49</v>
      </c>
      <c r="C12" t="s">
        <v>50</v>
      </c>
      <c r="D12" t="s">
        <v>51</v>
      </c>
      <c r="E12" t="s">
        <v>23</v>
      </c>
      <c r="F12" t="s">
        <v>48</v>
      </c>
      <c r="G12" s="3">
        <v>15.43</v>
      </c>
      <c r="H12" s="3">
        <v>0</v>
      </c>
      <c r="I12" s="3">
        <v>15.43</v>
      </c>
      <c r="J12" s="3">
        <f>Table1[[#This Row],[قيمة الفاتورة]]*0.94-Table1[[#This Row],[قيمة المشاركة]]</f>
        <v>14.504199999999999</v>
      </c>
      <c r="L12" s="3" t="str">
        <f t="shared" si="0"/>
        <v/>
      </c>
      <c r="N12" t="s">
        <v>19</v>
      </c>
    </row>
    <row r="13" spans="1:14" x14ac:dyDescent="0.3">
      <c r="A13">
        <v>11</v>
      </c>
      <c r="B13" t="s">
        <v>52</v>
      </c>
      <c r="C13" t="s">
        <v>53</v>
      </c>
      <c r="D13" t="s">
        <v>54</v>
      </c>
      <c r="E13" t="s">
        <v>17</v>
      </c>
      <c r="F13" t="s">
        <v>48</v>
      </c>
      <c r="G13" s="3">
        <v>2.1800000000000002</v>
      </c>
      <c r="H13" s="3">
        <v>0</v>
      </c>
      <c r="I13" s="3">
        <v>2.1800000000000002</v>
      </c>
      <c r="J13" s="3">
        <f>Table1[[#This Row],[قيمة الفاتورة]]*0.94-Table1[[#This Row],[قيمة المشاركة]]</f>
        <v>2.0491999999999999</v>
      </c>
      <c r="L13" s="3" t="str">
        <f t="shared" si="0"/>
        <v/>
      </c>
      <c r="N13" t="s">
        <v>19</v>
      </c>
    </row>
    <row r="14" spans="1:14" x14ac:dyDescent="0.3">
      <c r="A14">
        <v>10</v>
      </c>
      <c r="B14" t="s">
        <v>55</v>
      </c>
      <c r="C14" t="s">
        <v>56</v>
      </c>
      <c r="D14" t="s">
        <v>57</v>
      </c>
      <c r="E14" t="s">
        <v>23</v>
      </c>
      <c r="F14" t="s">
        <v>48</v>
      </c>
      <c r="G14" s="3">
        <v>2.5</v>
      </c>
      <c r="H14" s="3">
        <v>0</v>
      </c>
      <c r="I14" s="3">
        <v>2.5</v>
      </c>
      <c r="J14" s="3">
        <f>Table1[[#This Row],[قيمة الفاتورة]]*0.94-Table1[[#This Row],[قيمة المشاركة]]</f>
        <v>2.3499999999999996</v>
      </c>
      <c r="L14" s="3" t="str">
        <f t="shared" si="0"/>
        <v/>
      </c>
      <c r="N14" t="s">
        <v>19</v>
      </c>
    </row>
    <row r="15" spans="1:14" x14ac:dyDescent="0.3">
      <c r="A15">
        <v>13</v>
      </c>
      <c r="B15" t="s">
        <v>58</v>
      </c>
      <c r="C15" t="s">
        <v>59</v>
      </c>
      <c r="D15" t="s">
        <v>60</v>
      </c>
      <c r="E15" t="s">
        <v>23</v>
      </c>
      <c r="F15" t="s">
        <v>48</v>
      </c>
      <c r="G15" s="3">
        <v>20.3</v>
      </c>
      <c r="H15" s="3">
        <v>0</v>
      </c>
      <c r="I15" s="3">
        <v>20.3</v>
      </c>
      <c r="J15" s="3">
        <f>Table1[[#This Row],[قيمة الفاتورة]]*0.94-Table1[[#This Row],[قيمة المشاركة]]</f>
        <v>19.082000000000001</v>
      </c>
      <c r="L15" s="3" t="str">
        <f t="shared" si="0"/>
        <v/>
      </c>
      <c r="N15" t="s">
        <v>19</v>
      </c>
    </row>
    <row r="16" spans="1:14" x14ac:dyDescent="0.3">
      <c r="A16">
        <v>15</v>
      </c>
      <c r="B16" t="s">
        <v>61</v>
      </c>
      <c r="C16" t="s">
        <v>62</v>
      </c>
      <c r="D16" t="s">
        <v>63</v>
      </c>
      <c r="E16" t="s">
        <v>17</v>
      </c>
      <c r="F16" t="s">
        <v>64</v>
      </c>
      <c r="G16" s="3">
        <v>28.09</v>
      </c>
      <c r="H16" s="3">
        <v>0</v>
      </c>
      <c r="I16" s="3">
        <v>28.09</v>
      </c>
      <c r="J16" s="3">
        <f>Table1[[#This Row],[قيمة الفاتورة]]*0.94-Table1[[#This Row],[قيمة المشاركة]]</f>
        <v>26.404599999999999</v>
      </c>
      <c r="L16" s="3" t="str">
        <f t="shared" si="0"/>
        <v/>
      </c>
      <c r="N16" t="s">
        <v>19</v>
      </c>
    </row>
    <row r="17" spans="1:14" x14ac:dyDescent="0.3">
      <c r="A17">
        <v>16</v>
      </c>
      <c r="B17" t="s">
        <v>65</v>
      </c>
      <c r="C17" t="s">
        <v>66</v>
      </c>
      <c r="D17" t="s">
        <v>67</v>
      </c>
      <c r="E17" t="s">
        <v>17</v>
      </c>
      <c r="F17" t="s">
        <v>64</v>
      </c>
      <c r="G17" s="3">
        <v>15.4</v>
      </c>
      <c r="H17" s="3">
        <v>0</v>
      </c>
      <c r="I17" s="3">
        <v>15.4</v>
      </c>
      <c r="J17" s="3">
        <f>Table1[[#This Row],[قيمة الفاتورة]]*0.94-Table1[[#This Row],[قيمة المشاركة]]</f>
        <v>14.475999999999999</v>
      </c>
      <c r="L17" s="3" t="str">
        <f t="shared" si="0"/>
        <v/>
      </c>
      <c r="N17" t="s">
        <v>19</v>
      </c>
    </row>
    <row r="18" spans="1:14" x14ac:dyDescent="0.3">
      <c r="A18">
        <v>17</v>
      </c>
      <c r="B18" t="s">
        <v>68</v>
      </c>
      <c r="C18" t="s">
        <v>69</v>
      </c>
      <c r="D18" t="s">
        <v>70</v>
      </c>
      <c r="E18" t="s">
        <v>23</v>
      </c>
      <c r="F18" t="s">
        <v>71</v>
      </c>
      <c r="G18" s="3">
        <v>36.630000000000003</v>
      </c>
      <c r="H18" s="3">
        <v>0</v>
      </c>
      <c r="I18" s="3">
        <v>36.630000000000003</v>
      </c>
      <c r="J18" s="3">
        <f>Table1[[#This Row],[قيمة الفاتورة]]*0.94-Table1[[#This Row],[قيمة المشاركة]]</f>
        <v>34.432200000000002</v>
      </c>
      <c r="L18" s="3" t="str">
        <f t="shared" si="0"/>
        <v/>
      </c>
      <c r="N18" t="s">
        <v>19</v>
      </c>
    </row>
    <row r="19" spans="1:14" x14ac:dyDescent="0.3">
      <c r="A19">
        <v>18</v>
      </c>
      <c r="B19" t="s">
        <v>72</v>
      </c>
      <c r="C19" t="s">
        <v>73</v>
      </c>
      <c r="D19" t="s">
        <v>74</v>
      </c>
      <c r="E19" t="s">
        <v>23</v>
      </c>
      <c r="F19" t="s">
        <v>71</v>
      </c>
      <c r="G19" s="3">
        <v>11.49</v>
      </c>
      <c r="H19" s="3">
        <v>0</v>
      </c>
      <c r="I19" s="3">
        <v>11.49</v>
      </c>
      <c r="J19" s="3">
        <f>Table1[[#This Row],[قيمة الفاتورة]]*0.94-Table1[[#This Row],[قيمة المشاركة]]</f>
        <v>10.800599999999999</v>
      </c>
      <c r="L19" s="3" t="str">
        <f t="shared" si="0"/>
        <v/>
      </c>
      <c r="N19" t="s">
        <v>19</v>
      </c>
    </row>
    <row r="20" spans="1:14" x14ac:dyDescent="0.3">
      <c r="A20">
        <v>22</v>
      </c>
      <c r="B20" t="s">
        <v>75</v>
      </c>
      <c r="C20" t="s">
        <v>76</v>
      </c>
      <c r="D20" t="s">
        <v>77</v>
      </c>
      <c r="E20" t="s">
        <v>23</v>
      </c>
      <c r="F20" t="s">
        <v>78</v>
      </c>
      <c r="G20" s="3">
        <v>20.28</v>
      </c>
      <c r="H20" s="3">
        <v>0</v>
      </c>
      <c r="I20" s="3">
        <v>20.28</v>
      </c>
      <c r="J20" s="3">
        <f>Table1[[#This Row],[قيمة الفاتورة]]*0.94-Table1[[#This Row],[قيمة المشاركة]]</f>
        <v>19.063199999999998</v>
      </c>
      <c r="L20" s="3" t="str">
        <f t="shared" si="0"/>
        <v/>
      </c>
      <c r="N20" t="s">
        <v>19</v>
      </c>
    </row>
    <row r="21" spans="1:14" x14ac:dyDescent="0.3">
      <c r="A21">
        <v>21</v>
      </c>
      <c r="B21" t="s">
        <v>79</v>
      </c>
      <c r="C21" t="s">
        <v>80</v>
      </c>
      <c r="D21" t="s">
        <v>81</v>
      </c>
      <c r="E21" t="s">
        <v>17</v>
      </c>
      <c r="F21" t="s">
        <v>78</v>
      </c>
      <c r="G21" s="3">
        <v>12.08</v>
      </c>
      <c r="H21" s="3">
        <v>0</v>
      </c>
      <c r="I21" s="3">
        <v>12.08</v>
      </c>
      <c r="J21" s="3">
        <f>Table1[[#This Row],[قيمة الفاتورة]]*0.94-Table1[[#This Row],[قيمة المشاركة]]</f>
        <v>11.3552</v>
      </c>
      <c r="L21" s="3" t="str">
        <f t="shared" si="0"/>
        <v/>
      </c>
      <c r="N21" t="s">
        <v>19</v>
      </c>
    </row>
    <row r="22" spans="1:14" x14ac:dyDescent="0.3">
      <c r="A22">
        <v>20</v>
      </c>
      <c r="B22" t="s">
        <v>82</v>
      </c>
      <c r="C22" t="s">
        <v>83</v>
      </c>
      <c r="D22" t="s">
        <v>84</v>
      </c>
      <c r="E22" t="s">
        <v>17</v>
      </c>
      <c r="F22" t="s">
        <v>78</v>
      </c>
      <c r="G22" s="3">
        <v>20.39</v>
      </c>
      <c r="H22" s="3">
        <v>0</v>
      </c>
      <c r="I22" s="3">
        <v>20.39</v>
      </c>
      <c r="J22" s="3">
        <f>Table1[[#This Row],[قيمة الفاتورة]]*0.94-Table1[[#This Row],[قيمة المشاركة]]</f>
        <v>19.166599999999999</v>
      </c>
      <c r="L22" s="3" t="str">
        <f t="shared" si="0"/>
        <v/>
      </c>
      <c r="N22" t="s">
        <v>19</v>
      </c>
    </row>
    <row r="23" spans="1:14" x14ac:dyDescent="0.3">
      <c r="A23">
        <v>24</v>
      </c>
      <c r="B23" t="s">
        <v>85</v>
      </c>
      <c r="C23" t="s">
        <v>86</v>
      </c>
      <c r="D23" t="s">
        <v>87</v>
      </c>
      <c r="E23" t="s">
        <v>23</v>
      </c>
      <c r="F23" t="s">
        <v>78</v>
      </c>
      <c r="G23" s="3">
        <v>28.32</v>
      </c>
      <c r="H23" s="3">
        <v>0</v>
      </c>
      <c r="I23" s="3">
        <v>28.32</v>
      </c>
      <c r="J23" s="3">
        <f>Table1[[#This Row],[قيمة الفاتورة]]*0.94-Table1[[#This Row],[قيمة المشاركة]]</f>
        <v>26.620799999999999</v>
      </c>
      <c r="L23" s="3" t="str">
        <f t="shared" si="0"/>
        <v/>
      </c>
      <c r="N23" t="s">
        <v>19</v>
      </c>
    </row>
    <row r="24" spans="1:14" x14ac:dyDescent="0.3">
      <c r="A24">
        <v>19</v>
      </c>
      <c r="B24" t="s">
        <v>88</v>
      </c>
      <c r="C24" t="s">
        <v>89</v>
      </c>
      <c r="D24" t="s">
        <v>90</v>
      </c>
      <c r="E24" t="s">
        <v>17</v>
      </c>
      <c r="F24" t="s">
        <v>78</v>
      </c>
      <c r="G24" s="3">
        <v>22.91</v>
      </c>
      <c r="H24" s="3">
        <v>3.4359999999999999</v>
      </c>
      <c r="I24" s="3">
        <v>19.474</v>
      </c>
      <c r="J24" s="3">
        <f>Table1[[#This Row],[قيمة الفاتورة]]*0.94-Table1[[#This Row],[قيمة المشاركة]]</f>
        <v>18.099399999999999</v>
      </c>
      <c r="L24" s="3" t="str">
        <f t="shared" si="0"/>
        <v/>
      </c>
      <c r="N24" t="s">
        <v>19</v>
      </c>
    </row>
    <row r="25" spans="1:14" x14ac:dyDescent="0.3">
      <c r="A25">
        <v>23</v>
      </c>
      <c r="B25" t="s">
        <v>91</v>
      </c>
      <c r="C25" t="s">
        <v>92</v>
      </c>
      <c r="D25" t="s">
        <v>93</v>
      </c>
      <c r="E25" t="s">
        <v>17</v>
      </c>
      <c r="F25" t="s">
        <v>78</v>
      </c>
      <c r="G25" s="3">
        <v>37.9</v>
      </c>
      <c r="H25" s="3">
        <v>0</v>
      </c>
      <c r="I25" s="3">
        <v>37.9</v>
      </c>
      <c r="J25" s="3">
        <f>Table1[[#This Row],[قيمة الفاتورة]]*0.94-Table1[[#This Row],[قيمة المشاركة]]</f>
        <v>35.625999999999998</v>
      </c>
      <c r="L25" s="3" t="str">
        <f t="shared" si="0"/>
        <v/>
      </c>
      <c r="N25" t="s">
        <v>19</v>
      </c>
    </row>
    <row r="26" spans="1:14" x14ac:dyDescent="0.3">
      <c r="A26">
        <v>26</v>
      </c>
      <c r="B26" t="s">
        <v>94</v>
      </c>
      <c r="C26" t="s">
        <v>95</v>
      </c>
      <c r="D26" t="s">
        <v>96</v>
      </c>
      <c r="E26" t="s">
        <v>23</v>
      </c>
      <c r="F26" t="s">
        <v>97</v>
      </c>
      <c r="G26" s="3">
        <v>20.440000000000001</v>
      </c>
      <c r="H26" s="3">
        <v>0</v>
      </c>
      <c r="I26" s="3">
        <v>20.440000000000001</v>
      </c>
      <c r="J26" s="3">
        <f>Table1[[#This Row],[قيمة الفاتورة]]*0.94-Table1[[#This Row],[قيمة المشاركة]]</f>
        <v>19.2136</v>
      </c>
      <c r="L26" s="3" t="str">
        <f t="shared" si="0"/>
        <v/>
      </c>
      <c r="N26" t="s">
        <v>19</v>
      </c>
    </row>
    <row r="27" spans="1:14" x14ac:dyDescent="0.3">
      <c r="A27">
        <v>25</v>
      </c>
      <c r="B27" t="s">
        <v>98</v>
      </c>
      <c r="C27" t="s">
        <v>99</v>
      </c>
      <c r="D27" t="s">
        <v>100</v>
      </c>
      <c r="E27" t="s">
        <v>17</v>
      </c>
      <c r="F27" t="s">
        <v>97</v>
      </c>
      <c r="G27" s="3">
        <v>13.56</v>
      </c>
      <c r="H27" s="3">
        <v>0</v>
      </c>
      <c r="I27" s="3">
        <v>13.56</v>
      </c>
      <c r="J27" s="3">
        <f>Table1[[#This Row],[قيمة الفاتورة]]*0.94-Table1[[#This Row],[قيمة المشاركة]]</f>
        <v>12.7464</v>
      </c>
      <c r="L27" s="3" t="str">
        <f t="shared" si="0"/>
        <v/>
      </c>
      <c r="N27" t="s">
        <v>19</v>
      </c>
    </row>
    <row r="28" spans="1:14" x14ac:dyDescent="0.3">
      <c r="A28">
        <v>29</v>
      </c>
      <c r="B28" t="s">
        <v>101</v>
      </c>
      <c r="C28" t="s">
        <v>102</v>
      </c>
      <c r="D28" t="s">
        <v>103</v>
      </c>
      <c r="E28" t="s">
        <v>23</v>
      </c>
      <c r="F28" t="s">
        <v>97</v>
      </c>
      <c r="G28" s="3">
        <v>18.07</v>
      </c>
      <c r="H28" s="3">
        <v>0</v>
      </c>
      <c r="I28" s="3">
        <v>18.07</v>
      </c>
      <c r="J28" s="3">
        <f>Table1[[#This Row],[قيمة الفاتورة]]*0.94-Table1[[#This Row],[قيمة المشاركة]]</f>
        <v>16.985799999999998</v>
      </c>
      <c r="L28" s="3" t="str">
        <f t="shared" si="0"/>
        <v/>
      </c>
      <c r="N28" t="s">
        <v>19</v>
      </c>
    </row>
    <row r="29" spans="1:14" x14ac:dyDescent="0.3">
      <c r="A29">
        <v>27</v>
      </c>
      <c r="B29" t="s">
        <v>104</v>
      </c>
      <c r="C29" t="s">
        <v>105</v>
      </c>
      <c r="D29" t="s">
        <v>106</v>
      </c>
      <c r="E29" t="s">
        <v>23</v>
      </c>
      <c r="F29" t="s">
        <v>97</v>
      </c>
      <c r="G29" s="3">
        <v>15.74</v>
      </c>
      <c r="H29" s="3">
        <v>0</v>
      </c>
      <c r="I29" s="3">
        <v>15.74</v>
      </c>
      <c r="J29" s="3">
        <f>Table1[[#This Row],[قيمة الفاتورة]]*0.94-Table1[[#This Row],[قيمة المشاركة]]</f>
        <v>14.795599999999999</v>
      </c>
      <c r="L29" s="3" t="str">
        <f t="shared" si="0"/>
        <v/>
      </c>
      <c r="N29" t="s">
        <v>19</v>
      </c>
    </row>
    <row r="30" spans="1:14" x14ac:dyDescent="0.3">
      <c r="A30">
        <v>28</v>
      </c>
      <c r="B30" t="s">
        <v>107</v>
      </c>
      <c r="C30" t="s">
        <v>108</v>
      </c>
      <c r="D30" t="s">
        <v>109</v>
      </c>
      <c r="E30" t="s">
        <v>23</v>
      </c>
      <c r="F30" t="s">
        <v>97</v>
      </c>
      <c r="G30" s="3">
        <v>53.91</v>
      </c>
      <c r="H30" s="3">
        <v>0</v>
      </c>
      <c r="I30" s="3">
        <v>53.91</v>
      </c>
      <c r="J30" s="3">
        <f>Table1[[#This Row],[قيمة الفاتورة]]*0.94-Table1[[#This Row],[قيمة المشاركة]]</f>
        <v>50.675399999999996</v>
      </c>
      <c r="L30" s="3" t="str">
        <f t="shared" si="0"/>
        <v/>
      </c>
    </row>
    <row r="31" spans="1:14" x14ac:dyDescent="0.3">
      <c r="A31">
        <v>30</v>
      </c>
      <c r="B31" t="s">
        <v>79</v>
      </c>
      <c r="C31" t="s">
        <v>110</v>
      </c>
      <c r="D31" t="s">
        <v>111</v>
      </c>
      <c r="E31" t="s">
        <v>17</v>
      </c>
      <c r="F31" t="s">
        <v>112</v>
      </c>
      <c r="G31" s="3">
        <v>1.93</v>
      </c>
      <c r="H31" s="3">
        <v>0</v>
      </c>
      <c r="I31" s="3">
        <v>1.93</v>
      </c>
      <c r="J31" s="3">
        <f>Table1[[#This Row],[قيمة الفاتورة]]*0.94-Table1[[#This Row],[قيمة المشاركة]]</f>
        <v>1.8141999999999998</v>
      </c>
      <c r="L31" s="3" t="str">
        <f t="shared" si="0"/>
        <v/>
      </c>
      <c r="N31" t="s">
        <v>19</v>
      </c>
    </row>
    <row r="32" spans="1:14" x14ac:dyDescent="0.3">
      <c r="A32">
        <v>31</v>
      </c>
      <c r="B32" t="s">
        <v>113</v>
      </c>
      <c r="C32" t="s">
        <v>114</v>
      </c>
      <c r="D32" t="s">
        <v>115</v>
      </c>
      <c r="E32" t="s">
        <v>23</v>
      </c>
      <c r="F32" t="s">
        <v>112</v>
      </c>
      <c r="G32" s="3">
        <v>13.83</v>
      </c>
      <c r="H32" s="3">
        <v>2.0739999999999998</v>
      </c>
      <c r="I32" s="3">
        <v>11.756</v>
      </c>
      <c r="J32" s="3">
        <f>Table1[[#This Row],[قيمة الفاتورة]]*0.94-Table1[[#This Row],[قيمة المشاركة]]</f>
        <v>10.9262</v>
      </c>
      <c r="L32" s="3" t="str">
        <f t="shared" si="0"/>
        <v/>
      </c>
      <c r="N32" t="s">
        <v>19</v>
      </c>
    </row>
    <row r="33" spans="1:14" x14ac:dyDescent="0.3">
      <c r="A33">
        <v>36</v>
      </c>
      <c r="B33" t="s">
        <v>116</v>
      </c>
      <c r="C33" t="s">
        <v>117</v>
      </c>
      <c r="D33" t="s">
        <v>118</v>
      </c>
      <c r="E33" t="s">
        <v>23</v>
      </c>
      <c r="F33" t="s">
        <v>119</v>
      </c>
      <c r="G33" s="3">
        <v>16.510000000000002</v>
      </c>
      <c r="H33" s="3">
        <v>0</v>
      </c>
      <c r="I33" s="3">
        <v>16.510000000000002</v>
      </c>
      <c r="J33" s="3">
        <f>Table1[[#This Row],[قيمة الفاتورة]]*0.94-Table1[[#This Row],[قيمة المشاركة]]</f>
        <v>15.519400000000001</v>
      </c>
      <c r="L33" s="3" t="str">
        <f t="shared" si="0"/>
        <v/>
      </c>
      <c r="N33" t="s">
        <v>19</v>
      </c>
    </row>
    <row r="34" spans="1:14" x14ac:dyDescent="0.3">
      <c r="A34">
        <v>35</v>
      </c>
      <c r="B34" t="s">
        <v>120</v>
      </c>
      <c r="C34" t="s">
        <v>121</v>
      </c>
      <c r="D34" t="s">
        <v>122</v>
      </c>
      <c r="E34" t="s">
        <v>23</v>
      </c>
      <c r="F34" t="s">
        <v>119</v>
      </c>
      <c r="G34" s="3">
        <v>36.44</v>
      </c>
      <c r="H34" s="3">
        <v>0</v>
      </c>
      <c r="I34" s="3">
        <v>36.44</v>
      </c>
      <c r="J34" s="3">
        <f>Table1[[#This Row],[قيمة الفاتورة]]*0.94-Table1[[#This Row],[قيمة المشاركة]]</f>
        <v>34.253599999999999</v>
      </c>
      <c r="L34" s="3" t="str">
        <f t="shared" si="0"/>
        <v/>
      </c>
      <c r="N34" t="s">
        <v>19</v>
      </c>
    </row>
    <row r="35" spans="1:14" x14ac:dyDescent="0.3">
      <c r="A35">
        <v>34</v>
      </c>
      <c r="B35" t="s">
        <v>123</v>
      </c>
      <c r="C35" t="s">
        <v>124</v>
      </c>
      <c r="D35" t="s">
        <v>125</v>
      </c>
      <c r="E35" t="s">
        <v>17</v>
      </c>
      <c r="F35" t="s">
        <v>119</v>
      </c>
      <c r="G35" s="3">
        <v>26.59</v>
      </c>
      <c r="H35" s="3">
        <v>0</v>
      </c>
      <c r="I35" s="3">
        <v>26.59</v>
      </c>
      <c r="J35" s="3">
        <f>Table1[[#This Row],[قيمة الفاتورة]]*0.94-Table1[[#This Row],[قيمة المشاركة]]</f>
        <v>24.994599999999998</v>
      </c>
      <c r="L35" s="3" t="str">
        <f t="shared" si="0"/>
        <v/>
      </c>
      <c r="N35" t="s">
        <v>126</v>
      </c>
    </row>
    <row r="36" spans="1:14" x14ac:dyDescent="0.3">
      <c r="A36">
        <v>32</v>
      </c>
      <c r="B36" t="s">
        <v>127</v>
      </c>
      <c r="C36" t="s">
        <v>128</v>
      </c>
      <c r="D36" t="s">
        <v>129</v>
      </c>
      <c r="E36" t="s">
        <v>23</v>
      </c>
      <c r="F36" t="s">
        <v>119</v>
      </c>
      <c r="G36" s="3">
        <v>28.42</v>
      </c>
      <c r="H36" s="3">
        <v>0</v>
      </c>
      <c r="I36" s="3">
        <v>28.42</v>
      </c>
      <c r="J36" s="3">
        <f>Table1[[#This Row],[قيمة الفاتورة]]*0.94-Table1[[#This Row],[قيمة المشاركة]]</f>
        <v>26.7148</v>
      </c>
      <c r="L36" s="3" t="str">
        <f t="shared" si="0"/>
        <v/>
      </c>
      <c r="N36" t="s">
        <v>126</v>
      </c>
    </row>
    <row r="37" spans="1:14" x14ac:dyDescent="0.3">
      <c r="A37">
        <v>33</v>
      </c>
      <c r="B37" t="s">
        <v>127</v>
      </c>
      <c r="C37" t="s">
        <v>128</v>
      </c>
      <c r="D37" t="s">
        <v>130</v>
      </c>
      <c r="E37" t="s">
        <v>23</v>
      </c>
      <c r="F37" t="s">
        <v>119</v>
      </c>
      <c r="G37" s="3">
        <v>33.393999999999998</v>
      </c>
      <c r="H37" s="3">
        <v>0</v>
      </c>
      <c r="I37" s="3">
        <v>33.393999999999998</v>
      </c>
      <c r="J37" s="3">
        <f>Table1[[#This Row],[قيمة الفاتورة]]*0.94-Table1[[#This Row],[قيمة المشاركة]]</f>
        <v>31.390359999999998</v>
      </c>
      <c r="L37" s="3" t="str">
        <f t="shared" si="0"/>
        <v/>
      </c>
      <c r="N37" t="s">
        <v>126</v>
      </c>
    </row>
    <row r="38" spans="1:14" x14ac:dyDescent="0.3">
      <c r="A38">
        <v>1</v>
      </c>
      <c r="B38" t="s">
        <v>131</v>
      </c>
      <c r="C38" t="s">
        <v>132</v>
      </c>
      <c r="D38" t="s">
        <v>133</v>
      </c>
      <c r="E38" t="s">
        <v>17</v>
      </c>
      <c r="F38" t="s">
        <v>119</v>
      </c>
      <c r="G38" s="3">
        <v>20.207000000000001</v>
      </c>
      <c r="H38" s="3">
        <v>3.0310000000000001</v>
      </c>
      <c r="I38" s="3">
        <v>17.175999999999998</v>
      </c>
      <c r="J38" s="3">
        <f>Table1[[#This Row],[قيمة الفاتورة]]*0.94-Table1[[#This Row],[قيمة المشاركة]]</f>
        <v>15.963579999999999</v>
      </c>
      <c r="L38" s="3" t="str">
        <f t="shared" si="0"/>
        <v/>
      </c>
      <c r="N38" t="s">
        <v>19</v>
      </c>
    </row>
    <row r="39" spans="1:14" x14ac:dyDescent="0.3">
      <c r="A39">
        <v>40</v>
      </c>
      <c r="B39" t="s">
        <v>134</v>
      </c>
      <c r="C39" t="s">
        <v>135</v>
      </c>
      <c r="D39" t="s">
        <v>136</v>
      </c>
      <c r="E39" t="s">
        <v>23</v>
      </c>
      <c r="F39" t="s">
        <v>137</v>
      </c>
      <c r="G39" s="3">
        <v>7.13</v>
      </c>
      <c r="H39" s="3">
        <v>0</v>
      </c>
      <c r="I39" s="3">
        <v>7.13</v>
      </c>
      <c r="J39" s="3">
        <f>Table1[[#This Row],[قيمة الفاتورة]]*0.94-Table1[[#This Row],[قيمة المشاركة]]</f>
        <v>6.7021999999999995</v>
      </c>
      <c r="L39" s="3" t="str">
        <f t="shared" si="0"/>
        <v/>
      </c>
      <c r="N39" t="s">
        <v>19</v>
      </c>
    </row>
    <row r="40" spans="1:14" x14ac:dyDescent="0.3">
      <c r="A40">
        <v>41</v>
      </c>
      <c r="B40" t="s">
        <v>29</v>
      </c>
      <c r="C40" t="s">
        <v>30</v>
      </c>
      <c r="D40" t="s">
        <v>138</v>
      </c>
      <c r="E40" t="s">
        <v>23</v>
      </c>
      <c r="F40" t="s">
        <v>137</v>
      </c>
      <c r="G40" s="3">
        <v>23.64</v>
      </c>
      <c r="H40" s="3">
        <v>0</v>
      </c>
      <c r="I40" s="3">
        <v>23.64</v>
      </c>
      <c r="J40" s="3">
        <f>Table1[[#This Row],[قيمة الفاتورة]]*0.94-Table1[[#This Row],[قيمة المشاركة]]</f>
        <v>22.221599999999999</v>
      </c>
      <c r="L40" s="3" t="str">
        <f t="shared" si="0"/>
        <v/>
      </c>
      <c r="N40" t="s">
        <v>19</v>
      </c>
    </row>
    <row r="41" spans="1:14" x14ac:dyDescent="0.3">
      <c r="A41">
        <v>37</v>
      </c>
      <c r="B41" t="s">
        <v>139</v>
      </c>
      <c r="C41" t="s">
        <v>140</v>
      </c>
      <c r="D41" t="s">
        <v>141</v>
      </c>
      <c r="E41" t="s">
        <v>17</v>
      </c>
      <c r="F41" t="s">
        <v>137</v>
      </c>
      <c r="G41" s="3">
        <v>9.69</v>
      </c>
      <c r="H41" s="3">
        <v>0</v>
      </c>
      <c r="I41" s="3">
        <v>9.69</v>
      </c>
      <c r="J41" s="3">
        <f>Table1[[#This Row],[قيمة الفاتورة]]*0.94-Table1[[#This Row],[قيمة المشاركة]]</f>
        <v>9.1085999999999991</v>
      </c>
      <c r="L41" s="3" t="str">
        <f t="shared" si="0"/>
        <v/>
      </c>
      <c r="N41" t="s">
        <v>19</v>
      </c>
    </row>
    <row r="42" spans="1:14" x14ac:dyDescent="0.3">
      <c r="A42">
        <v>38</v>
      </c>
      <c r="B42" t="s">
        <v>142</v>
      </c>
      <c r="C42" t="s">
        <v>143</v>
      </c>
      <c r="D42" t="s">
        <v>144</v>
      </c>
      <c r="E42" t="s">
        <v>23</v>
      </c>
      <c r="F42" t="s">
        <v>137</v>
      </c>
      <c r="G42" s="3">
        <v>12.79</v>
      </c>
      <c r="H42" s="3">
        <v>0</v>
      </c>
      <c r="I42" s="3">
        <v>12.79</v>
      </c>
      <c r="J42" s="3">
        <f>Table1[[#This Row],[قيمة الفاتورة]]*0.94-Table1[[#This Row],[قيمة المشاركة]]</f>
        <v>12.022599999999999</v>
      </c>
      <c r="L42" s="3" t="str">
        <f t="shared" si="0"/>
        <v/>
      </c>
      <c r="N42" t="s">
        <v>19</v>
      </c>
    </row>
    <row r="43" spans="1:14" x14ac:dyDescent="0.3">
      <c r="A43">
        <v>39</v>
      </c>
      <c r="B43" t="s">
        <v>145</v>
      </c>
      <c r="C43" t="s">
        <v>146</v>
      </c>
      <c r="D43" t="s">
        <v>145</v>
      </c>
      <c r="E43" t="s">
        <v>23</v>
      </c>
      <c r="F43" t="s">
        <v>137</v>
      </c>
      <c r="G43" s="3">
        <v>15.18</v>
      </c>
      <c r="H43" s="3">
        <v>0</v>
      </c>
      <c r="I43" s="3">
        <v>15.18</v>
      </c>
      <c r="J43" s="3">
        <f>Table1[[#This Row],[قيمة الفاتورة]]*0.94-Table1[[#This Row],[قيمة المشاركة]]</f>
        <v>14.2692</v>
      </c>
      <c r="L43" s="3" t="str">
        <f t="shared" si="0"/>
        <v/>
      </c>
    </row>
    <row r="44" spans="1:14" x14ac:dyDescent="0.3">
      <c r="A44">
        <v>43</v>
      </c>
      <c r="B44" t="s">
        <v>147</v>
      </c>
      <c r="C44" t="s">
        <v>148</v>
      </c>
      <c r="D44" t="s">
        <v>149</v>
      </c>
      <c r="E44" t="s">
        <v>17</v>
      </c>
      <c r="F44" t="s">
        <v>150</v>
      </c>
      <c r="G44" s="3">
        <v>24.52</v>
      </c>
      <c r="H44" s="3">
        <v>0</v>
      </c>
      <c r="I44" s="3">
        <v>24.52</v>
      </c>
      <c r="J44" s="3">
        <f>Table1[[#This Row],[قيمة الفاتورة]]*0.94-Table1[[#This Row],[قيمة المشاركة]]</f>
        <v>23.0488</v>
      </c>
      <c r="L44" s="3" t="str">
        <f t="shared" si="0"/>
        <v/>
      </c>
      <c r="N44" t="s">
        <v>19</v>
      </c>
    </row>
    <row r="45" spans="1:14" x14ac:dyDescent="0.3">
      <c r="A45">
        <v>42</v>
      </c>
      <c r="B45" t="s">
        <v>151</v>
      </c>
      <c r="C45" t="s">
        <v>152</v>
      </c>
      <c r="D45" t="s">
        <v>153</v>
      </c>
      <c r="E45" t="s">
        <v>23</v>
      </c>
      <c r="F45" t="s">
        <v>150</v>
      </c>
      <c r="G45" s="3">
        <v>25.91</v>
      </c>
      <c r="H45" s="3">
        <v>0</v>
      </c>
      <c r="I45" s="3">
        <v>25.91</v>
      </c>
      <c r="J45" s="3">
        <f>Table1[[#This Row],[قيمة الفاتورة]]*0.94-Table1[[#This Row],[قيمة المشاركة]]</f>
        <v>24.355399999999999</v>
      </c>
      <c r="L45" s="3" t="str">
        <f t="shared" si="0"/>
        <v/>
      </c>
      <c r="N45" t="s">
        <v>19</v>
      </c>
    </row>
    <row r="46" spans="1:14" x14ac:dyDescent="0.3">
      <c r="A46">
        <v>44</v>
      </c>
      <c r="B46" t="s">
        <v>154</v>
      </c>
      <c r="C46" t="s">
        <v>155</v>
      </c>
      <c r="D46" t="s">
        <v>156</v>
      </c>
      <c r="E46" t="s">
        <v>17</v>
      </c>
      <c r="F46" t="s">
        <v>150</v>
      </c>
      <c r="G46" s="3">
        <v>47.26</v>
      </c>
      <c r="H46" s="3">
        <v>0</v>
      </c>
      <c r="I46" s="3">
        <v>47.26</v>
      </c>
      <c r="J46" s="3">
        <f>Table1[[#This Row],[قيمة الفاتورة]]*0.94-Table1[[#This Row],[قيمة المشاركة]]</f>
        <v>44.424399999999999</v>
      </c>
      <c r="L46" s="3" t="str">
        <f t="shared" si="0"/>
        <v/>
      </c>
    </row>
    <row r="47" spans="1:14" x14ac:dyDescent="0.3">
      <c r="A47">
        <v>45</v>
      </c>
      <c r="B47" t="s">
        <v>157</v>
      </c>
      <c r="C47" t="s">
        <v>158</v>
      </c>
      <c r="D47" t="s">
        <v>159</v>
      </c>
      <c r="E47" t="s">
        <v>17</v>
      </c>
      <c r="F47" t="s">
        <v>160</v>
      </c>
      <c r="G47" s="3">
        <v>30.57</v>
      </c>
      <c r="H47" s="3">
        <v>4.585</v>
      </c>
      <c r="I47" s="3">
        <v>25.984999999999999</v>
      </c>
      <c r="J47" s="3">
        <f>Table1[[#This Row],[قيمة الفاتورة]]*0.94-Table1[[#This Row],[قيمة المشاركة]]</f>
        <v>24.150799999999997</v>
      </c>
      <c r="L47" s="3" t="str">
        <f t="shared" si="0"/>
        <v/>
      </c>
      <c r="N47" t="s">
        <v>19</v>
      </c>
    </row>
    <row r="48" spans="1:14" x14ac:dyDescent="0.3">
      <c r="A48">
        <v>48</v>
      </c>
      <c r="B48" t="s">
        <v>161</v>
      </c>
      <c r="C48" t="s">
        <v>162</v>
      </c>
      <c r="D48" t="s">
        <v>163</v>
      </c>
      <c r="E48" t="s">
        <v>17</v>
      </c>
      <c r="F48" t="s">
        <v>164</v>
      </c>
      <c r="G48" s="3">
        <v>22.25</v>
      </c>
      <c r="H48" s="3">
        <v>0</v>
      </c>
      <c r="I48" s="3">
        <v>22.25</v>
      </c>
      <c r="J48" s="3">
        <f>Table1[[#This Row],[قيمة الفاتورة]]*0.94-Table1[[#This Row],[قيمة المشاركة]]</f>
        <v>20.914999999999999</v>
      </c>
      <c r="L48" s="3" t="str">
        <f t="shared" si="0"/>
        <v/>
      </c>
      <c r="N48" t="s">
        <v>19</v>
      </c>
    </row>
    <row r="49" spans="1:14" x14ac:dyDescent="0.3">
      <c r="A49">
        <v>47</v>
      </c>
      <c r="B49" t="s">
        <v>151</v>
      </c>
      <c r="C49" t="s">
        <v>152</v>
      </c>
      <c r="D49" t="s">
        <v>165</v>
      </c>
      <c r="E49" t="s">
        <v>17</v>
      </c>
      <c r="F49" t="s">
        <v>164</v>
      </c>
      <c r="G49" s="3">
        <v>36.93</v>
      </c>
      <c r="H49" s="3">
        <v>0</v>
      </c>
      <c r="I49" s="3">
        <v>36.93</v>
      </c>
      <c r="J49" s="3">
        <f>Table1[[#This Row],[قيمة الفاتورة]]*0.94-Table1[[#This Row],[قيمة المشاركة]]</f>
        <v>34.714199999999998</v>
      </c>
      <c r="L49" s="3" t="str">
        <f t="shared" si="0"/>
        <v/>
      </c>
      <c r="N49" t="s">
        <v>19</v>
      </c>
    </row>
    <row r="50" spans="1:14" x14ac:dyDescent="0.3">
      <c r="A50">
        <v>49</v>
      </c>
      <c r="B50" t="s">
        <v>166</v>
      </c>
      <c r="C50" t="s">
        <v>167</v>
      </c>
      <c r="D50" t="s">
        <v>168</v>
      </c>
      <c r="E50" t="s">
        <v>17</v>
      </c>
      <c r="F50" t="s">
        <v>164</v>
      </c>
      <c r="G50" s="3">
        <v>35.909999999999997</v>
      </c>
      <c r="H50" s="3">
        <v>0</v>
      </c>
      <c r="I50" s="3">
        <v>35.909999999999997</v>
      </c>
      <c r="J50" s="3">
        <f>Table1[[#This Row],[قيمة الفاتورة]]*0.94-Table1[[#This Row],[قيمة المشاركة]]</f>
        <v>33.755399999999995</v>
      </c>
      <c r="L50" s="3" t="str">
        <f t="shared" si="0"/>
        <v/>
      </c>
      <c r="N50" t="s">
        <v>19</v>
      </c>
    </row>
    <row r="51" spans="1:14" x14ac:dyDescent="0.3">
      <c r="A51">
        <v>46</v>
      </c>
      <c r="B51" t="s">
        <v>169</v>
      </c>
      <c r="C51" t="s">
        <v>170</v>
      </c>
      <c r="D51" t="s">
        <v>171</v>
      </c>
      <c r="E51" t="s">
        <v>17</v>
      </c>
      <c r="F51" t="s">
        <v>164</v>
      </c>
      <c r="G51" s="3">
        <v>15.77</v>
      </c>
      <c r="H51" s="3">
        <v>0</v>
      </c>
      <c r="I51" s="3">
        <v>15.77</v>
      </c>
      <c r="J51" s="3">
        <f>Table1[[#This Row],[قيمة الفاتورة]]*0.94-Table1[[#This Row],[قيمة المشاركة]]</f>
        <v>14.823799999999999</v>
      </c>
      <c r="L51" s="3" t="str">
        <f t="shared" si="0"/>
        <v/>
      </c>
      <c r="N51" t="s">
        <v>19</v>
      </c>
    </row>
    <row r="52" spans="1:14" x14ac:dyDescent="0.3">
      <c r="A52">
        <v>50</v>
      </c>
      <c r="B52" t="s">
        <v>172</v>
      </c>
      <c r="C52" t="s">
        <v>173</v>
      </c>
      <c r="D52" t="s">
        <v>174</v>
      </c>
      <c r="E52" t="s">
        <v>17</v>
      </c>
      <c r="F52" t="s">
        <v>175</v>
      </c>
      <c r="G52" s="3">
        <v>16.079999999999998</v>
      </c>
      <c r="H52" s="3">
        <v>0</v>
      </c>
      <c r="I52" s="3">
        <v>16.079999999999998</v>
      </c>
      <c r="J52" s="3">
        <f>Table1[[#This Row],[قيمة الفاتورة]]*0.94-Table1[[#This Row],[قيمة المشاركة]]</f>
        <v>15.115199999999998</v>
      </c>
      <c r="L52" s="3" t="str">
        <f t="shared" si="0"/>
        <v/>
      </c>
      <c r="N52" t="s">
        <v>19</v>
      </c>
    </row>
    <row r="53" spans="1:14" x14ac:dyDescent="0.3">
      <c r="A53">
        <v>55</v>
      </c>
      <c r="B53" t="s">
        <v>176</v>
      </c>
      <c r="C53" t="s">
        <v>177</v>
      </c>
      <c r="D53" t="s">
        <v>178</v>
      </c>
      <c r="E53" t="s">
        <v>17</v>
      </c>
      <c r="F53" t="s">
        <v>175</v>
      </c>
      <c r="G53" s="3">
        <v>22.23</v>
      </c>
      <c r="H53" s="3">
        <v>0</v>
      </c>
      <c r="I53" s="3">
        <v>22.23</v>
      </c>
      <c r="J53" s="3">
        <f>Table1[[#This Row],[قيمة الفاتورة]]*0.94-Table1[[#This Row],[قيمة المشاركة]]</f>
        <v>20.8962</v>
      </c>
      <c r="L53" s="3" t="str">
        <f t="shared" si="0"/>
        <v/>
      </c>
      <c r="N53" t="s">
        <v>19</v>
      </c>
    </row>
    <row r="54" spans="1:14" x14ac:dyDescent="0.3">
      <c r="A54">
        <v>53</v>
      </c>
      <c r="B54" t="s">
        <v>179</v>
      </c>
      <c r="C54" t="s">
        <v>180</v>
      </c>
      <c r="D54" t="s">
        <v>181</v>
      </c>
      <c r="E54" t="s">
        <v>23</v>
      </c>
      <c r="F54" t="s">
        <v>175</v>
      </c>
      <c r="G54" s="3">
        <v>11.63</v>
      </c>
      <c r="H54" s="3">
        <v>0</v>
      </c>
      <c r="I54" s="3">
        <v>11.63</v>
      </c>
      <c r="J54" s="3">
        <f>Table1[[#This Row],[قيمة الفاتورة]]*0.94-Table1[[#This Row],[قيمة المشاركة]]</f>
        <v>10.9322</v>
      </c>
      <c r="L54" s="3" t="str">
        <f t="shared" si="0"/>
        <v/>
      </c>
      <c r="N54" t="s">
        <v>19</v>
      </c>
    </row>
    <row r="55" spans="1:14" x14ac:dyDescent="0.3">
      <c r="A55">
        <v>52</v>
      </c>
      <c r="B55" t="s">
        <v>182</v>
      </c>
      <c r="C55" t="s">
        <v>183</v>
      </c>
      <c r="D55" t="s">
        <v>184</v>
      </c>
      <c r="E55" t="s">
        <v>23</v>
      </c>
      <c r="F55" t="s">
        <v>175</v>
      </c>
      <c r="G55" s="3">
        <v>11.63</v>
      </c>
      <c r="H55" s="3">
        <v>0</v>
      </c>
      <c r="I55" s="3">
        <v>11.63</v>
      </c>
      <c r="J55" s="3">
        <f>Table1[[#This Row],[قيمة الفاتورة]]*0.94-Table1[[#This Row],[قيمة المشاركة]]</f>
        <v>10.9322</v>
      </c>
      <c r="L55" s="3" t="str">
        <f t="shared" si="0"/>
        <v/>
      </c>
      <c r="N55" t="s">
        <v>19</v>
      </c>
    </row>
    <row r="56" spans="1:14" x14ac:dyDescent="0.3">
      <c r="A56">
        <v>56</v>
      </c>
      <c r="B56" t="s">
        <v>185</v>
      </c>
      <c r="C56" t="s">
        <v>186</v>
      </c>
      <c r="D56" t="s">
        <v>187</v>
      </c>
      <c r="E56" t="s">
        <v>23</v>
      </c>
      <c r="F56" t="s">
        <v>175</v>
      </c>
      <c r="G56" s="3">
        <v>19.440000000000001</v>
      </c>
      <c r="H56" s="3">
        <v>0</v>
      </c>
      <c r="I56" s="3">
        <v>19.440000000000001</v>
      </c>
      <c r="J56" s="3">
        <f>Table1[[#This Row],[قيمة الفاتورة]]*0.94-Table1[[#This Row],[قيمة المشاركة]]</f>
        <v>18.273600000000002</v>
      </c>
      <c r="L56" s="3" t="str">
        <f t="shared" si="0"/>
        <v/>
      </c>
      <c r="N56" t="s">
        <v>19</v>
      </c>
    </row>
    <row r="57" spans="1:14" x14ac:dyDescent="0.3">
      <c r="A57">
        <v>54</v>
      </c>
      <c r="B57" t="s">
        <v>188</v>
      </c>
      <c r="C57" t="s">
        <v>167</v>
      </c>
      <c r="D57" t="s">
        <v>189</v>
      </c>
      <c r="E57" t="s">
        <v>23</v>
      </c>
      <c r="F57" t="s">
        <v>175</v>
      </c>
      <c r="G57" s="3">
        <v>13.64</v>
      </c>
      <c r="H57" s="3">
        <v>0</v>
      </c>
      <c r="I57" s="3">
        <v>13.64</v>
      </c>
      <c r="J57" s="3">
        <f>Table1[[#This Row],[قيمة الفاتورة]]*0.94-Table1[[#This Row],[قيمة المشاركة]]</f>
        <v>12.8216</v>
      </c>
      <c r="L57" s="3" t="str">
        <f t="shared" si="0"/>
        <v/>
      </c>
      <c r="N57" t="s">
        <v>19</v>
      </c>
    </row>
    <row r="58" spans="1:14" x14ac:dyDescent="0.3">
      <c r="A58">
        <v>51</v>
      </c>
      <c r="B58" t="s">
        <v>190</v>
      </c>
      <c r="C58" t="s">
        <v>191</v>
      </c>
      <c r="D58" t="s">
        <v>192</v>
      </c>
      <c r="E58" t="s">
        <v>23</v>
      </c>
      <c r="F58" t="s">
        <v>175</v>
      </c>
      <c r="G58" s="3">
        <v>16.25</v>
      </c>
      <c r="H58" s="3">
        <v>0</v>
      </c>
      <c r="I58" s="3">
        <v>16.25</v>
      </c>
      <c r="J58" s="3">
        <f>Table1[[#This Row],[قيمة الفاتورة]]*0.94-Table1[[#This Row],[قيمة المشاركة]]</f>
        <v>15.274999999999999</v>
      </c>
      <c r="L58" s="3" t="str">
        <f t="shared" si="0"/>
        <v/>
      </c>
      <c r="N58" t="s">
        <v>19</v>
      </c>
    </row>
    <row r="59" spans="1:14" x14ac:dyDescent="0.3">
      <c r="A59">
        <v>2</v>
      </c>
      <c r="B59" t="s">
        <v>193</v>
      </c>
      <c r="C59" t="s">
        <v>194</v>
      </c>
      <c r="D59" t="s">
        <v>195</v>
      </c>
      <c r="E59" t="s">
        <v>17</v>
      </c>
      <c r="F59" t="s">
        <v>175</v>
      </c>
      <c r="G59" s="3">
        <v>3.41</v>
      </c>
      <c r="H59" s="3">
        <v>0</v>
      </c>
      <c r="I59" s="3">
        <v>3.41</v>
      </c>
      <c r="J59" s="3">
        <f>Table1[[#This Row],[قيمة الفاتورة]]*0.94-Table1[[#This Row],[قيمة المشاركة]]</f>
        <v>3.2054</v>
      </c>
      <c r="L59" s="3" t="str">
        <f t="shared" si="0"/>
        <v/>
      </c>
    </row>
    <row r="60" spans="1:14" x14ac:dyDescent="0.3">
      <c r="A60">
        <v>60</v>
      </c>
      <c r="B60" t="s">
        <v>196</v>
      </c>
      <c r="C60" t="s">
        <v>197</v>
      </c>
      <c r="D60" t="s">
        <v>198</v>
      </c>
      <c r="E60" t="s">
        <v>23</v>
      </c>
      <c r="F60" t="s">
        <v>199</v>
      </c>
      <c r="G60" s="3">
        <v>39.909999999999997</v>
      </c>
      <c r="H60" s="3">
        <v>0</v>
      </c>
      <c r="I60" s="3">
        <v>39.909999999999997</v>
      </c>
      <c r="J60" s="3">
        <f>Table1[[#This Row],[قيمة الفاتورة]]*0.94-Table1[[#This Row],[قيمة المشاركة]]</f>
        <v>37.515399999999993</v>
      </c>
      <c r="L60" s="3" t="str">
        <f t="shared" si="0"/>
        <v/>
      </c>
      <c r="N60" t="s">
        <v>19</v>
      </c>
    </row>
    <row r="61" spans="1:14" x14ac:dyDescent="0.3">
      <c r="A61">
        <v>57</v>
      </c>
      <c r="B61" t="s">
        <v>200</v>
      </c>
      <c r="C61" t="s">
        <v>201</v>
      </c>
      <c r="D61" t="s">
        <v>202</v>
      </c>
      <c r="E61" t="s">
        <v>17</v>
      </c>
      <c r="F61" t="s">
        <v>199</v>
      </c>
      <c r="G61" s="3">
        <v>40.49</v>
      </c>
      <c r="H61" s="3">
        <v>0</v>
      </c>
      <c r="I61" s="3">
        <v>40.49</v>
      </c>
      <c r="J61" s="3">
        <f>Table1[[#This Row],[قيمة الفاتورة]]*0.94-Table1[[#This Row],[قيمة المشاركة]]</f>
        <v>38.060600000000001</v>
      </c>
      <c r="L61" s="3" t="str">
        <f t="shared" si="0"/>
        <v/>
      </c>
      <c r="N61" t="s">
        <v>19</v>
      </c>
    </row>
    <row r="62" spans="1:14" x14ac:dyDescent="0.3">
      <c r="A62">
        <v>58</v>
      </c>
      <c r="B62" t="s">
        <v>203</v>
      </c>
      <c r="C62" t="s">
        <v>204</v>
      </c>
      <c r="D62" t="s">
        <v>205</v>
      </c>
      <c r="E62" t="s">
        <v>17</v>
      </c>
      <c r="F62" t="s">
        <v>199</v>
      </c>
      <c r="G62" s="3">
        <v>46.01</v>
      </c>
      <c r="H62" s="3">
        <v>0</v>
      </c>
      <c r="I62" s="3">
        <v>46.01</v>
      </c>
      <c r="J62" s="3">
        <f>Table1[[#This Row],[قيمة الفاتورة]]*0.94-Table1[[#This Row],[قيمة المشاركة]]</f>
        <v>43.249399999999994</v>
      </c>
      <c r="L62" s="3" t="str">
        <f t="shared" si="0"/>
        <v/>
      </c>
      <c r="N62" t="s">
        <v>19</v>
      </c>
    </row>
    <row r="63" spans="1:14" x14ac:dyDescent="0.3">
      <c r="A63">
        <v>62</v>
      </c>
      <c r="B63" t="s">
        <v>206</v>
      </c>
      <c r="C63" t="s">
        <v>207</v>
      </c>
      <c r="D63" t="s">
        <v>208</v>
      </c>
      <c r="E63" t="s">
        <v>17</v>
      </c>
      <c r="F63" t="s">
        <v>199</v>
      </c>
      <c r="G63" s="3">
        <v>38.42</v>
      </c>
      <c r="H63" s="3">
        <v>0</v>
      </c>
      <c r="I63" s="3">
        <v>38.42</v>
      </c>
      <c r="J63" s="3">
        <f>Table1[[#This Row],[قيمة الفاتورة]]*0.94-Table1[[#This Row],[قيمة المشاركة]]</f>
        <v>36.114800000000002</v>
      </c>
      <c r="L63" s="3" t="str">
        <f t="shared" si="0"/>
        <v/>
      </c>
      <c r="N63" t="s">
        <v>19</v>
      </c>
    </row>
    <row r="64" spans="1:14" x14ac:dyDescent="0.3">
      <c r="A64">
        <v>63</v>
      </c>
      <c r="B64" t="s">
        <v>209</v>
      </c>
      <c r="C64" t="s">
        <v>210</v>
      </c>
      <c r="D64" t="s">
        <v>211</v>
      </c>
      <c r="E64" t="s">
        <v>17</v>
      </c>
      <c r="F64" t="s">
        <v>199</v>
      </c>
      <c r="G64" s="3">
        <v>3.23</v>
      </c>
      <c r="H64" s="3">
        <v>0.48399999999999999</v>
      </c>
      <c r="I64" s="3">
        <v>2.746</v>
      </c>
      <c r="J64" s="3">
        <f>Table1[[#This Row],[قيمة الفاتورة]]*0.94-Table1[[#This Row],[قيمة المشاركة]]</f>
        <v>2.5522</v>
      </c>
      <c r="L64" s="3" t="str">
        <f t="shared" si="0"/>
        <v/>
      </c>
      <c r="N64" t="s">
        <v>19</v>
      </c>
    </row>
    <row r="65" spans="1:14" x14ac:dyDescent="0.3">
      <c r="A65">
        <v>61</v>
      </c>
      <c r="B65" t="s">
        <v>212</v>
      </c>
      <c r="C65" t="s">
        <v>213</v>
      </c>
      <c r="D65" t="s">
        <v>214</v>
      </c>
      <c r="E65" t="s">
        <v>23</v>
      </c>
      <c r="F65" t="s">
        <v>199</v>
      </c>
      <c r="G65" s="3">
        <v>27.56</v>
      </c>
      <c r="H65" s="3">
        <v>0</v>
      </c>
      <c r="I65" s="3">
        <v>27.56</v>
      </c>
      <c r="J65" s="3">
        <f>Table1[[#This Row],[قيمة الفاتورة]]*0.94-Table1[[#This Row],[قيمة المشاركة]]</f>
        <v>25.906399999999998</v>
      </c>
      <c r="L65" s="3" t="str">
        <f t="shared" si="0"/>
        <v/>
      </c>
      <c r="N65" t="s">
        <v>19</v>
      </c>
    </row>
    <row r="66" spans="1:14" x14ac:dyDescent="0.3">
      <c r="A66">
        <v>59</v>
      </c>
      <c r="B66" t="s">
        <v>188</v>
      </c>
      <c r="C66" t="s">
        <v>167</v>
      </c>
      <c r="D66" t="s">
        <v>215</v>
      </c>
      <c r="E66" t="s">
        <v>23</v>
      </c>
      <c r="F66" t="s">
        <v>199</v>
      </c>
      <c r="G66" s="3">
        <v>1.99</v>
      </c>
      <c r="H66" s="3">
        <v>0</v>
      </c>
      <c r="I66" s="3">
        <v>1.99</v>
      </c>
      <c r="J66" s="3">
        <f>Table1[[#This Row],[قيمة الفاتورة]]*0.94-Table1[[#This Row],[قيمة المشاركة]]</f>
        <v>1.8705999999999998</v>
      </c>
      <c r="L66" s="3" t="str">
        <f t="shared" ref="L66:L129" si="1">IF(ISNUMBER(K66), J66-K66, "")</f>
        <v/>
      </c>
      <c r="N66" t="s">
        <v>19</v>
      </c>
    </row>
    <row r="67" spans="1:14" x14ac:dyDescent="0.3">
      <c r="A67">
        <v>64</v>
      </c>
      <c r="B67" t="s">
        <v>216</v>
      </c>
      <c r="C67" t="s">
        <v>217</v>
      </c>
      <c r="D67" t="s">
        <v>218</v>
      </c>
      <c r="E67" t="s">
        <v>17</v>
      </c>
      <c r="F67" t="s">
        <v>219</v>
      </c>
      <c r="G67" s="3">
        <v>40.950000000000003</v>
      </c>
      <c r="H67" s="3">
        <v>0</v>
      </c>
      <c r="I67" s="3">
        <v>40.950000000000003</v>
      </c>
      <c r="J67" s="3">
        <f>Table1[[#This Row],[قيمة الفاتورة]]*0.94-Table1[[#This Row],[قيمة المشاركة]]</f>
        <v>38.493000000000002</v>
      </c>
      <c r="L67" s="3" t="str">
        <f t="shared" si="1"/>
        <v/>
      </c>
      <c r="N67" t="s">
        <v>19</v>
      </c>
    </row>
    <row r="68" spans="1:14" x14ac:dyDescent="0.3">
      <c r="A68">
        <v>68</v>
      </c>
      <c r="B68" t="s">
        <v>134</v>
      </c>
      <c r="C68" t="s">
        <v>220</v>
      </c>
      <c r="D68" t="s">
        <v>221</v>
      </c>
      <c r="E68" t="s">
        <v>23</v>
      </c>
      <c r="F68" t="s">
        <v>219</v>
      </c>
      <c r="G68" s="3">
        <v>15.07</v>
      </c>
      <c r="H68" s="3">
        <v>0</v>
      </c>
      <c r="I68" s="3">
        <v>15.07</v>
      </c>
      <c r="J68" s="3">
        <f>Table1[[#This Row],[قيمة الفاتورة]]*0.94-Table1[[#This Row],[قيمة المشاركة]]</f>
        <v>14.165799999999999</v>
      </c>
      <c r="L68" s="3" t="str">
        <f t="shared" si="1"/>
        <v/>
      </c>
      <c r="N68" t="s">
        <v>19</v>
      </c>
    </row>
    <row r="69" spans="1:14" x14ac:dyDescent="0.3">
      <c r="A69">
        <v>67</v>
      </c>
      <c r="B69" t="s">
        <v>222</v>
      </c>
      <c r="C69" t="s">
        <v>223</v>
      </c>
      <c r="D69" t="s">
        <v>224</v>
      </c>
      <c r="E69" t="s">
        <v>23</v>
      </c>
      <c r="F69" t="s">
        <v>219</v>
      </c>
      <c r="G69" s="3">
        <v>18.55</v>
      </c>
      <c r="H69" s="3">
        <v>0</v>
      </c>
      <c r="I69" s="3">
        <v>18.55</v>
      </c>
      <c r="J69" s="3">
        <f>Table1[[#This Row],[قيمة الفاتورة]]*0.94-Table1[[#This Row],[قيمة المشاركة]]</f>
        <v>17.437000000000001</v>
      </c>
      <c r="L69" s="3" t="str">
        <f t="shared" si="1"/>
        <v/>
      </c>
      <c r="N69" t="s">
        <v>19</v>
      </c>
    </row>
    <row r="70" spans="1:14" x14ac:dyDescent="0.3">
      <c r="A70">
        <v>65</v>
      </c>
      <c r="B70" t="s">
        <v>225</v>
      </c>
      <c r="C70" t="s">
        <v>226</v>
      </c>
      <c r="D70" t="s">
        <v>227</v>
      </c>
      <c r="E70" t="s">
        <v>23</v>
      </c>
      <c r="F70" t="s">
        <v>219</v>
      </c>
      <c r="G70" s="3">
        <v>7.81</v>
      </c>
      <c r="H70" s="3">
        <v>0</v>
      </c>
      <c r="I70" s="3">
        <v>7.81</v>
      </c>
      <c r="J70" s="3">
        <f>Table1[[#This Row],[قيمة الفاتورة]]*0.94-Table1[[#This Row],[قيمة المشاركة]]</f>
        <v>7.3413999999999993</v>
      </c>
      <c r="L70" s="3" t="str">
        <f t="shared" si="1"/>
        <v/>
      </c>
      <c r="N70" t="s">
        <v>19</v>
      </c>
    </row>
    <row r="71" spans="1:14" x14ac:dyDescent="0.3">
      <c r="A71">
        <v>66</v>
      </c>
      <c r="B71" t="s">
        <v>127</v>
      </c>
      <c r="C71" t="s">
        <v>228</v>
      </c>
      <c r="D71" t="s">
        <v>229</v>
      </c>
      <c r="E71" t="s">
        <v>23</v>
      </c>
      <c r="F71" t="s">
        <v>219</v>
      </c>
      <c r="G71" s="3">
        <v>23.24</v>
      </c>
      <c r="H71" s="3">
        <v>2.3239999999999998</v>
      </c>
      <c r="I71" s="3">
        <v>20.916</v>
      </c>
      <c r="J71" s="3">
        <f>Table1[[#This Row],[قيمة الفاتورة]]*0.94-Table1[[#This Row],[قيمة المشاركة]]</f>
        <v>19.521599999999999</v>
      </c>
      <c r="L71" s="3" t="str">
        <f t="shared" si="1"/>
        <v/>
      </c>
      <c r="N71" t="s">
        <v>126</v>
      </c>
    </row>
    <row r="72" spans="1:14" x14ac:dyDescent="0.3">
      <c r="A72">
        <v>69</v>
      </c>
      <c r="B72" t="s">
        <v>230</v>
      </c>
      <c r="C72" t="s">
        <v>231</v>
      </c>
      <c r="D72" t="s">
        <v>232</v>
      </c>
      <c r="E72" t="s">
        <v>23</v>
      </c>
      <c r="F72" t="s">
        <v>233</v>
      </c>
      <c r="G72" s="3">
        <v>13.08</v>
      </c>
      <c r="H72" s="3">
        <v>0</v>
      </c>
      <c r="I72" s="3">
        <v>13.08</v>
      </c>
      <c r="J72" s="3">
        <f>Table1[[#This Row],[قيمة الفاتورة]]*0.94-Table1[[#This Row],[قيمة المشاركة]]</f>
        <v>12.295199999999999</v>
      </c>
      <c r="L72" s="3" t="str">
        <f t="shared" si="1"/>
        <v/>
      </c>
      <c r="N72" t="s">
        <v>19</v>
      </c>
    </row>
    <row r="73" spans="1:14" x14ac:dyDescent="0.3">
      <c r="A73">
        <v>70</v>
      </c>
      <c r="B73" t="s">
        <v>234</v>
      </c>
      <c r="C73" t="s">
        <v>235</v>
      </c>
      <c r="D73" t="s">
        <v>236</v>
      </c>
      <c r="E73" t="s">
        <v>23</v>
      </c>
      <c r="F73" t="s">
        <v>233</v>
      </c>
      <c r="G73" s="3">
        <v>27.64</v>
      </c>
      <c r="H73" s="3">
        <v>0</v>
      </c>
      <c r="I73" s="3">
        <v>27.64</v>
      </c>
      <c r="J73" s="3">
        <f>Table1[[#This Row],[قيمة الفاتورة]]*0.94-Table1[[#This Row],[قيمة المشاركة]]</f>
        <v>25.9816</v>
      </c>
      <c r="L73" s="3" t="str">
        <f t="shared" si="1"/>
        <v/>
      </c>
      <c r="N73" t="s">
        <v>19</v>
      </c>
    </row>
    <row r="74" spans="1:14" x14ac:dyDescent="0.3">
      <c r="A74">
        <v>72</v>
      </c>
      <c r="B74" t="s">
        <v>237</v>
      </c>
      <c r="C74" t="s">
        <v>238</v>
      </c>
      <c r="D74" t="s">
        <v>239</v>
      </c>
      <c r="E74" t="s">
        <v>17</v>
      </c>
      <c r="F74" t="s">
        <v>233</v>
      </c>
      <c r="G74" s="3">
        <v>16.510000000000002</v>
      </c>
      <c r="H74" s="3">
        <v>0</v>
      </c>
      <c r="I74" s="3">
        <v>16.510000000000002</v>
      </c>
      <c r="J74" s="3">
        <f>Table1[[#This Row],[قيمة الفاتورة]]*0.94-Table1[[#This Row],[قيمة المشاركة]]</f>
        <v>15.519400000000001</v>
      </c>
      <c r="L74" s="3" t="str">
        <f t="shared" si="1"/>
        <v/>
      </c>
      <c r="N74" t="s">
        <v>19</v>
      </c>
    </row>
    <row r="75" spans="1:14" x14ac:dyDescent="0.3">
      <c r="A75">
        <v>73</v>
      </c>
      <c r="B75" t="s">
        <v>240</v>
      </c>
      <c r="C75" t="s">
        <v>241</v>
      </c>
      <c r="D75" t="s">
        <v>242</v>
      </c>
      <c r="E75" t="s">
        <v>23</v>
      </c>
      <c r="F75" t="s">
        <v>233</v>
      </c>
      <c r="G75" s="3">
        <v>9.99</v>
      </c>
      <c r="H75" s="3">
        <v>0</v>
      </c>
      <c r="I75" s="3">
        <v>9.99</v>
      </c>
      <c r="J75" s="3">
        <f>Table1[[#This Row],[قيمة الفاتورة]]*0.94-Table1[[#This Row],[قيمة المشاركة]]</f>
        <v>9.3905999999999992</v>
      </c>
      <c r="L75" s="3" t="str">
        <f t="shared" si="1"/>
        <v/>
      </c>
      <c r="N75" t="s">
        <v>19</v>
      </c>
    </row>
    <row r="76" spans="1:14" x14ac:dyDescent="0.3">
      <c r="A76">
        <v>71</v>
      </c>
      <c r="B76" t="s">
        <v>243</v>
      </c>
      <c r="C76" t="s">
        <v>244</v>
      </c>
      <c r="D76" t="s">
        <v>245</v>
      </c>
      <c r="E76" t="s">
        <v>17</v>
      </c>
      <c r="F76" t="s">
        <v>233</v>
      </c>
      <c r="G76" s="3">
        <v>9.1300000000000008</v>
      </c>
      <c r="H76" s="3">
        <v>0</v>
      </c>
      <c r="I76" s="3">
        <v>9.1300000000000008</v>
      </c>
      <c r="J76" s="3">
        <f>Table1[[#This Row],[قيمة الفاتورة]]*0.94-Table1[[#This Row],[قيمة المشاركة]]</f>
        <v>8.5822000000000003</v>
      </c>
      <c r="L76" s="3" t="str">
        <f t="shared" si="1"/>
        <v/>
      </c>
      <c r="N76" t="s">
        <v>19</v>
      </c>
    </row>
    <row r="77" spans="1:14" x14ac:dyDescent="0.3">
      <c r="A77">
        <v>74</v>
      </c>
      <c r="B77" t="s">
        <v>246</v>
      </c>
      <c r="C77" t="s">
        <v>247</v>
      </c>
      <c r="D77" t="s">
        <v>248</v>
      </c>
      <c r="E77" t="s">
        <v>23</v>
      </c>
      <c r="F77" t="s">
        <v>233</v>
      </c>
      <c r="G77" s="3">
        <v>40.950000000000003</v>
      </c>
      <c r="H77" s="3">
        <v>6.1420000000000003</v>
      </c>
      <c r="I77" s="3">
        <v>34.808</v>
      </c>
      <c r="J77" s="3">
        <f>Table1[[#This Row],[قيمة الفاتورة]]*0.94-Table1[[#This Row],[قيمة المشاركة]]</f>
        <v>32.350999999999999</v>
      </c>
      <c r="L77" s="3" t="str">
        <f t="shared" si="1"/>
        <v/>
      </c>
      <c r="N77" t="s">
        <v>19</v>
      </c>
    </row>
    <row r="78" spans="1:14" x14ac:dyDescent="0.3">
      <c r="A78">
        <v>78</v>
      </c>
      <c r="B78" t="s">
        <v>249</v>
      </c>
      <c r="C78" t="s">
        <v>250</v>
      </c>
      <c r="D78" t="s">
        <v>251</v>
      </c>
      <c r="E78" t="s">
        <v>17</v>
      </c>
      <c r="F78" t="s">
        <v>252</v>
      </c>
      <c r="G78" s="3">
        <v>10.08</v>
      </c>
      <c r="H78" s="3">
        <v>0</v>
      </c>
      <c r="I78" s="3">
        <v>10.08</v>
      </c>
      <c r="J78" s="3">
        <f>Table1[[#This Row],[قيمة الفاتورة]]*0.94-Table1[[#This Row],[قيمة المشاركة]]</f>
        <v>9.4751999999999992</v>
      </c>
      <c r="L78" s="3" t="str">
        <f t="shared" si="1"/>
        <v/>
      </c>
      <c r="N78" t="s">
        <v>19</v>
      </c>
    </row>
    <row r="79" spans="1:14" x14ac:dyDescent="0.3">
      <c r="A79">
        <v>76</v>
      </c>
      <c r="B79" t="s">
        <v>253</v>
      </c>
      <c r="C79" t="s">
        <v>254</v>
      </c>
      <c r="D79" t="s">
        <v>255</v>
      </c>
      <c r="E79" t="s">
        <v>17</v>
      </c>
      <c r="F79" t="s">
        <v>252</v>
      </c>
      <c r="G79" s="3">
        <v>28.89</v>
      </c>
      <c r="H79" s="3">
        <v>0</v>
      </c>
      <c r="I79" s="3">
        <v>28.89</v>
      </c>
      <c r="J79" s="3">
        <f>Table1[[#This Row],[قيمة الفاتورة]]*0.94-Table1[[#This Row],[قيمة المشاركة]]</f>
        <v>27.156599999999997</v>
      </c>
      <c r="L79" s="3" t="str">
        <f t="shared" si="1"/>
        <v/>
      </c>
      <c r="N79" t="s">
        <v>19</v>
      </c>
    </row>
    <row r="80" spans="1:14" x14ac:dyDescent="0.3">
      <c r="A80">
        <v>77</v>
      </c>
      <c r="B80" t="s">
        <v>256</v>
      </c>
      <c r="C80" t="s">
        <v>257</v>
      </c>
      <c r="D80" t="s">
        <v>258</v>
      </c>
      <c r="E80" t="s">
        <v>17</v>
      </c>
      <c r="F80" t="s">
        <v>252</v>
      </c>
      <c r="G80" s="3">
        <v>31.56</v>
      </c>
      <c r="H80" s="3">
        <v>0</v>
      </c>
      <c r="I80" s="3">
        <v>31.56</v>
      </c>
      <c r="J80" s="3">
        <f>Table1[[#This Row],[قيمة الفاتورة]]*0.94-Table1[[#This Row],[قيمة المشاركة]]</f>
        <v>29.666399999999996</v>
      </c>
      <c r="L80" s="3" t="str">
        <f t="shared" si="1"/>
        <v/>
      </c>
      <c r="N80" t="s">
        <v>19</v>
      </c>
    </row>
    <row r="81" spans="1:14" x14ac:dyDescent="0.3">
      <c r="A81">
        <v>80</v>
      </c>
      <c r="B81" t="s">
        <v>259</v>
      </c>
      <c r="C81" t="s">
        <v>260</v>
      </c>
      <c r="D81" t="s">
        <v>261</v>
      </c>
      <c r="E81" t="s">
        <v>23</v>
      </c>
      <c r="F81" t="s">
        <v>252</v>
      </c>
      <c r="G81" s="3">
        <v>32.42</v>
      </c>
      <c r="H81" s="3">
        <v>0</v>
      </c>
      <c r="I81" s="3">
        <v>32.42</v>
      </c>
      <c r="J81" s="3">
        <f>Table1[[#This Row],[قيمة الفاتورة]]*0.94-Table1[[#This Row],[قيمة المشاركة]]</f>
        <v>30.474799999999998</v>
      </c>
      <c r="L81" s="3" t="str">
        <f t="shared" si="1"/>
        <v/>
      </c>
      <c r="N81" t="s">
        <v>19</v>
      </c>
    </row>
    <row r="82" spans="1:14" x14ac:dyDescent="0.3">
      <c r="A82">
        <v>75</v>
      </c>
      <c r="B82" t="s">
        <v>262</v>
      </c>
      <c r="C82" t="s">
        <v>263</v>
      </c>
      <c r="D82" t="s">
        <v>264</v>
      </c>
      <c r="E82" t="s">
        <v>17</v>
      </c>
      <c r="F82" t="s">
        <v>252</v>
      </c>
      <c r="G82" s="3">
        <v>17.98</v>
      </c>
      <c r="H82" s="3">
        <v>0</v>
      </c>
      <c r="I82" s="3">
        <v>17.98</v>
      </c>
      <c r="J82" s="3">
        <f>Table1[[#This Row],[قيمة الفاتورة]]*0.94-Table1[[#This Row],[قيمة المشاركة]]</f>
        <v>16.901199999999999</v>
      </c>
      <c r="L82" s="3" t="str">
        <f t="shared" si="1"/>
        <v/>
      </c>
    </row>
    <row r="83" spans="1:14" x14ac:dyDescent="0.3">
      <c r="A83">
        <v>79</v>
      </c>
      <c r="B83" t="s">
        <v>265</v>
      </c>
      <c r="C83" t="s">
        <v>266</v>
      </c>
      <c r="D83" t="s">
        <v>267</v>
      </c>
      <c r="E83" t="s">
        <v>23</v>
      </c>
      <c r="F83" t="s">
        <v>252</v>
      </c>
      <c r="G83" s="3">
        <v>6.35</v>
      </c>
      <c r="H83" s="3">
        <v>0</v>
      </c>
      <c r="I83" s="3">
        <v>6.35</v>
      </c>
      <c r="J83" s="3">
        <f>Table1[[#This Row],[قيمة الفاتورة]]*0.94-Table1[[#This Row],[قيمة المشاركة]]</f>
        <v>5.9689999999999994</v>
      </c>
      <c r="L83" s="3" t="str">
        <f t="shared" si="1"/>
        <v/>
      </c>
      <c r="N83" t="s">
        <v>19</v>
      </c>
    </row>
    <row r="84" spans="1:14" x14ac:dyDescent="0.3">
      <c r="A84">
        <v>81</v>
      </c>
      <c r="B84" t="s">
        <v>268</v>
      </c>
      <c r="C84" t="s">
        <v>173</v>
      </c>
      <c r="D84" t="s">
        <v>269</v>
      </c>
      <c r="E84" t="s">
        <v>17</v>
      </c>
      <c r="F84" t="s">
        <v>270</v>
      </c>
      <c r="G84" s="3">
        <v>26.53</v>
      </c>
      <c r="H84" s="3">
        <v>0</v>
      </c>
      <c r="I84" s="3">
        <v>26.53</v>
      </c>
      <c r="J84" s="3">
        <f>Table1[[#This Row],[قيمة الفاتورة]]*0.94-Table1[[#This Row],[قيمة المشاركة]]</f>
        <v>24.938199999999998</v>
      </c>
      <c r="L84" s="3" t="str">
        <f t="shared" si="1"/>
        <v/>
      </c>
      <c r="N84" t="s">
        <v>19</v>
      </c>
    </row>
    <row r="85" spans="1:14" x14ac:dyDescent="0.3">
      <c r="A85">
        <v>82</v>
      </c>
      <c r="B85" t="s">
        <v>134</v>
      </c>
      <c r="C85" t="s">
        <v>220</v>
      </c>
      <c r="D85" t="s">
        <v>271</v>
      </c>
      <c r="E85" t="s">
        <v>17</v>
      </c>
      <c r="F85" t="s">
        <v>270</v>
      </c>
      <c r="G85" s="3">
        <v>24.18</v>
      </c>
      <c r="H85" s="3">
        <v>0</v>
      </c>
      <c r="I85" s="3">
        <v>24.18</v>
      </c>
      <c r="J85" s="3">
        <f>Table1[[#This Row],[قيمة الفاتورة]]*0.94-Table1[[#This Row],[قيمة المشاركة]]</f>
        <v>22.729199999999999</v>
      </c>
      <c r="L85" s="3" t="str">
        <f t="shared" si="1"/>
        <v/>
      </c>
      <c r="N85" t="s">
        <v>19</v>
      </c>
    </row>
    <row r="86" spans="1:14" x14ac:dyDescent="0.3">
      <c r="A86">
        <v>83</v>
      </c>
      <c r="B86" t="s">
        <v>272</v>
      </c>
      <c r="C86" t="s">
        <v>273</v>
      </c>
      <c r="D86" t="s">
        <v>274</v>
      </c>
      <c r="E86" t="s">
        <v>23</v>
      </c>
      <c r="F86" t="s">
        <v>270</v>
      </c>
      <c r="G86" s="3">
        <v>2.746</v>
      </c>
      <c r="H86" s="3">
        <v>0</v>
      </c>
      <c r="I86" s="3">
        <v>2.746</v>
      </c>
      <c r="J86" s="3">
        <f>Table1[[#This Row],[قيمة الفاتورة]]*0.94-Table1[[#This Row],[قيمة المشاركة]]</f>
        <v>2.5812399999999998</v>
      </c>
      <c r="L86" s="3" t="str">
        <f t="shared" si="1"/>
        <v/>
      </c>
      <c r="N86" t="s">
        <v>19</v>
      </c>
    </row>
    <row r="87" spans="1:14" x14ac:dyDescent="0.3">
      <c r="A87">
        <v>84</v>
      </c>
      <c r="B87" t="s">
        <v>275</v>
      </c>
      <c r="C87" t="s">
        <v>276</v>
      </c>
      <c r="D87" t="s">
        <v>277</v>
      </c>
      <c r="E87" t="s">
        <v>17</v>
      </c>
      <c r="F87" t="s">
        <v>270</v>
      </c>
      <c r="G87" s="3">
        <v>20.07</v>
      </c>
      <c r="H87" s="3">
        <v>0</v>
      </c>
      <c r="I87" s="3">
        <v>20.07</v>
      </c>
      <c r="J87" s="3">
        <f>Table1[[#This Row],[قيمة الفاتورة]]*0.94-Table1[[#This Row],[قيمة المشاركة]]</f>
        <v>18.8658</v>
      </c>
      <c r="L87" s="3" t="str">
        <f t="shared" si="1"/>
        <v/>
      </c>
      <c r="N87" t="s">
        <v>19</v>
      </c>
    </row>
    <row r="88" spans="1:14" x14ac:dyDescent="0.3">
      <c r="A88">
        <v>85</v>
      </c>
      <c r="B88" t="s">
        <v>278</v>
      </c>
      <c r="C88" t="s">
        <v>279</v>
      </c>
      <c r="D88" t="s">
        <v>280</v>
      </c>
      <c r="E88" t="s">
        <v>17</v>
      </c>
      <c r="F88" t="s">
        <v>281</v>
      </c>
      <c r="G88" s="3">
        <v>37.619999999999997</v>
      </c>
      <c r="H88" s="3">
        <v>0</v>
      </c>
      <c r="I88" s="3">
        <v>37.619999999999997</v>
      </c>
      <c r="J88" s="3">
        <f>Table1[[#This Row],[قيمة الفاتورة]]*0.94-Table1[[#This Row],[قيمة المشاركة]]</f>
        <v>35.362799999999993</v>
      </c>
      <c r="L88" s="3" t="str">
        <f t="shared" si="1"/>
        <v/>
      </c>
      <c r="N88" t="s">
        <v>19</v>
      </c>
    </row>
    <row r="89" spans="1:14" x14ac:dyDescent="0.3">
      <c r="A89">
        <v>86</v>
      </c>
      <c r="B89" t="s">
        <v>282</v>
      </c>
      <c r="C89" t="s">
        <v>283</v>
      </c>
      <c r="D89" t="s">
        <v>284</v>
      </c>
      <c r="E89" t="s">
        <v>17</v>
      </c>
      <c r="F89" t="s">
        <v>281</v>
      </c>
      <c r="G89" s="3">
        <v>5.91</v>
      </c>
      <c r="H89" s="3">
        <v>0</v>
      </c>
      <c r="I89" s="3">
        <v>5.91</v>
      </c>
      <c r="J89" s="3">
        <f>Table1[[#This Row],[قيمة الفاتورة]]*0.94-Table1[[#This Row],[قيمة المشاركة]]</f>
        <v>5.5553999999999997</v>
      </c>
      <c r="L89" s="3" t="str">
        <f t="shared" si="1"/>
        <v/>
      </c>
      <c r="N89" t="s">
        <v>19</v>
      </c>
    </row>
    <row r="90" spans="1:14" x14ac:dyDescent="0.3">
      <c r="A90">
        <v>87</v>
      </c>
      <c r="B90" t="s">
        <v>285</v>
      </c>
      <c r="C90" t="s">
        <v>207</v>
      </c>
      <c r="D90" t="s">
        <v>285</v>
      </c>
      <c r="E90" t="s">
        <v>17</v>
      </c>
      <c r="F90" t="s">
        <v>281</v>
      </c>
      <c r="G90" s="3">
        <v>45.63</v>
      </c>
      <c r="H90" s="3">
        <v>0</v>
      </c>
      <c r="I90" s="3">
        <v>45.63</v>
      </c>
      <c r="J90" s="3">
        <f>Table1[[#This Row],[قيمة الفاتورة]]*0.94-Table1[[#This Row],[قيمة المشاركة]]</f>
        <v>42.892200000000003</v>
      </c>
      <c r="L90" s="3" t="str">
        <f t="shared" si="1"/>
        <v/>
      </c>
      <c r="N90" t="s">
        <v>19</v>
      </c>
    </row>
    <row r="91" spans="1:14" x14ac:dyDescent="0.3">
      <c r="A91">
        <v>91</v>
      </c>
      <c r="B91" t="s">
        <v>286</v>
      </c>
      <c r="C91" t="s">
        <v>287</v>
      </c>
      <c r="D91" t="s">
        <v>288</v>
      </c>
      <c r="E91" t="s">
        <v>23</v>
      </c>
      <c r="F91" t="s">
        <v>289</v>
      </c>
      <c r="G91" s="3">
        <v>12.29</v>
      </c>
      <c r="H91" s="3">
        <v>0</v>
      </c>
      <c r="I91" s="3">
        <v>12.29</v>
      </c>
      <c r="J91" s="3">
        <f>Table1[[#This Row],[قيمة الفاتورة]]*0.94-Table1[[#This Row],[قيمة المشاركة]]</f>
        <v>11.552599999999998</v>
      </c>
      <c r="L91" s="3" t="str">
        <f t="shared" si="1"/>
        <v/>
      </c>
      <c r="N91" t="s">
        <v>19</v>
      </c>
    </row>
    <row r="92" spans="1:14" x14ac:dyDescent="0.3">
      <c r="A92">
        <v>89</v>
      </c>
      <c r="B92" t="s">
        <v>290</v>
      </c>
      <c r="C92" t="s">
        <v>291</v>
      </c>
      <c r="D92" t="s">
        <v>292</v>
      </c>
      <c r="E92" t="s">
        <v>17</v>
      </c>
      <c r="F92" t="s">
        <v>289</v>
      </c>
      <c r="G92" s="3">
        <v>16.559999999999999</v>
      </c>
      <c r="H92" s="3">
        <v>0</v>
      </c>
      <c r="I92" s="3">
        <v>16.559999999999999</v>
      </c>
      <c r="J92" s="3">
        <f>Table1[[#This Row],[قيمة الفاتورة]]*0.94-Table1[[#This Row],[قيمة المشاركة]]</f>
        <v>15.566399999999998</v>
      </c>
      <c r="L92" s="3" t="str">
        <f t="shared" si="1"/>
        <v/>
      </c>
      <c r="N92" t="s">
        <v>19</v>
      </c>
    </row>
    <row r="93" spans="1:14" x14ac:dyDescent="0.3">
      <c r="A93">
        <v>88</v>
      </c>
      <c r="B93" t="s">
        <v>134</v>
      </c>
      <c r="C93" t="s">
        <v>220</v>
      </c>
      <c r="D93" t="s">
        <v>293</v>
      </c>
      <c r="E93" t="s">
        <v>17</v>
      </c>
      <c r="F93" t="s">
        <v>289</v>
      </c>
      <c r="G93" s="3">
        <v>31.55</v>
      </c>
      <c r="H93" s="3">
        <v>0</v>
      </c>
      <c r="I93" s="3">
        <v>31.55</v>
      </c>
      <c r="J93" s="3">
        <f>Table1[[#This Row],[قيمة الفاتورة]]*0.94-Table1[[#This Row],[قيمة المشاركة]]</f>
        <v>29.657</v>
      </c>
      <c r="L93" s="3" t="str">
        <f t="shared" si="1"/>
        <v/>
      </c>
      <c r="N93" t="s">
        <v>19</v>
      </c>
    </row>
    <row r="94" spans="1:14" x14ac:dyDescent="0.3">
      <c r="A94">
        <v>96</v>
      </c>
      <c r="B94" t="s">
        <v>209</v>
      </c>
      <c r="C94" t="s">
        <v>294</v>
      </c>
      <c r="D94" t="s">
        <v>295</v>
      </c>
      <c r="E94" t="s">
        <v>17</v>
      </c>
      <c r="F94" t="s">
        <v>289</v>
      </c>
      <c r="G94" s="3">
        <v>20.73</v>
      </c>
      <c r="H94" s="3">
        <v>3.109</v>
      </c>
      <c r="I94" s="3">
        <v>17.620999999999999</v>
      </c>
      <c r="J94" s="3">
        <f>Table1[[#This Row],[قيمة الفاتورة]]*0.94-Table1[[#This Row],[قيمة المشاركة]]</f>
        <v>16.377200000000002</v>
      </c>
      <c r="L94" s="3" t="str">
        <f t="shared" si="1"/>
        <v/>
      </c>
      <c r="N94" t="s">
        <v>19</v>
      </c>
    </row>
    <row r="95" spans="1:14" x14ac:dyDescent="0.3">
      <c r="A95">
        <v>93</v>
      </c>
      <c r="B95" t="s">
        <v>296</v>
      </c>
      <c r="C95" t="s">
        <v>297</v>
      </c>
      <c r="D95" t="s">
        <v>298</v>
      </c>
      <c r="E95" t="s">
        <v>23</v>
      </c>
      <c r="F95" t="s">
        <v>289</v>
      </c>
      <c r="G95" s="3">
        <v>17.14</v>
      </c>
      <c r="H95" s="3">
        <v>0</v>
      </c>
      <c r="I95" s="3">
        <v>17.14</v>
      </c>
      <c r="J95" s="3">
        <f>Table1[[#This Row],[قيمة الفاتورة]]*0.94-Table1[[#This Row],[قيمة المشاركة]]</f>
        <v>16.111599999999999</v>
      </c>
      <c r="L95" s="3" t="str">
        <f t="shared" si="1"/>
        <v/>
      </c>
      <c r="N95" t="s">
        <v>19</v>
      </c>
    </row>
    <row r="96" spans="1:14" x14ac:dyDescent="0.3">
      <c r="A96">
        <v>95</v>
      </c>
      <c r="B96" t="s">
        <v>299</v>
      </c>
      <c r="C96" t="s">
        <v>300</v>
      </c>
      <c r="D96" t="s">
        <v>301</v>
      </c>
      <c r="E96" t="s">
        <v>23</v>
      </c>
      <c r="F96" t="s">
        <v>289</v>
      </c>
      <c r="G96" s="3">
        <v>15.1</v>
      </c>
      <c r="H96" s="3">
        <v>0</v>
      </c>
      <c r="I96" s="3">
        <v>15.1</v>
      </c>
      <c r="J96" s="3">
        <f>Table1[[#This Row],[قيمة الفاتورة]]*0.94-Table1[[#This Row],[قيمة المشاركة]]</f>
        <v>14.193999999999999</v>
      </c>
      <c r="L96" s="3" t="str">
        <f t="shared" si="1"/>
        <v/>
      </c>
      <c r="N96" t="s">
        <v>19</v>
      </c>
    </row>
    <row r="97" spans="1:14" x14ac:dyDescent="0.3">
      <c r="A97">
        <v>92</v>
      </c>
      <c r="B97" t="s">
        <v>302</v>
      </c>
      <c r="C97" t="s">
        <v>303</v>
      </c>
      <c r="D97" t="s">
        <v>304</v>
      </c>
      <c r="E97" t="s">
        <v>17</v>
      </c>
      <c r="F97" t="s">
        <v>289</v>
      </c>
      <c r="G97" s="3">
        <v>42.7</v>
      </c>
      <c r="H97" s="3">
        <v>0</v>
      </c>
      <c r="I97" s="3">
        <v>42.7</v>
      </c>
      <c r="J97" s="3">
        <f>Table1[[#This Row],[قيمة الفاتورة]]*0.94-Table1[[#This Row],[قيمة المشاركة]]</f>
        <v>40.137999999999998</v>
      </c>
      <c r="L97" s="3" t="str">
        <f t="shared" si="1"/>
        <v/>
      </c>
      <c r="N97" t="s">
        <v>19</v>
      </c>
    </row>
    <row r="98" spans="1:14" x14ac:dyDescent="0.3">
      <c r="A98">
        <v>94</v>
      </c>
      <c r="B98" t="s">
        <v>305</v>
      </c>
      <c r="C98" t="s">
        <v>306</v>
      </c>
      <c r="D98" t="s">
        <v>307</v>
      </c>
      <c r="E98" t="s">
        <v>23</v>
      </c>
      <c r="F98" t="s">
        <v>289</v>
      </c>
      <c r="G98" s="3">
        <v>35.9</v>
      </c>
      <c r="H98" s="3">
        <v>0</v>
      </c>
      <c r="I98" s="3">
        <v>35.9</v>
      </c>
      <c r="J98" s="3">
        <f>Table1[[#This Row],[قيمة الفاتورة]]*0.94-Table1[[#This Row],[قيمة المشاركة]]</f>
        <v>33.745999999999995</v>
      </c>
      <c r="L98" s="3" t="str">
        <f t="shared" si="1"/>
        <v/>
      </c>
      <c r="N98" t="s">
        <v>19</v>
      </c>
    </row>
    <row r="99" spans="1:14" x14ac:dyDescent="0.3">
      <c r="A99">
        <v>90</v>
      </c>
      <c r="B99" t="s">
        <v>308</v>
      </c>
      <c r="C99" t="s">
        <v>309</v>
      </c>
      <c r="D99" t="s">
        <v>310</v>
      </c>
      <c r="E99" t="s">
        <v>17</v>
      </c>
      <c r="F99" t="s">
        <v>289</v>
      </c>
      <c r="G99" s="3">
        <v>8.25</v>
      </c>
      <c r="H99" s="3">
        <v>0</v>
      </c>
      <c r="I99" s="3">
        <v>8.25</v>
      </c>
      <c r="J99" s="3">
        <f>Table1[[#This Row],[قيمة الفاتورة]]*0.94-Table1[[#This Row],[قيمة المشاركة]]</f>
        <v>7.7549999999999999</v>
      </c>
      <c r="L99" s="3" t="str">
        <f t="shared" si="1"/>
        <v/>
      </c>
      <c r="N99" t="s">
        <v>19</v>
      </c>
    </row>
    <row r="100" spans="1:14" x14ac:dyDescent="0.3">
      <c r="A100">
        <v>99</v>
      </c>
      <c r="B100" t="s">
        <v>311</v>
      </c>
      <c r="C100" t="s">
        <v>312</v>
      </c>
      <c r="D100" t="s">
        <v>313</v>
      </c>
      <c r="E100" t="s">
        <v>17</v>
      </c>
      <c r="F100" t="s">
        <v>314</v>
      </c>
      <c r="G100" s="3">
        <v>25.99</v>
      </c>
      <c r="H100" s="3">
        <v>0</v>
      </c>
      <c r="I100" s="3">
        <v>25.99</v>
      </c>
      <c r="J100" s="3">
        <f>Table1[[#This Row],[قيمة الفاتورة]]*0.94-Table1[[#This Row],[قيمة المشاركة]]</f>
        <v>24.430599999999998</v>
      </c>
      <c r="L100" s="3" t="str">
        <f t="shared" si="1"/>
        <v/>
      </c>
      <c r="N100" t="s">
        <v>19</v>
      </c>
    </row>
    <row r="101" spans="1:14" x14ac:dyDescent="0.3">
      <c r="A101">
        <v>97</v>
      </c>
      <c r="B101" t="s">
        <v>315</v>
      </c>
      <c r="C101" t="s">
        <v>316</v>
      </c>
      <c r="D101" t="s">
        <v>317</v>
      </c>
      <c r="E101" t="s">
        <v>17</v>
      </c>
      <c r="F101" t="s">
        <v>314</v>
      </c>
      <c r="G101" s="3">
        <v>9.65</v>
      </c>
      <c r="H101" s="3">
        <v>0</v>
      </c>
      <c r="I101" s="3">
        <v>9.65</v>
      </c>
      <c r="J101" s="3">
        <f>Table1[[#This Row],[قيمة الفاتورة]]*0.94-Table1[[#This Row],[قيمة المشاركة]]</f>
        <v>9.0709999999999997</v>
      </c>
      <c r="L101" s="3" t="str">
        <f t="shared" si="1"/>
        <v/>
      </c>
      <c r="N101" t="s">
        <v>19</v>
      </c>
    </row>
    <row r="102" spans="1:14" x14ac:dyDescent="0.3">
      <c r="A102">
        <v>100</v>
      </c>
      <c r="B102" t="s">
        <v>318</v>
      </c>
      <c r="C102" t="s">
        <v>319</v>
      </c>
      <c r="D102" t="s">
        <v>320</v>
      </c>
      <c r="E102" t="s">
        <v>23</v>
      </c>
      <c r="F102" t="s">
        <v>314</v>
      </c>
      <c r="G102" s="3">
        <v>4.62</v>
      </c>
      <c r="H102" s="3">
        <v>0</v>
      </c>
      <c r="I102" s="3">
        <v>4.62</v>
      </c>
      <c r="J102" s="3">
        <f>Table1[[#This Row],[قيمة الفاتورة]]*0.94-Table1[[#This Row],[قيمة المشاركة]]</f>
        <v>4.3427999999999995</v>
      </c>
      <c r="L102" s="3" t="str">
        <f t="shared" si="1"/>
        <v/>
      </c>
      <c r="N102" t="s">
        <v>19</v>
      </c>
    </row>
    <row r="103" spans="1:14" x14ac:dyDescent="0.3">
      <c r="A103">
        <v>98</v>
      </c>
      <c r="B103" t="s">
        <v>321</v>
      </c>
      <c r="C103" t="s">
        <v>322</v>
      </c>
      <c r="D103" t="s">
        <v>323</v>
      </c>
      <c r="E103" t="s">
        <v>17</v>
      </c>
      <c r="F103" t="s">
        <v>314</v>
      </c>
      <c r="G103" s="3">
        <v>5.6</v>
      </c>
      <c r="H103" s="3">
        <v>0</v>
      </c>
      <c r="I103" s="3">
        <v>5.6</v>
      </c>
      <c r="J103" s="3">
        <f>Table1[[#This Row],[قيمة الفاتورة]]*0.94-Table1[[#This Row],[قيمة المشاركة]]</f>
        <v>5.2639999999999993</v>
      </c>
      <c r="L103" s="3" t="str">
        <f t="shared" si="1"/>
        <v/>
      </c>
      <c r="N103" t="s">
        <v>19</v>
      </c>
    </row>
    <row r="104" spans="1:14" x14ac:dyDescent="0.3">
      <c r="A104">
        <v>106</v>
      </c>
      <c r="B104" t="s">
        <v>324</v>
      </c>
      <c r="C104" t="s">
        <v>325</v>
      </c>
      <c r="D104" t="s">
        <v>326</v>
      </c>
      <c r="E104" t="s">
        <v>17</v>
      </c>
      <c r="F104" t="s">
        <v>327</v>
      </c>
      <c r="G104" s="3">
        <v>23.58</v>
      </c>
      <c r="H104" s="3">
        <v>4.7160000000000002</v>
      </c>
      <c r="I104" s="3">
        <v>18.864000000000001</v>
      </c>
      <c r="J104" s="3">
        <f>Table1[[#This Row],[قيمة الفاتورة]]*0.94-Table1[[#This Row],[قيمة المشاركة]]</f>
        <v>17.449199999999998</v>
      </c>
      <c r="L104" s="3" t="str">
        <f t="shared" si="1"/>
        <v/>
      </c>
      <c r="N104" t="s">
        <v>328</v>
      </c>
    </row>
    <row r="105" spans="1:14" x14ac:dyDescent="0.3">
      <c r="A105">
        <v>108</v>
      </c>
      <c r="B105" t="s">
        <v>329</v>
      </c>
      <c r="C105" t="s">
        <v>330</v>
      </c>
      <c r="D105" t="s">
        <v>331</v>
      </c>
      <c r="E105" t="s">
        <v>17</v>
      </c>
      <c r="F105" t="s">
        <v>327</v>
      </c>
      <c r="G105" s="3">
        <v>39.35</v>
      </c>
      <c r="H105" s="3">
        <v>5.9020000000000001</v>
      </c>
      <c r="I105" s="3">
        <v>33.448</v>
      </c>
      <c r="J105" s="3">
        <f>Table1[[#This Row],[قيمة الفاتورة]]*0.94-Table1[[#This Row],[قيمة المشاركة]]</f>
        <v>31.086999999999996</v>
      </c>
      <c r="L105" s="3" t="str">
        <f t="shared" si="1"/>
        <v/>
      </c>
      <c r="N105" t="s">
        <v>19</v>
      </c>
    </row>
    <row r="106" spans="1:14" x14ac:dyDescent="0.3">
      <c r="A106">
        <v>105</v>
      </c>
      <c r="B106" t="s">
        <v>234</v>
      </c>
      <c r="C106" t="s">
        <v>235</v>
      </c>
      <c r="D106" t="s">
        <v>332</v>
      </c>
      <c r="E106" t="s">
        <v>17</v>
      </c>
      <c r="F106" t="s">
        <v>327</v>
      </c>
      <c r="G106" s="3">
        <v>9.2100000000000009</v>
      </c>
      <c r="H106" s="3">
        <v>0</v>
      </c>
      <c r="I106" s="3">
        <v>9.2100000000000009</v>
      </c>
      <c r="J106" s="3">
        <f>Table1[[#This Row],[قيمة الفاتورة]]*0.94-Table1[[#This Row],[قيمة المشاركة]]</f>
        <v>8.6574000000000009</v>
      </c>
      <c r="L106" s="3" t="str">
        <f t="shared" si="1"/>
        <v/>
      </c>
      <c r="N106" t="s">
        <v>19</v>
      </c>
    </row>
    <row r="107" spans="1:14" x14ac:dyDescent="0.3">
      <c r="A107">
        <v>109</v>
      </c>
      <c r="B107" t="s">
        <v>333</v>
      </c>
      <c r="C107" t="s">
        <v>334</v>
      </c>
      <c r="D107" t="s">
        <v>335</v>
      </c>
      <c r="E107" t="s">
        <v>23</v>
      </c>
      <c r="F107" t="s">
        <v>327</v>
      </c>
      <c r="G107" s="3">
        <v>22.61</v>
      </c>
      <c r="H107" s="3">
        <v>0</v>
      </c>
      <c r="I107" s="3">
        <v>22.61</v>
      </c>
      <c r="J107" s="3">
        <f>Table1[[#This Row],[قيمة الفاتورة]]*0.94-Table1[[#This Row],[قيمة المشاركة]]</f>
        <v>21.253399999999999</v>
      </c>
      <c r="L107" s="3" t="str">
        <f t="shared" si="1"/>
        <v/>
      </c>
      <c r="N107" t="s">
        <v>19</v>
      </c>
    </row>
    <row r="108" spans="1:14" x14ac:dyDescent="0.3">
      <c r="A108">
        <v>101</v>
      </c>
      <c r="B108" t="s">
        <v>336</v>
      </c>
      <c r="C108" t="s">
        <v>337</v>
      </c>
      <c r="D108" t="s">
        <v>338</v>
      </c>
      <c r="E108" t="s">
        <v>17</v>
      </c>
      <c r="F108" t="s">
        <v>327</v>
      </c>
      <c r="G108" s="3">
        <v>9.42</v>
      </c>
      <c r="H108" s="3">
        <v>0</v>
      </c>
      <c r="I108" s="3">
        <v>9.42</v>
      </c>
      <c r="J108" s="3">
        <f>Table1[[#This Row],[قيمة الفاتورة]]*0.94-Table1[[#This Row],[قيمة المشاركة]]</f>
        <v>8.8547999999999991</v>
      </c>
      <c r="L108" s="3" t="str">
        <f t="shared" si="1"/>
        <v/>
      </c>
      <c r="N108" t="s">
        <v>19</v>
      </c>
    </row>
    <row r="109" spans="1:14" x14ac:dyDescent="0.3">
      <c r="A109">
        <v>104</v>
      </c>
      <c r="B109" t="s">
        <v>72</v>
      </c>
      <c r="C109" t="s">
        <v>73</v>
      </c>
      <c r="D109" t="s">
        <v>339</v>
      </c>
      <c r="E109" t="s">
        <v>23</v>
      </c>
      <c r="F109" t="s">
        <v>327</v>
      </c>
      <c r="G109" s="3">
        <v>52.32</v>
      </c>
      <c r="H109" s="3">
        <v>0</v>
      </c>
      <c r="I109" s="3">
        <v>52.32</v>
      </c>
      <c r="J109" s="3">
        <f>Table1[[#This Row],[قيمة الفاتورة]]*0.94-Table1[[#This Row],[قيمة المشاركة]]</f>
        <v>49.180799999999998</v>
      </c>
      <c r="L109" s="3" t="str">
        <f t="shared" si="1"/>
        <v/>
      </c>
      <c r="N109" t="s">
        <v>19</v>
      </c>
    </row>
    <row r="110" spans="1:14" x14ac:dyDescent="0.3">
      <c r="A110">
        <v>107</v>
      </c>
      <c r="B110" t="s">
        <v>340</v>
      </c>
      <c r="C110" t="s">
        <v>341</v>
      </c>
      <c r="D110" t="s">
        <v>342</v>
      </c>
      <c r="E110" t="s">
        <v>23</v>
      </c>
      <c r="F110" t="s">
        <v>327</v>
      </c>
      <c r="G110" s="3">
        <v>14.85</v>
      </c>
      <c r="H110" s="3">
        <v>0</v>
      </c>
      <c r="I110" s="3">
        <v>14.85</v>
      </c>
      <c r="J110" s="3">
        <f>Table1[[#This Row],[قيمة الفاتورة]]*0.94-Table1[[#This Row],[قيمة المشاركة]]</f>
        <v>13.959</v>
      </c>
      <c r="L110" s="3" t="str">
        <f t="shared" si="1"/>
        <v/>
      </c>
      <c r="N110" t="s">
        <v>19</v>
      </c>
    </row>
    <row r="111" spans="1:14" x14ac:dyDescent="0.3">
      <c r="A111">
        <v>102</v>
      </c>
      <c r="B111" t="s">
        <v>343</v>
      </c>
      <c r="C111" t="s">
        <v>344</v>
      </c>
      <c r="D111" t="s">
        <v>345</v>
      </c>
      <c r="E111" t="s">
        <v>17</v>
      </c>
      <c r="F111" t="s">
        <v>327</v>
      </c>
      <c r="G111" s="3">
        <v>38.93</v>
      </c>
      <c r="H111" s="3">
        <v>0</v>
      </c>
      <c r="I111" s="3">
        <v>38.93</v>
      </c>
      <c r="J111" s="3">
        <f>Table1[[#This Row],[قيمة الفاتورة]]*0.94-Table1[[#This Row],[قيمة المشاركة]]</f>
        <v>36.594200000000001</v>
      </c>
      <c r="L111" s="3" t="str">
        <f t="shared" si="1"/>
        <v/>
      </c>
      <c r="N111" t="s">
        <v>19</v>
      </c>
    </row>
    <row r="112" spans="1:14" x14ac:dyDescent="0.3">
      <c r="A112">
        <v>103</v>
      </c>
      <c r="B112" t="s">
        <v>346</v>
      </c>
      <c r="C112" t="s">
        <v>347</v>
      </c>
      <c r="D112" t="s">
        <v>348</v>
      </c>
      <c r="E112" t="s">
        <v>23</v>
      </c>
      <c r="F112" t="s">
        <v>327</v>
      </c>
      <c r="G112" s="3">
        <v>24.78</v>
      </c>
      <c r="H112" s="3">
        <v>0</v>
      </c>
      <c r="I112" s="3">
        <v>24.78</v>
      </c>
      <c r="J112" s="3">
        <f>Table1[[#This Row],[قيمة الفاتورة]]*0.94-Table1[[#This Row],[قيمة المشاركة]]</f>
        <v>23.293199999999999</v>
      </c>
      <c r="L112" s="3" t="str">
        <f t="shared" si="1"/>
        <v/>
      </c>
      <c r="N112" t="s">
        <v>19</v>
      </c>
    </row>
    <row r="113" spans="1:14" x14ac:dyDescent="0.3">
      <c r="A113">
        <v>113</v>
      </c>
      <c r="B113" t="s">
        <v>349</v>
      </c>
      <c r="C113" t="s">
        <v>350</v>
      </c>
      <c r="D113" t="s">
        <v>351</v>
      </c>
      <c r="E113" t="s">
        <v>23</v>
      </c>
      <c r="F113" t="s">
        <v>352</v>
      </c>
      <c r="G113" s="3">
        <v>18.79</v>
      </c>
      <c r="H113" s="3">
        <v>0</v>
      </c>
      <c r="I113" s="3">
        <v>18.79</v>
      </c>
      <c r="J113" s="3">
        <f>Table1[[#This Row],[قيمة الفاتورة]]*0.94-Table1[[#This Row],[قيمة المشاركة]]</f>
        <v>17.662599999999998</v>
      </c>
      <c r="L113" s="3" t="str">
        <f t="shared" si="1"/>
        <v/>
      </c>
      <c r="N113" t="s">
        <v>19</v>
      </c>
    </row>
    <row r="114" spans="1:14" x14ac:dyDescent="0.3">
      <c r="A114">
        <v>111</v>
      </c>
      <c r="B114" t="s">
        <v>353</v>
      </c>
      <c r="C114" t="s">
        <v>354</v>
      </c>
      <c r="D114" t="s">
        <v>355</v>
      </c>
      <c r="E114" t="s">
        <v>17</v>
      </c>
      <c r="F114" t="s">
        <v>352</v>
      </c>
      <c r="G114" s="3">
        <v>12.35</v>
      </c>
      <c r="H114" s="3">
        <v>0</v>
      </c>
      <c r="I114" s="3">
        <v>12.35</v>
      </c>
      <c r="J114" s="3">
        <f>Table1[[#This Row],[قيمة الفاتورة]]*0.94-Table1[[#This Row],[قيمة المشاركة]]</f>
        <v>11.608999999999998</v>
      </c>
      <c r="L114" s="3" t="str">
        <f t="shared" si="1"/>
        <v/>
      </c>
      <c r="N114" t="s">
        <v>19</v>
      </c>
    </row>
    <row r="115" spans="1:14" x14ac:dyDescent="0.3">
      <c r="A115">
        <v>115</v>
      </c>
      <c r="B115" t="s">
        <v>216</v>
      </c>
      <c r="C115" t="s">
        <v>217</v>
      </c>
      <c r="D115" t="s">
        <v>356</v>
      </c>
      <c r="E115" t="s">
        <v>17</v>
      </c>
      <c r="F115" t="s">
        <v>352</v>
      </c>
      <c r="G115" s="3">
        <v>32.61</v>
      </c>
      <c r="H115" s="3">
        <v>0</v>
      </c>
      <c r="I115" s="3">
        <v>32.61</v>
      </c>
      <c r="J115" s="3">
        <f>Table1[[#This Row],[قيمة الفاتورة]]*0.94-Table1[[#This Row],[قيمة المشاركة]]</f>
        <v>30.653399999999998</v>
      </c>
      <c r="L115" s="3" t="str">
        <f t="shared" si="1"/>
        <v/>
      </c>
      <c r="N115" t="s">
        <v>19</v>
      </c>
    </row>
    <row r="116" spans="1:14" x14ac:dyDescent="0.3">
      <c r="A116">
        <v>116</v>
      </c>
      <c r="B116" t="s">
        <v>357</v>
      </c>
      <c r="C116" t="s">
        <v>358</v>
      </c>
      <c r="D116" t="s">
        <v>359</v>
      </c>
      <c r="E116" t="s">
        <v>17</v>
      </c>
      <c r="F116" t="s">
        <v>352</v>
      </c>
      <c r="G116" s="3">
        <v>48.14</v>
      </c>
      <c r="H116" s="3">
        <v>0</v>
      </c>
      <c r="I116" s="3">
        <v>48.14</v>
      </c>
      <c r="J116" s="3">
        <f>Table1[[#This Row],[قيمة الفاتورة]]*0.94-Table1[[#This Row],[قيمة المشاركة]]</f>
        <v>45.251599999999996</v>
      </c>
      <c r="L116" s="3" t="str">
        <f t="shared" si="1"/>
        <v/>
      </c>
      <c r="N116" t="s">
        <v>19</v>
      </c>
    </row>
    <row r="117" spans="1:14" x14ac:dyDescent="0.3">
      <c r="A117">
        <v>114</v>
      </c>
      <c r="B117" t="s">
        <v>360</v>
      </c>
      <c r="C117" t="s">
        <v>361</v>
      </c>
      <c r="D117" t="s">
        <v>362</v>
      </c>
      <c r="E117" t="s">
        <v>23</v>
      </c>
      <c r="F117" t="s">
        <v>352</v>
      </c>
      <c r="G117" s="3">
        <v>26.49</v>
      </c>
      <c r="H117" s="3">
        <v>0</v>
      </c>
      <c r="I117" s="3">
        <v>26.49</v>
      </c>
      <c r="J117" s="3">
        <f>Table1[[#This Row],[قيمة الفاتورة]]*0.94-Table1[[#This Row],[قيمة المشاركة]]</f>
        <v>24.900599999999997</v>
      </c>
      <c r="L117" s="3" t="str">
        <f t="shared" si="1"/>
        <v/>
      </c>
      <c r="N117" t="s">
        <v>19</v>
      </c>
    </row>
    <row r="118" spans="1:14" x14ac:dyDescent="0.3">
      <c r="A118">
        <v>110</v>
      </c>
      <c r="B118" t="s">
        <v>363</v>
      </c>
      <c r="C118" t="s">
        <v>364</v>
      </c>
      <c r="D118" t="s">
        <v>365</v>
      </c>
      <c r="E118" t="s">
        <v>17</v>
      </c>
      <c r="F118" t="s">
        <v>352</v>
      </c>
      <c r="G118" s="3">
        <v>37.33</v>
      </c>
      <c r="H118" s="3">
        <v>0</v>
      </c>
      <c r="I118" s="3">
        <v>37.33</v>
      </c>
      <c r="J118" s="3">
        <f>Table1[[#This Row],[قيمة الفاتورة]]*0.94-Table1[[#This Row],[قيمة المشاركة]]</f>
        <v>35.090199999999996</v>
      </c>
      <c r="L118" s="3" t="str">
        <f t="shared" si="1"/>
        <v/>
      </c>
      <c r="N118" t="s">
        <v>19</v>
      </c>
    </row>
    <row r="119" spans="1:14" x14ac:dyDescent="0.3">
      <c r="A119">
        <v>112</v>
      </c>
      <c r="B119" t="s">
        <v>366</v>
      </c>
      <c r="C119" t="s">
        <v>367</v>
      </c>
      <c r="D119" t="s">
        <v>368</v>
      </c>
      <c r="E119" t="s">
        <v>23</v>
      </c>
      <c r="F119" t="s">
        <v>352</v>
      </c>
      <c r="G119" s="3">
        <v>17.63</v>
      </c>
      <c r="H119" s="3">
        <v>0</v>
      </c>
      <c r="I119" s="3">
        <v>17.63</v>
      </c>
      <c r="J119" s="3">
        <f>Table1[[#This Row],[قيمة الفاتورة]]*0.94-Table1[[#This Row],[قيمة المشاركة]]</f>
        <v>16.572199999999999</v>
      </c>
      <c r="L119" s="3" t="str">
        <f t="shared" si="1"/>
        <v/>
      </c>
      <c r="N119" t="s">
        <v>19</v>
      </c>
    </row>
    <row r="120" spans="1:14" x14ac:dyDescent="0.3">
      <c r="A120">
        <v>117</v>
      </c>
      <c r="B120" t="s">
        <v>369</v>
      </c>
      <c r="C120" t="s">
        <v>370</v>
      </c>
      <c r="D120" t="s">
        <v>371</v>
      </c>
      <c r="E120" t="s">
        <v>17</v>
      </c>
      <c r="F120" t="s">
        <v>372</v>
      </c>
      <c r="G120" s="3">
        <v>19.72</v>
      </c>
      <c r="H120" s="3">
        <v>0</v>
      </c>
      <c r="I120" s="3">
        <v>19.72</v>
      </c>
      <c r="J120" s="3">
        <f>Table1[[#This Row],[قيمة الفاتورة]]*0.94-Table1[[#This Row],[قيمة المشاركة]]</f>
        <v>18.536799999999999</v>
      </c>
      <c r="L120" s="3" t="str">
        <f t="shared" si="1"/>
        <v/>
      </c>
      <c r="N120" t="s">
        <v>19</v>
      </c>
    </row>
    <row r="121" spans="1:14" x14ac:dyDescent="0.3">
      <c r="A121">
        <v>125</v>
      </c>
      <c r="B121" t="s">
        <v>373</v>
      </c>
      <c r="C121" t="s">
        <v>374</v>
      </c>
      <c r="D121" t="s">
        <v>375</v>
      </c>
      <c r="E121" t="s">
        <v>23</v>
      </c>
      <c r="F121" t="s">
        <v>372</v>
      </c>
      <c r="G121" s="3">
        <v>5.32</v>
      </c>
      <c r="H121" s="3">
        <v>0</v>
      </c>
      <c r="I121" s="3">
        <v>5.32</v>
      </c>
      <c r="J121" s="3">
        <f>Table1[[#This Row],[قيمة الفاتورة]]*0.94-Table1[[#This Row],[قيمة المشاركة]]</f>
        <v>5.0007999999999999</v>
      </c>
      <c r="L121" s="3" t="str">
        <f t="shared" si="1"/>
        <v/>
      </c>
      <c r="N121" t="s">
        <v>19</v>
      </c>
    </row>
    <row r="122" spans="1:14" x14ac:dyDescent="0.3">
      <c r="A122">
        <v>120</v>
      </c>
      <c r="B122" t="s">
        <v>376</v>
      </c>
      <c r="C122" t="s">
        <v>377</v>
      </c>
      <c r="D122" t="s">
        <v>378</v>
      </c>
      <c r="E122" t="s">
        <v>23</v>
      </c>
      <c r="F122" t="s">
        <v>372</v>
      </c>
      <c r="G122" s="3">
        <v>10.92</v>
      </c>
      <c r="H122" s="3">
        <v>0</v>
      </c>
      <c r="I122" s="3">
        <v>10.92</v>
      </c>
      <c r="J122" s="3">
        <f>Table1[[#This Row],[قيمة الفاتورة]]*0.94-Table1[[#This Row],[قيمة المشاركة]]</f>
        <v>10.264799999999999</v>
      </c>
      <c r="L122" s="3" t="str">
        <f t="shared" si="1"/>
        <v/>
      </c>
      <c r="N122" t="s">
        <v>19</v>
      </c>
    </row>
    <row r="123" spans="1:14" x14ac:dyDescent="0.3">
      <c r="A123">
        <v>122</v>
      </c>
      <c r="B123" t="s">
        <v>379</v>
      </c>
      <c r="C123" t="s">
        <v>380</v>
      </c>
      <c r="D123" t="s">
        <v>381</v>
      </c>
      <c r="E123" t="s">
        <v>23</v>
      </c>
      <c r="F123" t="s">
        <v>372</v>
      </c>
      <c r="G123" s="3">
        <v>11.47</v>
      </c>
      <c r="H123" s="3">
        <v>0</v>
      </c>
      <c r="I123" s="3">
        <v>11.47</v>
      </c>
      <c r="J123" s="3">
        <f>Table1[[#This Row],[قيمة الفاتورة]]*0.94-Table1[[#This Row],[قيمة المشاركة]]</f>
        <v>10.7818</v>
      </c>
      <c r="L123" s="3" t="str">
        <f t="shared" si="1"/>
        <v/>
      </c>
      <c r="N123" t="s">
        <v>19</v>
      </c>
    </row>
    <row r="124" spans="1:14" x14ac:dyDescent="0.3">
      <c r="A124">
        <v>124</v>
      </c>
      <c r="B124" t="s">
        <v>382</v>
      </c>
      <c r="C124" t="s">
        <v>383</v>
      </c>
      <c r="D124" t="s">
        <v>384</v>
      </c>
      <c r="E124" t="s">
        <v>23</v>
      </c>
      <c r="F124" t="s">
        <v>372</v>
      </c>
      <c r="G124" s="3">
        <v>18.84</v>
      </c>
      <c r="H124" s="3">
        <v>0</v>
      </c>
      <c r="I124" s="3">
        <v>18.84</v>
      </c>
      <c r="J124" s="3">
        <f>Table1[[#This Row],[قيمة الفاتورة]]*0.94-Table1[[#This Row],[قيمة المشاركة]]</f>
        <v>17.709599999999998</v>
      </c>
      <c r="L124" s="3" t="str">
        <f t="shared" si="1"/>
        <v/>
      </c>
      <c r="N124" t="s">
        <v>19</v>
      </c>
    </row>
    <row r="125" spans="1:14" x14ac:dyDescent="0.3">
      <c r="A125">
        <v>119</v>
      </c>
      <c r="B125" t="s">
        <v>385</v>
      </c>
      <c r="C125" t="s">
        <v>386</v>
      </c>
      <c r="D125" t="s">
        <v>387</v>
      </c>
      <c r="E125" t="s">
        <v>23</v>
      </c>
      <c r="F125" t="s">
        <v>372</v>
      </c>
      <c r="G125" s="3">
        <v>15.11</v>
      </c>
      <c r="H125" s="3">
        <v>0</v>
      </c>
      <c r="I125" s="3">
        <v>15.11</v>
      </c>
      <c r="J125" s="3">
        <f>Table1[[#This Row],[قيمة الفاتورة]]*0.94-Table1[[#This Row],[قيمة المشاركة]]</f>
        <v>14.203399999999998</v>
      </c>
      <c r="L125" s="3" t="str">
        <f t="shared" si="1"/>
        <v/>
      </c>
      <c r="N125" t="s">
        <v>19</v>
      </c>
    </row>
    <row r="126" spans="1:14" x14ac:dyDescent="0.3">
      <c r="A126">
        <v>118</v>
      </c>
      <c r="B126" t="s">
        <v>282</v>
      </c>
      <c r="C126" t="s">
        <v>283</v>
      </c>
      <c r="D126" t="s">
        <v>388</v>
      </c>
      <c r="E126" t="s">
        <v>17</v>
      </c>
      <c r="F126" t="s">
        <v>372</v>
      </c>
      <c r="G126" s="3">
        <v>7.01</v>
      </c>
      <c r="H126" s="3">
        <v>0</v>
      </c>
      <c r="I126" s="3">
        <v>7.01</v>
      </c>
      <c r="J126" s="3">
        <f>Table1[[#This Row],[قيمة الفاتورة]]*0.94-Table1[[#This Row],[قيمة المشاركة]]</f>
        <v>6.5893999999999995</v>
      </c>
      <c r="L126" s="3" t="str">
        <f t="shared" si="1"/>
        <v/>
      </c>
      <c r="N126" t="s">
        <v>19</v>
      </c>
    </row>
    <row r="127" spans="1:14" x14ac:dyDescent="0.3">
      <c r="A127">
        <v>121</v>
      </c>
      <c r="B127" t="s">
        <v>389</v>
      </c>
      <c r="C127" t="s">
        <v>390</v>
      </c>
      <c r="D127" t="s">
        <v>391</v>
      </c>
      <c r="E127" t="s">
        <v>23</v>
      </c>
      <c r="F127" t="s">
        <v>372</v>
      </c>
      <c r="G127" s="3">
        <v>9.83</v>
      </c>
      <c r="H127" s="3">
        <v>0</v>
      </c>
      <c r="I127" s="3">
        <v>9.83</v>
      </c>
      <c r="J127" s="3">
        <f>Table1[[#This Row],[قيمة الفاتورة]]*0.94-Table1[[#This Row],[قيمة المشاركة]]</f>
        <v>9.2401999999999997</v>
      </c>
      <c r="L127" s="3" t="str">
        <f t="shared" si="1"/>
        <v/>
      </c>
      <c r="N127" t="s">
        <v>19</v>
      </c>
    </row>
    <row r="128" spans="1:14" x14ac:dyDescent="0.3">
      <c r="A128">
        <v>123</v>
      </c>
      <c r="B128" t="s">
        <v>392</v>
      </c>
      <c r="C128" t="s">
        <v>393</v>
      </c>
      <c r="D128" t="s">
        <v>394</v>
      </c>
      <c r="E128" t="s">
        <v>17</v>
      </c>
      <c r="F128" t="s">
        <v>372</v>
      </c>
      <c r="G128" s="3">
        <v>13.2</v>
      </c>
      <c r="H128" s="3">
        <v>0</v>
      </c>
      <c r="I128" s="3">
        <v>13.2</v>
      </c>
      <c r="J128" s="3">
        <f>Table1[[#This Row],[قيمة الفاتورة]]*0.94-Table1[[#This Row],[قيمة المشاركة]]</f>
        <v>12.407999999999999</v>
      </c>
      <c r="L128" s="3" t="str">
        <f t="shared" si="1"/>
        <v/>
      </c>
      <c r="N128" t="s">
        <v>19</v>
      </c>
    </row>
    <row r="129" spans="1:14" x14ac:dyDescent="0.3">
      <c r="A129">
        <v>128</v>
      </c>
      <c r="B129" t="s">
        <v>85</v>
      </c>
      <c r="C129" t="s">
        <v>86</v>
      </c>
      <c r="D129" t="s">
        <v>395</v>
      </c>
      <c r="E129" t="s">
        <v>23</v>
      </c>
      <c r="F129" t="s">
        <v>396</v>
      </c>
      <c r="G129" s="3">
        <v>14.27</v>
      </c>
      <c r="H129" s="3">
        <v>0</v>
      </c>
      <c r="I129" s="3">
        <v>14.27</v>
      </c>
      <c r="J129" s="3">
        <f>Table1[[#This Row],[قيمة الفاتورة]]*0.94-Table1[[#This Row],[قيمة المشاركة]]</f>
        <v>13.413799999999998</v>
      </c>
      <c r="L129" s="3" t="str">
        <f t="shared" si="1"/>
        <v/>
      </c>
      <c r="N129" t="s">
        <v>19</v>
      </c>
    </row>
    <row r="130" spans="1:14" x14ac:dyDescent="0.3">
      <c r="A130">
        <v>127</v>
      </c>
      <c r="B130" t="s">
        <v>397</v>
      </c>
      <c r="C130" t="s">
        <v>398</v>
      </c>
      <c r="D130" t="s">
        <v>399</v>
      </c>
      <c r="E130" t="s">
        <v>17</v>
      </c>
      <c r="F130" t="s">
        <v>396</v>
      </c>
      <c r="G130" s="3">
        <v>13.28</v>
      </c>
      <c r="H130" s="3">
        <v>1.992</v>
      </c>
      <c r="I130" s="3">
        <v>11.288</v>
      </c>
      <c r="J130" s="3">
        <f>Table1[[#This Row],[قيمة الفاتورة]]*0.94-Table1[[#This Row],[قيمة المشاركة]]</f>
        <v>10.491199999999999</v>
      </c>
      <c r="L130" s="3" t="str">
        <f t="shared" ref="L130:L193" si="2">IF(ISNUMBER(K130), J130-K130, "")</f>
        <v/>
      </c>
      <c r="N130" t="s">
        <v>19</v>
      </c>
    </row>
    <row r="131" spans="1:14" x14ac:dyDescent="0.3">
      <c r="A131">
        <v>126</v>
      </c>
      <c r="B131" t="s">
        <v>166</v>
      </c>
      <c r="C131" t="s">
        <v>167</v>
      </c>
      <c r="D131" t="s">
        <v>400</v>
      </c>
      <c r="E131" t="s">
        <v>17</v>
      </c>
      <c r="F131" t="s">
        <v>396</v>
      </c>
      <c r="G131" s="3">
        <v>16.21</v>
      </c>
      <c r="H131" s="3">
        <v>0</v>
      </c>
      <c r="I131" s="3">
        <v>16.21</v>
      </c>
      <c r="J131" s="3">
        <f>Table1[[#This Row],[قيمة الفاتورة]]*0.94-Table1[[#This Row],[قيمة المشاركة]]</f>
        <v>15.237399999999999</v>
      </c>
      <c r="L131" s="3" t="str">
        <f t="shared" si="2"/>
        <v/>
      </c>
      <c r="N131" t="s">
        <v>19</v>
      </c>
    </row>
    <row r="132" spans="1:14" x14ac:dyDescent="0.3">
      <c r="A132">
        <v>130</v>
      </c>
      <c r="B132" t="s">
        <v>401</v>
      </c>
      <c r="C132" t="s">
        <v>402</v>
      </c>
      <c r="D132" t="s">
        <v>403</v>
      </c>
      <c r="E132" t="s">
        <v>17</v>
      </c>
      <c r="F132" t="s">
        <v>396</v>
      </c>
      <c r="G132" s="3">
        <v>42.93</v>
      </c>
      <c r="H132" s="3">
        <v>0</v>
      </c>
      <c r="I132" s="3">
        <v>42.93</v>
      </c>
      <c r="J132" s="3">
        <f>Table1[[#This Row],[قيمة الفاتورة]]*0.94-Table1[[#This Row],[قيمة المشاركة]]</f>
        <v>40.354199999999999</v>
      </c>
      <c r="L132" s="3" t="str">
        <f t="shared" si="2"/>
        <v/>
      </c>
      <c r="N132" t="s">
        <v>19</v>
      </c>
    </row>
    <row r="133" spans="1:14" x14ac:dyDescent="0.3">
      <c r="A133">
        <v>129</v>
      </c>
      <c r="B133" t="s">
        <v>404</v>
      </c>
      <c r="C133" t="s">
        <v>405</v>
      </c>
      <c r="D133" t="s">
        <v>406</v>
      </c>
      <c r="E133" t="s">
        <v>23</v>
      </c>
      <c r="F133" t="s">
        <v>396</v>
      </c>
      <c r="G133" s="3">
        <v>7.94</v>
      </c>
      <c r="H133" s="3">
        <v>0</v>
      </c>
      <c r="I133" s="3">
        <v>7.94</v>
      </c>
      <c r="J133" s="3">
        <f>Table1[[#This Row],[قيمة الفاتورة]]*0.94-Table1[[#This Row],[قيمة المشاركة]]</f>
        <v>7.4635999999999996</v>
      </c>
      <c r="L133" s="3" t="str">
        <f t="shared" si="2"/>
        <v/>
      </c>
      <c r="N133" t="s">
        <v>19</v>
      </c>
    </row>
    <row r="134" spans="1:14" x14ac:dyDescent="0.3">
      <c r="A134">
        <v>132</v>
      </c>
      <c r="B134" t="s">
        <v>407</v>
      </c>
      <c r="C134" t="s">
        <v>408</v>
      </c>
      <c r="D134" t="s">
        <v>409</v>
      </c>
      <c r="E134" t="s">
        <v>17</v>
      </c>
      <c r="F134" t="s">
        <v>410</v>
      </c>
      <c r="G134" s="3">
        <v>18.899999999999999</v>
      </c>
      <c r="H134" s="3">
        <v>0</v>
      </c>
      <c r="I134" s="3">
        <v>18.899999999999999</v>
      </c>
      <c r="J134" s="3">
        <f>Table1[[#This Row],[قيمة الفاتورة]]*0.94-Table1[[#This Row],[قيمة المشاركة]]</f>
        <v>17.765999999999998</v>
      </c>
      <c r="L134" s="3" t="str">
        <f t="shared" si="2"/>
        <v/>
      </c>
      <c r="N134" t="s">
        <v>19</v>
      </c>
    </row>
    <row r="135" spans="1:14" x14ac:dyDescent="0.3">
      <c r="A135">
        <v>131</v>
      </c>
      <c r="B135" t="s">
        <v>411</v>
      </c>
      <c r="C135" t="s">
        <v>412</v>
      </c>
      <c r="D135" t="s">
        <v>413</v>
      </c>
      <c r="E135" t="s">
        <v>23</v>
      </c>
      <c r="F135" t="s">
        <v>410</v>
      </c>
      <c r="G135" s="3">
        <v>22.01</v>
      </c>
      <c r="H135" s="3">
        <v>0</v>
      </c>
      <c r="I135" s="3">
        <v>22.01</v>
      </c>
      <c r="J135" s="3">
        <f>Table1[[#This Row],[قيمة الفاتورة]]*0.94-Table1[[#This Row],[قيمة المشاركة]]</f>
        <v>20.689399999999999</v>
      </c>
      <c r="L135" s="3" t="str">
        <f t="shared" si="2"/>
        <v/>
      </c>
      <c r="N135" t="s">
        <v>19</v>
      </c>
    </row>
    <row r="136" spans="1:14" x14ac:dyDescent="0.3">
      <c r="A136">
        <v>134</v>
      </c>
      <c r="B136" t="s">
        <v>414</v>
      </c>
      <c r="C136" t="s">
        <v>415</v>
      </c>
      <c r="D136" t="s">
        <v>416</v>
      </c>
      <c r="E136" t="s">
        <v>23</v>
      </c>
      <c r="F136" t="s">
        <v>410</v>
      </c>
      <c r="G136" s="3">
        <v>7.7960000000000003</v>
      </c>
      <c r="H136" s="3">
        <v>0</v>
      </c>
      <c r="I136" s="3">
        <v>7.7960000000000003</v>
      </c>
      <c r="J136" s="3">
        <f>Table1[[#This Row],[قيمة الفاتورة]]*0.94-Table1[[#This Row],[قيمة المشاركة]]</f>
        <v>7.3282400000000001</v>
      </c>
      <c r="L136" s="3" t="str">
        <f t="shared" si="2"/>
        <v/>
      </c>
      <c r="N136" t="s">
        <v>19</v>
      </c>
    </row>
    <row r="137" spans="1:14" x14ac:dyDescent="0.3">
      <c r="A137">
        <v>133</v>
      </c>
      <c r="B137" t="s">
        <v>272</v>
      </c>
      <c r="C137" t="s">
        <v>273</v>
      </c>
      <c r="D137" t="s">
        <v>417</v>
      </c>
      <c r="E137" t="s">
        <v>23</v>
      </c>
      <c r="F137" t="s">
        <v>410</v>
      </c>
      <c r="G137" s="3">
        <v>6.24</v>
      </c>
      <c r="H137" s="3">
        <v>0</v>
      </c>
      <c r="I137" s="3">
        <v>6.24</v>
      </c>
      <c r="J137" s="3">
        <f>Table1[[#This Row],[قيمة الفاتورة]]*0.94-Table1[[#This Row],[قيمة المشاركة]]</f>
        <v>5.8655999999999997</v>
      </c>
      <c r="L137" s="3" t="str">
        <f t="shared" si="2"/>
        <v/>
      </c>
      <c r="N137" t="s">
        <v>19</v>
      </c>
    </row>
    <row r="138" spans="1:14" x14ac:dyDescent="0.3">
      <c r="A138">
        <v>135</v>
      </c>
      <c r="B138" t="s">
        <v>65</v>
      </c>
      <c r="C138" t="s">
        <v>66</v>
      </c>
      <c r="D138" t="s">
        <v>418</v>
      </c>
      <c r="E138" t="s">
        <v>17</v>
      </c>
      <c r="F138" t="s">
        <v>410</v>
      </c>
      <c r="G138" s="3">
        <v>19.91</v>
      </c>
      <c r="H138" s="3">
        <v>0</v>
      </c>
      <c r="I138" s="3">
        <v>19.91</v>
      </c>
      <c r="J138" s="3">
        <f>Table1[[#This Row],[قيمة الفاتورة]]*0.94-Table1[[#This Row],[قيمة المشاركة]]</f>
        <v>18.715399999999999</v>
      </c>
      <c r="L138" s="3" t="str">
        <f t="shared" si="2"/>
        <v/>
      </c>
      <c r="N138" t="s">
        <v>19</v>
      </c>
    </row>
    <row r="139" spans="1:14" x14ac:dyDescent="0.3">
      <c r="A139">
        <v>136</v>
      </c>
      <c r="B139" t="s">
        <v>419</v>
      </c>
      <c r="C139" t="s">
        <v>420</v>
      </c>
      <c r="D139" t="s">
        <v>421</v>
      </c>
      <c r="E139" t="s">
        <v>23</v>
      </c>
      <c r="F139" t="s">
        <v>422</v>
      </c>
      <c r="G139" s="3">
        <v>28.11</v>
      </c>
      <c r="H139" s="3">
        <v>0</v>
      </c>
      <c r="I139" s="3">
        <v>28.11</v>
      </c>
      <c r="J139" s="3">
        <f>Table1[[#This Row],[قيمة الفاتورة]]*0.94-Table1[[#This Row],[قيمة المشاركة]]</f>
        <v>26.423399999999997</v>
      </c>
      <c r="L139" s="3" t="str">
        <f t="shared" si="2"/>
        <v/>
      </c>
      <c r="N139" t="s">
        <v>19</v>
      </c>
    </row>
    <row r="140" spans="1:14" x14ac:dyDescent="0.3">
      <c r="A140">
        <v>137</v>
      </c>
      <c r="B140" t="s">
        <v>423</v>
      </c>
      <c r="C140" t="s">
        <v>424</v>
      </c>
      <c r="D140" t="s">
        <v>425</v>
      </c>
      <c r="E140" t="s">
        <v>23</v>
      </c>
      <c r="F140" t="s">
        <v>422</v>
      </c>
      <c r="G140" s="3">
        <v>24.57</v>
      </c>
      <c r="H140" s="3">
        <v>0</v>
      </c>
      <c r="I140" s="3">
        <v>24.57</v>
      </c>
      <c r="J140" s="3">
        <f>Table1[[#This Row],[قيمة الفاتورة]]*0.94-Table1[[#This Row],[قيمة المشاركة]]</f>
        <v>23.095800000000001</v>
      </c>
      <c r="L140" s="3" t="str">
        <f t="shared" si="2"/>
        <v/>
      </c>
      <c r="N140" t="s">
        <v>19</v>
      </c>
    </row>
    <row r="141" spans="1:14" x14ac:dyDescent="0.3">
      <c r="A141">
        <v>139</v>
      </c>
      <c r="B141" t="s">
        <v>426</v>
      </c>
      <c r="C141" t="s">
        <v>427</v>
      </c>
      <c r="D141" t="s">
        <v>428</v>
      </c>
      <c r="E141" t="s">
        <v>23</v>
      </c>
      <c r="F141" t="s">
        <v>422</v>
      </c>
      <c r="G141" s="3">
        <v>12.41</v>
      </c>
      <c r="H141" s="3">
        <v>0</v>
      </c>
      <c r="I141" s="3">
        <v>12.41</v>
      </c>
      <c r="J141" s="3">
        <f>Table1[[#This Row],[قيمة الفاتورة]]*0.94-Table1[[#This Row],[قيمة المشاركة]]</f>
        <v>11.6654</v>
      </c>
      <c r="L141" s="3" t="str">
        <f t="shared" si="2"/>
        <v/>
      </c>
      <c r="N141" t="s">
        <v>19</v>
      </c>
    </row>
    <row r="142" spans="1:14" x14ac:dyDescent="0.3">
      <c r="A142">
        <v>138</v>
      </c>
      <c r="B142" t="s">
        <v>429</v>
      </c>
      <c r="C142" t="s">
        <v>430</v>
      </c>
      <c r="D142" t="s">
        <v>431</v>
      </c>
      <c r="E142" t="s">
        <v>23</v>
      </c>
      <c r="F142" t="s">
        <v>422</v>
      </c>
      <c r="G142" s="3">
        <v>22.92</v>
      </c>
      <c r="H142" s="3">
        <v>0</v>
      </c>
      <c r="I142" s="3">
        <v>22.92</v>
      </c>
      <c r="J142" s="3">
        <f>Table1[[#This Row],[قيمة الفاتورة]]*0.94-Table1[[#This Row],[قيمة المشاركة]]</f>
        <v>21.544799999999999</v>
      </c>
      <c r="L142" s="3" t="str">
        <f t="shared" si="2"/>
        <v/>
      </c>
      <c r="N142" t="s">
        <v>19</v>
      </c>
    </row>
    <row r="143" spans="1:14" x14ac:dyDescent="0.3">
      <c r="A143">
        <v>142</v>
      </c>
      <c r="B143" t="s">
        <v>432</v>
      </c>
      <c r="C143" t="s">
        <v>433</v>
      </c>
      <c r="D143" t="s">
        <v>434</v>
      </c>
      <c r="E143" t="s">
        <v>23</v>
      </c>
      <c r="F143" t="s">
        <v>435</v>
      </c>
      <c r="G143" s="3">
        <v>14.57</v>
      </c>
      <c r="H143" s="3">
        <v>1.4570000000000001</v>
      </c>
      <c r="I143" s="3">
        <v>13.113</v>
      </c>
      <c r="J143" s="3">
        <f>Table1[[#This Row],[قيمة الفاتورة]]*0.94-Table1[[#This Row],[قيمة المشاركة]]</f>
        <v>12.238799999999999</v>
      </c>
      <c r="K143">
        <v>13.079000000000001</v>
      </c>
      <c r="L143" s="3">
        <f t="shared" si="2"/>
        <v>-0.84020000000000117</v>
      </c>
      <c r="M143" t="s">
        <v>436</v>
      </c>
      <c r="N143" t="s">
        <v>126</v>
      </c>
    </row>
    <row r="144" spans="1:14" x14ac:dyDescent="0.3">
      <c r="A144">
        <v>141</v>
      </c>
      <c r="B144" t="s">
        <v>437</v>
      </c>
      <c r="C144" t="s">
        <v>438</v>
      </c>
      <c r="D144" t="s">
        <v>439</v>
      </c>
      <c r="E144" t="s">
        <v>17</v>
      </c>
      <c r="F144" t="s">
        <v>435</v>
      </c>
      <c r="G144" s="3">
        <v>34.89</v>
      </c>
      <c r="H144" s="3">
        <v>0</v>
      </c>
      <c r="I144" s="3">
        <v>34.89</v>
      </c>
      <c r="J144" s="3">
        <f>Table1[[#This Row],[قيمة الفاتورة]]*0.94-Table1[[#This Row],[قيمة المشاركة]]</f>
        <v>32.796599999999998</v>
      </c>
      <c r="L144" s="3" t="str">
        <f t="shared" si="2"/>
        <v/>
      </c>
      <c r="N144" t="s">
        <v>19</v>
      </c>
    </row>
    <row r="145" spans="1:14" x14ac:dyDescent="0.3">
      <c r="A145">
        <v>140</v>
      </c>
      <c r="B145" t="s">
        <v>440</v>
      </c>
      <c r="C145" t="s">
        <v>441</v>
      </c>
      <c r="D145" t="s">
        <v>442</v>
      </c>
      <c r="E145" t="s">
        <v>17</v>
      </c>
      <c r="F145" t="s">
        <v>435</v>
      </c>
      <c r="G145" s="3">
        <v>31.36</v>
      </c>
      <c r="H145" s="3">
        <v>0</v>
      </c>
      <c r="I145" s="3">
        <v>31.36</v>
      </c>
      <c r="J145" s="3">
        <f>Table1[[#This Row],[قيمة الفاتورة]]*0.94-Table1[[#This Row],[قيمة المشاركة]]</f>
        <v>29.478399999999997</v>
      </c>
      <c r="L145" s="3" t="str">
        <f t="shared" si="2"/>
        <v/>
      </c>
      <c r="N145" t="s">
        <v>19</v>
      </c>
    </row>
    <row r="146" spans="1:14" x14ac:dyDescent="0.3">
      <c r="A146">
        <v>145</v>
      </c>
      <c r="B146" t="s">
        <v>443</v>
      </c>
      <c r="C146" t="s">
        <v>444</v>
      </c>
      <c r="D146" t="s">
        <v>445</v>
      </c>
      <c r="E146" t="s">
        <v>17</v>
      </c>
      <c r="F146" t="s">
        <v>446</v>
      </c>
      <c r="G146" s="3">
        <v>12.47</v>
      </c>
      <c r="H146" s="3">
        <v>0</v>
      </c>
      <c r="I146" s="3">
        <v>12.47</v>
      </c>
      <c r="J146" s="3">
        <f>Table1[[#This Row],[قيمة الفاتورة]]*0.94-Table1[[#This Row],[قيمة المشاركة]]</f>
        <v>11.7218</v>
      </c>
      <c r="L146" s="3" t="str">
        <f t="shared" si="2"/>
        <v/>
      </c>
      <c r="N146" t="s">
        <v>19</v>
      </c>
    </row>
    <row r="147" spans="1:14" x14ac:dyDescent="0.3">
      <c r="A147">
        <v>143</v>
      </c>
      <c r="B147" t="s">
        <v>447</v>
      </c>
      <c r="C147" t="s">
        <v>448</v>
      </c>
      <c r="D147" t="s">
        <v>449</v>
      </c>
      <c r="E147" t="s">
        <v>23</v>
      </c>
      <c r="F147" t="s">
        <v>446</v>
      </c>
      <c r="G147" s="3">
        <v>17.32</v>
      </c>
      <c r="H147" s="3">
        <v>0</v>
      </c>
      <c r="I147" s="3">
        <v>17.32</v>
      </c>
      <c r="J147" s="3">
        <f>Table1[[#This Row],[قيمة الفاتورة]]*0.94-Table1[[#This Row],[قيمة المشاركة]]</f>
        <v>16.280799999999999</v>
      </c>
      <c r="L147" s="3" t="str">
        <f t="shared" si="2"/>
        <v/>
      </c>
      <c r="N147" t="s">
        <v>19</v>
      </c>
    </row>
    <row r="148" spans="1:14" x14ac:dyDescent="0.3">
      <c r="A148">
        <v>144</v>
      </c>
      <c r="B148" t="s">
        <v>450</v>
      </c>
      <c r="C148" t="s">
        <v>201</v>
      </c>
      <c r="D148" t="s">
        <v>451</v>
      </c>
      <c r="E148" t="s">
        <v>17</v>
      </c>
      <c r="F148" t="s">
        <v>446</v>
      </c>
      <c r="G148" s="3">
        <v>2.4</v>
      </c>
      <c r="H148" s="3">
        <v>0</v>
      </c>
      <c r="I148" s="3">
        <v>2.4</v>
      </c>
      <c r="J148" s="3">
        <f>Table1[[#This Row],[قيمة الفاتورة]]*0.94-Table1[[#This Row],[قيمة المشاركة]]</f>
        <v>2.2559999999999998</v>
      </c>
      <c r="L148" s="3" t="str">
        <f t="shared" si="2"/>
        <v/>
      </c>
      <c r="N148" t="s">
        <v>19</v>
      </c>
    </row>
    <row r="149" spans="1:14" x14ac:dyDescent="0.3">
      <c r="A149">
        <v>146</v>
      </c>
      <c r="B149" t="s">
        <v>452</v>
      </c>
      <c r="C149" t="s">
        <v>453</v>
      </c>
      <c r="D149" t="s">
        <v>454</v>
      </c>
      <c r="E149" t="s">
        <v>23</v>
      </c>
      <c r="F149" t="s">
        <v>446</v>
      </c>
      <c r="G149" s="3">
        <v>15.85</v>
      </c>
      <c r="H149" s="3">
        <v>0</v>
      </c>
      <c r="I149" s="3">
        <v>15.85</v>
      </c>
      <c r="J149" s="3">
        <f>Table1[[#This Row],[قيمة الفاتورة]]*0.94-Table1[[#This Row],[قيمة المشاركة]]</f>
        <v>14.898999999999999</v>
      </c>
      <c r="L149" s="3" t="str">
        <f t="shared" si="2"/>
        <v/>
      </c>
      <c r="N149" t="s">
        <v>19</v>
      </c>
    </row>
    <row r="150" spans="1:14" x14ac:dyDescent="0.3">
      <c r="A150">
        <v>149</v>
      </c>
      <c r="B150" t="s">
        <v>455</v>
      </c>
      <c r="C150" t="s">
        <v>456</v>
      </c>
      <c r="D150" t="s">
        <v>457</v>
      </c>
      <c r="E150" t="s">
        <v>17</v>
      </c>
      <c r="F150" t="s">
        <v>458</v>
      </c>
      <c r="G150" s="3">
        <v>15.02</v>
      </c>
      <c r="H150" s="3">
        <v>0</v>
      </c>
      <c r="I150" s="3">
        <v>15.02</v>
      </c>
      <c r="J150" s="3">
        <f>Table1[[#This Row],[قيمة الفاتورة]]*0.94-Table1[[#This Row],[قيمة المشاركة]]</f>
        <v>14.118799999999998</v>
      </c>
      <c r="L150" s="3" t="str">
        <f t="shared" si="2"/>
        <v/>
      </c>
      <c r="N150" t="s">
        <v>19</v>
      </c>
    </row>
    <row r="151" spans="1:14" x14ac:dyDescent="0.3">
      <c r="A151">
        <v>147</v>
      </c>
      <c r="B151" t="s">
        <v>369</v>
      </c>
      <c r="C151" t="s">
        <v>370</v>
      </c>
      <c r="D151" t="s">
        <v>459</v>
      </c>
      <c r="E151" t="s">
        <v>17</v>
      </c>
      <c r="F151" t="s">
        <v>458</v>
      </c>
      <c r="G151" s="3">
        <v>13.27</v>
      </c>
      <c r="H151" s="3">
        <v>0</v>
      </c>
      <c r="I151" s="3">
        <v>13.27</v>
      </c>
      <c r="J151" s="3">
        <f>Table1[[#This Row],[قيمة الفاتورة]]*0.94-Table1[[#This Row],[قيمة المشاركة]]</f>
        <v>12.473799999999999</v>
      </c>
      <c r="L151" s="3" t="str">
        <f t="shared" si="2"/>
        <v/>
      </c>
      <c r="N151" t="s">
        <v>19</v>
      </c>
    </row>
    <row r="152" spans="1:14" x14ac:dyDescent="0.3">
      <c r="A152">
        <v>148</v>
      </c>
      <c r="B152" t="s">
        <v>460</v>
      </c>
      <c r="C152" t="s">
        <v>461</v>
      </c>
      <c r="D152" t="s">
        <v>462</v>
      </c>
      <c r="E152" t="s">
        <v>17</v>
      </c>
      <c r="F152" t="s">
        <v>458</v>
      </c>
      <c r="G152" s="3">
        <v>13.28</v>
      </c>
      <c r="H152" s="3">
        <v>0</v>
      </c>
      <c r="I152" s="3">
        <v>13.28</v>
      </c>
      <c r="J152" s="3">
        <f>Table1[[#This Row],[قيمة الفاتورة]]*0.94-Table1[[#This Row],[قيمة المشاركة]]</f>
        <v>12.483199999999998</v>
      </c>
      <c r="L152" s="3" t="str">
        <f t="shared" si="2"/>
        <v/>
      </c>
      <c r="N152" t="s">
        <v>19</v>
      </c>
    </row>
    <row r="153" spans="1:14" x14ac:dyDescent="0.3">
      <c r="A153">
        <v>154</v>
      </c>
      <c r="B153" t="s">
        <v>139</v>
      </c>
      <c r="C153" t="s">
        <v>140</v>
      </c>
      <c r="D153" t="s">
        <v>463</v>
      </c>
      <c r="E153" t="s">
        <v>17</v>
      </c>
      <c r="F153" t="s">
        <v>458</v>
      </c>
      <c r="G153" s="3">
        <v>24.36</v>
      </c>
      <c r="H153" s="3">
        <v>0</v>
      </c>
      <c r="I153" s="3">
        <v>24.36</v>
      </c>
      <c r="J153" s="3">
        <f>Table1[[#This Row],[قيمة الفاتورة]]*0.94-Table1[[#This Row],[قيمة المشاركة]]</f>
        <v>22.898399999999999</v>
      </c>
      <c r="L153" s="3" t="str">
        <f t="shared" si="2"/>
        <v/>
      </c>
      <c r="N153" t="s">
        <v>19</v>
      </c>
    </row>
    <row r="154" spans="1:14" x14ac:dyDescent="0.3">
      <c r="A154">
        <v>151</v>
      </c>
      <c r="B154" t="s">
        <v>464</v>
      </c>
      <c r="C154" t="s">
        <v>465</v>
      </c>
      <c r="D154" t="s">
        <v>466</v>
      </c>
      <c r="E154" t="s">
        <v>23</v>
      </c>
      <c r="F154" t="s">
        <v>458</v>
      </c>
      <c r="G154" s="3">
        <v>10.199999999999999</v>
      </c>
      <c r="H154" s="3">
        <v>0</v>
      </c>
      <c r="I154" s="3">
        <v>10.199999999999999</v>
      </c>
      <c r="J154" s="3">
        <f>Table1[[#This Row],[قيمة الفاتورة]]*0.94-Table1[[#This Row],[قيمة المشاركة]]</f>
        <v>9.5879999999999992</v>
      </c>
      <c r="L154" s="3" t="str">
        <f t="shared" si="2"/>
        <v/>
      </c>
      <c r="N154" t="s">
        <v>19</v>
      </c>
    </row>
    <row r="155" spans="1:14" x14ac:dyDescent="0.3">
      <c r="A155">
        <v>153</v>
      </c>
      <c r="B155" t="s">
        <v>357</v>
      </c>
      <c r="C155" t="s">
        <v>358</v>
      </c>
      <c r="D155" t="s">
        <v>467</v>
      </c>
      <c r="E155" t="s">
        <v>17</v>
      </c>
      <c r="F155" t="s">
        <v>458</v>
      </c>
      <c r="G155" s="3">
        <v>1.53</v>
      </c>
      <c r="H155" s="3">
        <v>0</v>
      </c>
      <c r="I155" s="3">
        <v>1.53</v>
      </c>
      <c r="J155" s="3">
        <f>Table1[[#This Row],[قيمة الفاتورة]]*0.94-Table1[[#This Row],[قيمة المشاركة]]</f>
        <v>1.4381999999999999</v>
      </c>
      <c r="L155" s="3" t="str">
        <f t="shared" si="2"/>
        <v/>
      </c>
      <c r="N155" t="s">
        <v>19</v>
      </c>
    </row>
    <row r="156" spans="1:14" x14ac:dyDescent="0.3">
      <c r="A156">
        <v>152</v>
      </c>
      <c r="B156" t="s">
        <v>468</v>
      </c>
      <c r="C156" t="s">
        <v>469</v>
      </c>
      <c r="D156" t="s">
        <v>470</v>
      </c>
      <c r="E156" t="s">
        <v>17</v>
      </c>
      <c r="F156" t="s">
        <v>458</v>
      </c>
      <c r="G156" s="3">
        <v>17.760000000000002</v>
      </c>
      <c r="H156" s="3">
        <v>0</v>
      </c>
      <c r="I156" s="3">
        <v>17.760000000000002</v>
      </c>
      <c r="J156" s="3">
        <f>Table1[[#This Row],[قيمة الفاتورة]]*0.94-Table1[[#This Row],[قيمة المشاركة]]</f>
        <v>16.694400000000002</v>
      </c>
      <c r="L156" s="3" t="str">
        <f t="shared" si="2"/>
        <v/>
      </c>
      <c r="N156" t="s">
        <v>19</v>
      </c>
    </row>
    <row r="157" spans="1:14" x14ac:dyDescent="0.3">
      <c r="A157">
        <v>150</v>
      </c>
      <c r="B157" t="s">
        <v>471</v>
      </c>
      <c r="C157" t="s">
        <v>472</v>
      </c>
      <c r="D157" t="s">
        <v>473</v>
      </c>
      <c r="E157" t="s">
        <v>23</v>
      </c>
      <c r="F157" t="s">
        <v>458</v>
      </c>
      <c r="G157" s="3">
        <v>7.56</v>
      </c>
      <c r="H157" s="3">
        <v>1.1339999999999999</v>
      </c>
      <c r="I157" s="3">
        <v>6.4260000000000002</v>
      </c>
      <c r="J157" s="3">
        <f>Table1[[#This Row],[قيمة الفاتورة]]*0.94-Table1[[#This Row],[قيمة المشاركة]]</f>
        <v>5.9723999999999986</v>
      </c>
      <c r="L157" s="3" t="str">
        <f t="shared" si="2"/>
        <v/>
      </c>
      <c r="N157" t="s">
        <v>19</v>
      </c>
    </row>
    <row r="158" spans="1:14" x14ac:dyDescent="0.3">
      <c r="A158">
        <v>3</v>
      </c>
      <c r="B158" t="s">
        <v>474</v>
      </c>
      <c r="C158" t="s">
        <v>475</v>
      </c>
      <c r="D158" t="s">
        <v>476</v>
      </c>
      <c r="E158" t="s">
        <v>17</v>
      </c>
      <c r="F158" t="s">
        <v>458</v>
      </c>
      <c r="G158" s="3">
        <v>18.18</v>
      </c>
      <c r="H158" s="3">
        <v>0</v>
      </c>
      <c r="I158" s="3">
        <v>18.18</v>
      </c>
      <c r="J158" s="3">
        <f>Table1[[#This Row],[قيمة الفاتورة]]*0.94-Table1[[#This Row],[قيمة المشاركة]]</f>
        <v>17.089199999999998</v>
      </c>
      <c r="L158" s="3" t="str">
        <f t="shared" si="2"/>
        <v/>
      </c>
      <c r="N158" t="s">
        <v>19</v>
      </c>
    </row>
    <row r="159" spans="1:14" x14ac:dyDescent="0.3">
      <c r="A159">
        <v>156</v>
      </c>
      <c r="B159" t="s">
        <v>477</v>
      </c>
      <c r="C159" t="s">
        <v>478</v>
      </c>
      <c r="D159" t="s">
        <v>479</v>
      </c>
      <c r="E159" t="s">
        <v>23</v>
      </c>
      <c r="F159" t="s">
        <v>480</v>
      </c>
      <c r="G159" s="3">
        <v>15.63</v>
      </c>
      <c r="H159" s="3">
        <v>0</v>
      </c>
      <c r="I159" s="3">
        <v>15.63</v>
      </c>
      <c r="J159" s="3">
        <f>Table1[[#This Row],[قيمة الفاتورة]]*0.94-Table1[[#This Row],[قيمة المشاركة]]</f>
        <v>14.6922</v>
      </c>
      <c r="L159" s="3" t="str">
        <f t="shared" si="2"/>
        <v/>
      </c>
      <c r="N159" t="s">
        <v>19</v>
      </c>
    </row>
    <row r="160" spans="1:14" x14ac:dyDescent="0.3">
      <c r="A160">
        <v>157</v>
      </c>
      <c r="B160" t="s">
        <v>481</v>
      </c>
      <c r="C160" t="s">
        <v>482</v>
      </c>
      <c r="D160" t="s">
        <v>483</v>
      </c>
      <c r="E160" t="s">
        <v>23</v>
      </c>
      <c r="F160" t="s">
        <v>480</v>
      </c>
      <c r="G160" s="3">
        <v>2.97</v>
      </c>
      <c r="H160" s="3">
        <v>0</v>
      </c>
      <c r="I160" s="3">
        <v>2.97</v>
      </c>
      <c r="J160" s="3">
        <f>Table1[[#This Row],[قيمة الفاتورة]]*0.94-Table1[[#This Row],[قيمة المشاركة]]</f>
        <v>2.7917999999999998</v>
      </c>
      <c r="L160" s="3" t="str">
        <f t="shared" si="2"/>
        <v/>
      </c>
      <c r="N160" t="s">
        <v>19</v>
      </c>
    </row>
    <row r="161" spans="1:14" x14ac:dyDescent="0.3">
      <c r="A161">
        <v>158</v>
      </c>
      <c r="B161" t="s">
        <v>484</v>
      </c>
      <c r="C161" t="s">
        <v>485</v>
      </c>
      <c r="D161" t="s">
        <v>486</v>
      </c>
      <c r="E161" t="s">
        <v>23</v>
      </c>
      <c r="F161" t="s">
        <v>480</v>
      </c>
      <c r="G161" s="3">
        <v>17.260000000000002</v>
      </c>
      <c r="H161" s="3">
        <v>0</v>
      </c>
      <c r="I161" s="3">
        <v>17.260000000000002</v>
      </c>
      <c r="J161" s="3">
        <f>Table1[[#This Row],[قيمة الفاتورة]]*0.94-Table1[[#This Row],[قيمة المشاركة]]</f>
        <v>16.224399999999999</v>
      </c>
      <c r="L161" s="3" t="str">
        <f t="shared" si="2"/>
        <v/>
      </c>
      <c r="N161" t="s">
        <v>19</v>
      </c>
    </row>
    <row r="162" spans="1:14" x14ac:dyDescent="0.3">
      <c r="A162">
        <v>155</v>
      </c>
      <c r="B162" t="s">
        <v>487</v>
      </c>
      <c r="C162" t="s">
        <v>488</v>
      </c>
      <c r="D162" t="s">
        <v>489</v>
      </c>
      <c r="E162" t="s">
        <v>23</v>
      </c>
      <c r="F162" t="s">
        <v>480</v>
      </c>
      <c r="G162" s="3">
        <v>11.83</v>
      </c>
      <c r="H162" s="3">
        <v>0</v>
      </c>
      <c r="I162" s="3">
        <v>11.83</v>
      </c>
      <c r="J162" s="3">
        <f>Table1[[#This Row],[قيمة الفاتورة]]*0.94-Table1[[#This Row],[قيمة المشاركة]]</f>
        <v>11.120199999999999</v>
      </c>
      <c r="L162" s="3" t="str">
        <f t="shared" si="2"/>
        <v/>
      </c>
    </row>
    <row r="163" spans="1:14" x14ac:dyDescent="0.3">
      <c r="A163">
        <v>4</v>
      </c>
      <c r="B163" t="s">
        <v>490</v>
      </c>
      <c r="C163" t="s">
        <v>491</v>
      </c>
      <c r="D163" t="s">
        <v>492</v>
      </c>
      <c r="E163" t="s">
        <v>17</v>
      </c>
      <c r="F163" t="s">
        <v>480</v>
      </c>
      <c r="G163" s="3">
        <v>6.64</v>
      </c>
      <c r="H163" s="3">
        <v>0</v>
      </c>
      <c r="I163" s="3">
        <v>6.64</v>
      </c>
      <c r="J163" s="3">
        <f>Table1[[#This Row],[قيمة الفاتورة]]*0.94-Table1[[#This Row],[قيمة المشاركة]]</f>
        <v>6.2415999999999991</v>
      </c>
      <c r="L163" s="3" t="str">
        <f t="shared" si="2"/>
        <v/>
      </c>
      <c r="N163" t="s">
        <v>19</v>
      </c>
    </row>
    <row r="164" spans="1:14" x14ac:dyDescent="0.3">
      <c r="A164">
        <v>166</v>
      </c>
      <c r="B164" t="s">
        <v>493</v>
      </c>
      <c r="C164" t="s">
        <v>494</v>
      </c>
      <c r="D164" t="s">
        <v>495</v>
      </c>
      <c r="E164" t="s">
        <v>17</v>
      </c>
      <c r="F164" t="s">
        <v>496</v>
      </c>
      <c r="G164" s="3">
        <v>36.58</v>
      </c>
      <c r="H164" s="3">
        <v>0</v>
      </c>
      <c r="I164" s="3">
        <v>36.58</v>
      </c>
      <c r="J164" s="3">
        <f>Table1[[#This Row],[قيمة الفاتورة]]*0.94-Table1[[#This Row],[قيمة المشاركة]]</f>
        <v>34.385199999999998</v>
      </c>
      <c r="L164" s="3" t="str">
        <f t="shared" si="2"/>
        <v/>
      </c>
      <c r="N164" t="s">
        <v>19</v>
      </c>
    </row>
    <row r="165" spans="1:14" x14ac:dyDescent="0.3">
      <c r="A165">
        <v>162</v>
      </c>
      <c r="B165" t="s">
        <v>497</v>
      </c>
      <c r="C165" t="s">
        <v>498</v>
      </c>
      <c r="D165" t="s">
        <v>499</v>
      </c>
      <c r="E165" t="s">
        <v>17</v>
      </c>
      <c r="F165" t="s">
        <v>496</v>
      </c>
      <c r="G165" s="3">
        <v>24.18</v>
      </c>
      <c r="H165" s="3">
        <v>0</v>
      </c>
      <c r="I165" s="3">
        <v>24.18</v>
      </c>
      <c r="J165" s="3">
        <f>Table1[[#This Row],[قيمة الفاتورة]]*0.94-Table1[[#This Row],[قيمة المشاركة]]</f>
        <v>22.729199999999999</v>
      </c>
      <c r="L165" s="3" t="str">
        <f t="shared" si="2"/>
        <v/>
      </c>
      <c r="N165" t="s">
        <v>19</v>
      </c>
    </row>
    <row r="166" spans="1:14" x14ac:dyDescent="0.3">
      <c r="A166">
        <v>161</v>
      </c>
      <c r="B166" t="s">
        <v>500</v>
      </c>
      <c r="C166" t="s">
        <v>501</v>
      </c>
      <c r="D166" t="s">
        <v>502</v>
      </c>
      <c r="E166" t="s">
        <v>23</v>
      </c>
      <c r="F166" t="s">
        <v>496</v>
      </c>
      <c r="G166" s="3">
        <v>24.18</v>
      </c>
      <c r="H166" s="3">
        <v>0</v>
      </c>
      <c r="I166" s="3">
        <v>24.18</v>
      </c>
      <c r="J166" s="3">
        <f>Table1[[#This Row],[قيمة الفاتورة]]*0.94-Table1[[#This Row],[قيمة المشاركة]]</f>
        <v>22.729199999999999</v>
      </c>
      <c r="L166" s="3" t="str">
        <f t="shared" si="2"/>
        <v/>
      </c>
      <c r="N166" t="s">
        <v>19</v>
      </c>
    </row>
    <row r="167" spans="1:14" x14ac:dyDescent="0.3">
      <c r="A167">
        <v>167</v>
      </c>
      <c r="B167" t="s">
        <v>503</v>
      </c>
      <c r="C167" t="s">
        <v>504</v>
      </c>
      <c r="D167" t="s">
        <v>505</v>
      </c>
      <c r="E167" t="s">
        <v>17</v>
      </c>
      <c r="F167" t="s">
        <v>496</v>
      </c>
      <c r="G167" s="3">
        <v>23.87</v>
      </c>
      <c r="H167" s="3">
        <v>0</v>
      </c>
      <c r="I167" s="3">
        <v>23.87</v>
      </c>
      <c r="J167" s="3">
        <f>Table1[[#This Row],[قيمة الفاتورة]]*0.94-Table1[[#This Row],[قيمة المشاركة]]</f>
        <v>22.437799999999999</v>
      </c>
      <c r="L167" s="3" t="str">
        <f t="shared" si="2"/>
        <v/>
      </c>
      <c r="N167" t="s">
        <v>19</v>
      </c>
    </row>
    <row r="168" spans="1:14" x14ac:dyDescent="0.3">
      <c r="A168">
        <v>168</v>
      </c>
      <c r="B168" t="s">
        <v>373</v>
      </c>
      <c r="C168" t="s">
        <v>374</v>
      </c>
      <c r="D168" t="s">
        <v>506</v>
      </c>
      <c r="E168" t="s">
        <v>23</v>
      </c>
      <c r="F168" t="s">
        <v>496</v>
      </c>
      <c r="G168" s="3">
        <v>23.87</v>
      </c>
      <c r="H168" s="3">
        <v>0</v>
      </c>
      <c r="I168" s="3">
        <v>23.87</v>
      </c>
      <c r="J168" s="3">
        <f>Table1[[#This Row],[قيمة الفاتورة]]*0.94-Table1[[#This Row],[قيمة المشاركة]]</f>
        <v>22.437799999999999</v>
      </c>
      <c r="L168" s="3" t="str">
        <f t="shared" si="2"/>
        <v/>
      </c>
      <c r="N168" t="s">
        <v>19</v>
      </c>
    </row>
    <row r="169" spans="1:14" x14ac:dyDescent="0.3">
      <c r="A169">
        <v>164</v>
      </c>
      <c r="B169" t="s">
        <v>507</v>
      </c>
      <c r="C169" t="s">
        <v>508</v>
      </c>
      <c r="D169" t="s">
        <v>509</v>
      </c>
      <c r="E169" t="s">
        <v>23</v>
      </c>
      <c r="F169" t="s">
        <v>496</v>
      </c>
      <c r="G169" s="3">
        <v>31.74</v>
      </c>
      <c r="H169" s="3">
        <v>0</v>
      </c>
      <c r="I169" s="3">
        <v>31.74</v>
      </c>
      <c r="J169" s="3">
        <f>Table1[[#This Row],[قيمة الفاتورة]]*0.94-Table1[[#This Row],[قيمة المشاركة]]</f>
        <v>29.835599999999996</v>
      </c>
      <c r="L169" s="3" t="str">
        <f t="shared" si="2"/>
        <v/>
      </c>
      <c r="N169" t="s">
        <v>19</v>
      </c>
    </row>
    <row r="170" spans="1:14" x14ac:dyDescent="0.3">
      <c r="A170">
        <v>163</v>
      </c>
      <c r="B170" t="s">
        <v>510</v>
      </c>
      <c r="C170" t="s">
        <v>511</v>
      </c>
      <c r="D170" t="s">
        <v>512</v>
      </c>
      <c r="E170" t="s">
        <v>23</v>
      </c>
      <c r="F170" t="s">
        <v>496</v>
      </c>
      <c r="G170" s="3">
        <v>2.0499999999999998</v>
      </c>
      <c r="H170" s="3">
        <v>0</v>
      </c>
      <c r="I170" s="3">
        <v>2.0499999999999998</v>
      </c>
      <c r="J170" s="3">
        <f>Table1[[#This Row],[قيمة الفاتورة]]*0.94-Table1[[#This Row],[قيمة المشاركة]]</f>
        <v>1.9269999999999998</v>
      </c>
      <c r="L170" s="3" t="str">
        <f t="shared" si="2"/>
        <v/>
      </c>
      <c r="N170" t="s">
        <v>19</v>
      </c>
    </row>
    <row r="171" spans="1:14" x14ac:dyDescent="0.3">
      <c r="A171">
        <v>159</v>
      </c>
      <c r="B171" t="s">
        <v>513</v>
      </c>
      <c r="C171" t="s">
        <v>514</v>
      </c>
      <c r="D171" t="s">
        <v>515</v>
      </c>
      <c r="E171" t="s">
        <v>17</v>
      </c>
      <c r="F171" t="s">
        <v>496</v>
      </c>
      <c r="G171" s="3">
        <v>24.84</v>
      </c>
      <c r="H171" s="3">
        <v>0</v>
      </c>
      <c r="I171" s="3">
        <v>24.84</v>
      </c>
      <c r="J171" s="3">
        <f>Table1[[#This Row],[قيمة الفاتورة]]*0.94-Table1[[#This Row],[قيمة المشاركة]]</f>
        <v>23.349599999999999</v>
      </c>
      <c r="L171" s="3" t="str">
        <f t="shared" si="2"/>
        <v/>
      </c>
      <c r="N171" t="s">
        <v>19</v>
      </c>
    </row>
    <row r="172" spans="1:14" x14ac:dyDescent="0.3">
      <c r="A172">
        <v>160</v>
      </c>
      <c r="B172" t="s">
        <v>516</v>
      </c>
      <c r="C172" t="s">
        <v>517</v>
      </c>
      <c r="D172" t="s">
        <v>518</v>
      </c>
      <c r="E172" t="s">
        <v>23</v>
      </c>
      <c r="F172" t="s">
        <v>496</v>
      </c>
      <c r="G172" s="3">
        <v>59.94</v>
      </c>
      <c r="H172" s="3">
        <v>0</v>
      </c>
      <c r="I172" s="3">
        <v>59.94</v>
      </c>
      <c r="J172" s="3">
        <f>Table1[[#This Row],[قيمة الفاتورة]]*0.94-Table1[[#This Row],[قيمة المشاركة]]</f>
        <v>56.343599999999995</v>
      </c>
      <c r="L172" s="3" t="str">
        <f t="shared" si="2"/>
        <v/>
      </c>
      <c r="N172" t="s">
        <v>19</v>
      </c>
    </row>
    <row r="173" spans="1:14" x14ac:dyDescent="0.3">
      <c r="A173">
        <v>165</v>
      </c>
      <c r="B173" t="s">
        <v>519</v>
      </c>
      <c r="C173" t="s">
        <v>520</v>
      </c>
      <c r="D173" t="s">
        <v>521</v>
      </c>
      <c r="E173" t="s">
        <v>23</v>
      </c>
      <c r="F173" t="s">
        <v>496</v>
      </c>
      <c r="G173" s="3">
        <v>11.28</v>
      </c>
      <c r="H173" s="3">
        <v>0</v>
      </c>
      <c r="I173" s="3">
        <v>11.28</v>
      </c>
      <c r="J173" s="3">
        <f>Table1[[#This Row],[قيمة الفاتورة]]*0.94-Table1[[#This Row],[قيمة المشاركة]]</f>
        <v>10.603199999999999</v>
      </c>
      <c r="L173" s="3" t="str">
        <f t="shared" si="2"/>
        <v/>
      </c>
      <c r="N173" t="s">
        <v>19</v>
      </c>
    </row>
    <row r="174" spans="1:14" x14ac:dyDescent="0.3">
      <c r="A174">
        <v>170</v>
      </c>
      <c r="B174" t="s">
        <v>522</v>
      </c>
      <c r="C174" t="s">
        <v>523</v>
      </c>
      <c r="D174" t="s">
        <v>524</v>
      </c>
      <c r="E174" t="s">
        <v>17</v>
      </c>
      <c r="F174" t="s">
        <v>525</v>
      </c>
      <c r="G174" s="3">
        <v>10.86</v>
      </c>
      <c r="H174" s="3">
        <v>0</v>
      </c>
      <c r="I174" s="3">
        <v>10.86</v>
      </c>
      <c r="J174" s="3">
        <f>Table1[[#This Row],[قيمة الفاتورة]]*0.94-Table1[[#This Row],[قيمة المشاركة]]</f>
        <v>10.208399999999999</v>
      </c>
      <c r="L174" s="3" t="str">
        <f t="shared" si="2"/>
        <v/>
      </c>
      <c r="N174" t="s">
        <v>19</v>
      </c>
    </row>
    <row r="175" spans="1:14" x14ac:dyDescent="0.3">
      <c r="A175">
        <v>171</v>
      </c>
      <c r="B175" t="s">
        <v>526</v>
      </c>
      <c r="C175" t="s">
        <v>527</v>
      </c>
      <c r="D175" t="s">
        <v>528</v>
      </c>
      <c r="E175" t="s">
        <v>23</v>
      </c>
      <c r="F175" t="s">
        <v>525</v>
      </c>
      <c r="G175" s="3">
        <v>21.93</v>
      </c>
      <c r="H175" s="3">
        <v>0</v>
      </c>
      <c r="I175" s="3">
        <v>21.93</v>
      </c>
      <c r="J175" s="3">
        <f>Table1[[#This Row],[قيمة الفاتورة]]*0.94-Table1[[#This Row],[قيمة المشاركة]]</f>
        <v>20.6142</v>
      </c>
      <c r="L175" s="3" t="str">
        <f t="shared" si="2"/>
        <v/>
      </c>
      <c r="N175" t="s">
        <v>19</v>
      </c>
    </row>
    <row r="176" spans="1:14" x14ac:dyDescent="0.3">
      <c r="A176">
        <v>173</v>
      </c>
      <c r="B176" t="s">
        <v>526</v>
      </c>
      <c r="C176" t="s">
        <v>527</v>
      </c>
      <c r="D176" t="s">
        <v>529</v>
      </c>
      <c r="E176" t="s">
        <v>23</v>
      </c>
      <c r="F176" t="s">
        <v>525</v>
      </c>
      <c r="G176" s="3">
        <v>3.17</v>
      </c>
      <c r="H176" s="3">
        <v>0</v>
      </c>
      <c r="I176" s="3">
        <v>3.17</v>
      </c>
      <c r="J176" s="3">
        <f>Table1[[#This Row],[قيمة الفاتورة]]*0.94-Table1[[#This Row],[قيمة المشاركة]]</f>
        <v>2.9797999999999996</v>
      </c>
      <c r="L176" s="3" t="str">
        <f t="shared" si="2"/>
        <v/>
      </c>
      <c r="N176" t="s">
        <v>19</v>
      </c>
    </row>
    <row r="177" spans="1:14" x14ac:dyDescent="0.3">
      <c r="A177">
        <v>174</v>
      </c>
      <c r="B177" t="s">
        <v>88</v>
      </c>
      <c r="C177" t="s">
        <v>89</v>
      </c>
      <c r="D177" t="s">
        <v>530</v>
      </c>
      <c r="E177" t="s">
        <v>23</v>
      </c>
      <c r="F177" t="s">
        <v>525</v>
      </c>
      <c r="G177" s="3">
        <v>24.43</v>
      </c>
      <c r="H177" s="3">
        <v>3.6640000000000001</v>
      </c>
      <c r="I177" s="3">
        <v>20.765999999999998</v>
      </c>
      <c r="J177" s="3">
        <f>Table1[[#This Row],[قيمة الفاتورة]]*0.94-Table1[[#This Row],[قيمة المشاركة]]</f>
        <v>19.300199999999997</v>
      </c>
      <c r="L177" s="3" t="str">
        <f t="shared" si="2"/>
        <v/>
      </c>
      <c r="N177" t="s">
        <v>19</v>
      </c>
    </row>
    <row r="178" spans="1:14" x14ac:dyDescent="0.3">
      <c r="A178">
        <v>172</v>
      </c>
      <c r="B178" t="s">
        <v>151</v>
      </c>
      <c r="C178" t="s">
        <v>152</v>
      </c>
      <c r="D178" t="s">
        <v>531</v>
      </c>
      <c r="E178" t="s">
        <v>23</v>
      </c>
      <c r="F178" t="s">
        <v>525</v>
      </c>
      <c r="G178" s="3">
        <v>28.11</v>
      </c>
      <c r="H178" s="3">
        <v>0</v>
      </c>
      <c r="I178" s="3">
        <v>28.11</v>
      </c>
      <c r="J178" s="3">
        <f>Table1[[#This Row],[قيمة الفاتورة]]*0.94-Table1[[#This Row],[قيمة المشاركة]]</f>
        <v>26.423399999999997</v>
      </c>
      <c r="L178" s="3" t="str">
        <f t="shared" si="2"/>
        <v/>
      </c>
      <c r="N178" t="s">
        <v>19</v>
      </c>
    </row>
    <row r="179" spans="1:14" x14ac:dyDescent="0.3">
      <c r="A179">
        <v>175</v>
      </c>
      <c r="B179" t="s">
        <v>532</v>
      </c>
      <c r="C179" t="s">
        <v>344</v>
      </c>
      <c r="D179" t="s">
        <v>533</v>
      </c>
      <c r="E179" t="s">
        <v>17</v>
      </c>
      <c r="F179" t="s">
        <v>525</v>
      </c>
      <c r="G179" s="3">
        <v>28.12</v>
      </c>
      <c r="H179" s="3">
        <v>0</v>
      </c>
      <c r="I179" s="3">
        <v>28.12</v>
      </c>
      <c r="J179" s="3">
        <f>Table1[[#This Row],[قيمة الفاتورة]]*0.94-Table1[[#This Row],[قيمة المشاركة]]</f>
        <v>26.4328</v>
      </c>
      <c r="L179" s="3" t="str">
        <f t="shared" si="2"/>
        <v/>
      </c>
      <c r="N179" t="s">
        <v>19</v>
      </c>
    </row>
    <row r="180" spans="1:14" x14ac:dyDescent="0.3">
      <c r="A180">
        <v>169</v>
      </c>
      <c r="B180" t="s">
        <v>534</v>
      </c>
      <c r="C180" t="s">
        <v>535</v>
      </c>
      <c r="D180" t="s">
        <v>536</v>
      </c>
      <c r="E180" t="s">
        <v>17</v>
      </c>
      <c r="F180" t="s">
        <v>525</v>
      </c>
      <c r="G180" s="3">
        <v>47.26</v>
      </c>
      <c r="H180" s="3">
        <v>16.541</v>
      </c>
      <c r="I180" s="3">
        <v>30.719000000000001</v>
      </c>
      <c r="J180" s="3">
        <f>Table1[[#This Row],[قيمة الفاتورة]]*0.94-Table1[[#This Row],[قيمة المشاركة]]</f>
        <v>27.883399999999998</v>
      </c>
      <c r="L180" s="3" t="str">
        <f t="shared" si="2"/>
        <v/>
      </c>
      <c r="N180" t="s">
        <v>19</v>
      </c>
    </row>
    <row r="181" spans="1:14" x14ac:dyDescent="0.3">
      <c r="A181">
        <v>5</v>
      </c>
      <c r="B181" t="s">
        <v>537</v>
      </c>
      <c r="C181" t="s">
        <v>448</v>
      </c>
      <c r="D181" t="s">
        <v>538</v>
      </c>
      <c r="E181" t="s">
        <v>17</v>
      </c>
      <c r="F181" t="s">
        <v>525</v>
      </c>
      <c r="G181" s="3">
        <v>11.37</v>
      </c>
      <c r="H181" s="3">
        <v>0</v>
      </c>
      <c r="I181" s="3">
        <v>11.37</v>
      </c>
      <c r="J181" s="3">
        <f>Table1[[#This Row],[قيمة الفاتورة]]*0.94-Table1[[#This Row],[قيمة المشاركة]]</f>
        <v>10.687799999999999</v>
      </c>
      <c r="L181" s="3" t="str">
        <f t="shared" si="2"/>
        <v/>
      </c>
      <c r="N181" t="s">
        <v>19</v>
      </c>
    </row>
    <row r="182" spans="1:14" x14ac:dyDescent="0.3">
      <c r="A182">
        <v>6</v>
      </c>
      <c r="B182" t="s">
        <v>537</v>
      </c>
      <c r="C182" t="s">
        <v>448</v>
      </c>
      <c r="D182" t="s">
        <v>539</v>
      </c>
      <c r="E182" t="s">
        <v>17</v>
      </c>
      <c r="F182" t="s">
        <v>525</v>
      </c>
      <c r="G182" s="3">
        <v>8.34</v>
      </c>
      <c r="H182" s="3">
        <v>0</v>
      </c>
      <c r="I182" s="3">
        <v>8.34</v>
      </c>
      <c r="J182" s="3">
        <f>Table1[[#This Row],[قيمة الفاتورة]]*0.94-Table1[[#This Row],[قيمة المشاركة]]</f>
        <v>7.839599999999999</v>
      </c>
      <c r="L182" s="3" t="str">
        <f t="shared" si="2"/>
        <v/>
      </c>
      <c r="N182" t="s">
        <v>19</v>
      </c>
    </row>
    <row r="183" spans="1:14" x14ac:dyDescent="0.3">
      <c r="A183">
        <v>176</v>
      </c>
      <c r="B183" t="s">
        <v>540</v>
      </c>
      <c r="C183" t="s">
        <v>541</v>
      </c>
      <c r="D183" t="s">
        <v>542</v>
      </c>
      <c r="E183" t="s">
        <v>23</v>
      </c>
      <c r="F183" t="s">
        <v>543</v>
      </c>
      <c r="G183" s="3">
        <v>17.940000000000001</v>
      </c>
      <c r="H183" s="3">
        <v>0</v>
      </c>
      <c r="I183" s="3">
        <v>17.940000000000001</v>
      </c>
      <c r="J183" s="3">
        <f>Table1[[#This Row],[قيمة الفاتورة]]*0.94-Table1[[#This Row],[قيمة المشاركة]]</f>
        <v>16.863600000000002</v>
      </c>
      <c r="L183" s="3" t="str">
        <f t="shared" si="2"/>
        <v/>
      </c>
      <c r="N183" t="s">
        <v>19</v>
      </c>
    </row>
    <row r="184" spans="1:14" x14ac:dyDescent="0.3">
      <c r="A184">
        <v>178</v>
      </c>
      <c r="B184" t="s">
        <v>315</v>
      </c>
      <c r="C184" t="s">
        <v>544</v>
      </c>
      <c r="D184" t="s">
        <v>545</v>
      </c>
      <c r="E184" t="s">
        <v>17</v>
      </c>
      <c r="F184" t="s">
        <v>543</v>
      </c>
      <c r="G184" s="3">
        <v>20.91</v>
      </c>
      <c r="H184" s="3">
        <v>0</v>
      </c>
      <c r="I184" s="3">
        <v>20.91</v>
      </c>
      <c r="J184" s="3">
        <f>Table1[[#This Row],[قيمة الفاتورة]]*0.94-Table1[[#This Row],[قيمة المشاركة]]</f>
        <v>19.6554</v>
      </c>
      <c r="L184" s="3" t="str">
        <f t="shared" si="2"/>
        <v/>
      </c>
      <c r="N184" t="s">
        <v>19</v>
      </c>
    </row>
    <row r="185" spans="1:14" x14ac:dyDescent="0.3">
      <c r="A185">
        <v>177</v>
      </c>
      <c r="B185" t="s">
        <v>546</v>
      </c>
      <c r="C185" t="s">
        <v>547</v>
      </c>
      <c r="D185" t="s">
        <v>548</v>
      </c>
      <c r="E185" t="s">
        <v>23</v>
      </c>
      <c r="F185" t="s">
        <v>543</v>
      </c>
      <c r="G185" s="3">
        <v>27.76</v>
      </c>
      <c r="H185" s="3">
        <v>0</v>
      </c>
      <c r="I185" s="3">
        <v>27.76</v>
      </c>
      <c r="J185" s="3">
        <f>Table1[[#This Row],[قيمة الفاتورة]]*0.94-Table1[[#This Row],[قيمة المشاركة]]</f>
        <v>26.0944</v>
      </c>
      <c r="L185" s="3" t="str">
        <f t="shared" si="2"/>
        <v/>
      </c>
      <c r="N185" t="s">
        <v>19</v>
      </c>
    </row>
    <row r="186" spans="1:14" x14ac:dyDescent="0.3">
      <c r="A186">
        <v>181</v>
      </c>
      <c r="B186" t="s">
        <v>549</v>
      </c>
      <c r="C186" t="s">
        <v>550</v>
      </c>
      <c r="D186" t="s">
        <v>551</v>
      </c>
      <c r="E186" t="s">
        <v>23</v>
      </c>
      <c r="F186" t="s">
        <v>552</v>
      </c>
      <c r="G186" s="3">
        <v>8.5</v>
      </c>
      <c r="H186" s="3">
        <v>0</v>
      </c>
      <c r="I186" s="3">
        <v>8.5</v>
      </c>
      <c r="J186" s="3">
        <f>Table1[[#This Row],[قيمة الفاتورة]]*0.94-Table1[[#This Row],[قيمة المشاركة]]</f>
        <v>7.9899999999999993</v>
      </c>
      <c r="L186" s="3" t="str">
        <f t="shared" si="2"/>
        <v/>
      </c>
      <c r="N186" t="s">
        <v>19</v>
      </c>
    </row>
    <row r="187" spans="1:14" x14ac:dyDescent="0.3">
      <c r="A187">
        <v>179</v>
      </c>
      <c r="B187" t="s">
        <v>553</v>
      </c>
      <c r="C187" t="s">
        <v>554</v>
      </c>
      <c r="D187" t="s">
        <v>555</v>
      </c>
      <c r="E187" t="s">
        <v>17</v>
      </c>
      <c r="F187" t="s">
        <v>552</v>
      </c>
      <c r="G187" s="3">
        <v>10.06</v>
      </c>
      <c r="H187" s="3">
        <v>0</v>
      </c>
      <c r="I187" s="3">
        <v>10.06</v>
      </c>
      <c r="J187" s="3">
        <f>Table1[[#This Row],[قيمة الفاتورة]]*0.94-Table1[[#This Row],[قيمة المشاركة]]</f>
        <v>9.4564000000000004</v>
      </c>
      <c r="L187" s="3" t="str">
        <f t="shared" si="2"/>
        <v/>
      </c>
      <c r="N187" t="s">
        <v>19</v>
      </c>
    </row>
    <row r="188" spans="1:14" x14ac:dyDescent="0.3">
      <c r="A188">
        <v>182</v>
      </c>
      <c r="B188" t="s">
        <v>556</v>
      </c>
      <c r="C188" t="s">
        <v>557</v>
      </c>
      <c r="D188" t="s">
        <v>558</v>
      </c>
      <c r="E188" t="s">
        <v>17</v>
      </c>
      <c r="F188" t="s">
        <v>552</v>
      </c>
      <c r="G188" s="3">
        <v>6.76</v>
      </c>
      <c r="H188" s="3">
        <v>0</v>
      </c>
      <c r="I188" s="3">
        <v>6.76</v>
      </c>
      <c r="J188" s="3">
        <f>Table1[[#This Row],[قيمة الفاتورة]]*0.94-Table1[[#This Row],[قيمة المشاركة]]</f>
        <v>6.3543999999999992</v>
      </c>
      <c r="L188" s="3" t="str">
        <f t="shared" si="2"/>
        <v/>
      </c>
      <c r="N188" t="s">
        <v>19</v>
      </c>
    </row>
    <row r="189" spans="1:14" x14ac:dyDescent="0.3">
      <c r="A189">
        <v>183</v>
      </c>
      <c r="B189" t="s">
        <v>559</v>
      </c>
      <c r="C189" t="s">
        <v>560</v>
      </c>
      <c r="D189" t="s">
        <v>561</v>
      </c>
      <c r="E189" t="s">
        <v>23</v>
      </c>
      <c r="F189" t="s">
        <v>552</v>
      </c>
      <c r="G189" s="3">
        <v>2.0299999999999998</v>
      </c>
      <c r="H189" s="3">
        <v>0</v>
      </c>
      <c r="I189" s="3">
        <v>2.0299999999999998</v>
      </c>
      <c r="J189" s="3">
        <f>Table1[[#This Row],[قيمة الفاتورة]]*0.94-Table1[[#This Row],[قيمة المشاركة]]</f>
        <v>1.9081999999999997</v>
      </c>
      <c r="L189" s="3" t="str">
        <f t="shared" si="2"/>
        <v/>
      </c>
      <c r="N189" t="s">
        <v>19</v>
      </c>
    </row>
    <row r="190" spans="1:14" x14ac:dyDescent="0.3">
      <c r="A190">
        <v>184</v>
      </c>
      <c r="B190" t="s">
        <v>559</v>
      </c>
      <c r="C190" t="s">
        <v>560</v>
      </c>
      <c r="D190" t="s">
        <v>562</v>
      </c>
      <c r="E190" t="s">
        <v>23</v>
      </c>
      <c r="F190" t="s">
        <v>552</v>
      </c>
      <c r="G190" s="3">
        <v>38.090000000000003</v>
      </c>
      <c r="H190" s="3">
        <v>0</v>
      </c>
      <c r="I190" s="3">
        <v>38.090000000000003</v>
      </c>
      <c r="J190" s="3">
        <f>Table1[[#This Row],[قيمة الفاتورة]]*0.94-Table1[[#This Row],[قيمة المشاركة]]</f>
        <v>35.804600000000001</v>
      </c>
      <c r="L190" s="3" t="str">
        <f t="shared" si="2"/>
        <v/>
      </c>
      <c r="N190" t="s">
        <v>19</v>
      </c>
    </row>
    <row r="191" spans="1:14" x14ac:dyDescent="0.3">
      <c r="A191">
        <v>180</v>
      </c>
      <c r="B191" t="s">
        <v>563</v>
      </c>
      <c r="C191" t="s">
        <v>564</v>
      </c>
      <c r="D191" t="s">
        <v>565</v>
      </c>
      <c r="E191" t="s">
        <v>17</v>
      </c>
      <c r="F191" t="s">
        <v>552</v>
      </c>
      <c r="G191" s="3">
        <v>14.2</v>
      </c>
      <c r="H191" s="3">
        <v>0</v>
      </c>
      <c r="I191" s="3">
        <v>14.2</v>
      </c>
      <c r="J191" s="3">
        <f>Table1[[#This Row],[قيمة الفاتورة]]*0.94-Table1[[#This Row],[قيمة المشاركة]]</f>
        <v>13.347999999999999</v>
      </c>
      <c r="L191" s="3" t="str">
        <f t="shared" si="2"/>
        <v/>
      </c>
      <c r="N191" t="s">
        <v>19</v>
      </c>
    </row>
    <row r="192" spans="1:14" x14ac:dyDescent="0.3">
      <c r="A192">
        <v>192</v>
      </c>
      <c r="B192" t="s">
        <v>79</v>
      </c>
      <c r="C192" t="s">
        <v>110</v>
      </c>
      <c r="D192" t="s">
        <v>566</v>
      </c>
      <c r="E192" t="s">
        <v>23</v>
      </c>
      <c r="F192" t="s">
        <v>567</v>
      </c>
      <c r="G192" s="3">
        <v>4.33</v>
      </c>
      <c r="H192" s="3">
        <v>0</v>
      </c>
      <c r="I192" s="3">
        <v>4.33</v>
      </c>
      <c r="J192" s="3">
        <f>Table1[[#This Row],[قيمة الفاتورة]]*0.94-Table1[[#This Row],[قيمة المشاركة]]</f>
        <v>4.0701999999999998</v>
      </c>
      <c r="L192" s="3" t="str">
        <f t="shared" si="2"/>
        <v/>
      </c>
      <c r="N192" t="s">
        <v>19</v>
      </c>
    </row>
    <row r="193" spans="1:14" x14ac:dyDescent="0.3">
      <c r="A193">
        <v>195</v>
      </c>
      <c r="B193" t="s">
        <v>568</v>
      </c>
      <c r="C193" t="s">
        <v>569</v>
      </c>
      <c r="D193" t="s">
        <v>570</v>
      </c>
      <c r="E193" t="s">
        <v>23</v>
      </c>
      <c r="F193" t="s">
        <v>567</v>
      </c>
      <c r="G193" s="3">
        <v>27.46</v>
      </c>
      <c r="H193" s="3">
        <v>0</v>
      </c>
      <c r="I193" s="3">
        <v>27.46</v>
      </c>
      <c r="J193" s="3">
        <f>Table1[[#This Row],[قيمة الفاتورة]]*0.94-Table1[[#This Row],[قيمة المشاركة]]</f>
        <v>25.8124</v>
      </c>
      <c r="L193" s="3" t="str">
        <f t="shared" si="2"/>
        <v/>
      </c>
      <c r="N193" t="s">
        <v>19</v>
      </c>
    </row>
    <row r="194" spans="1:14" x14ac:dyDescent="0.3">
      <c r="A194">
        <v>189</v>
      </c>
      <c r="B194" t="s">
        <v>450</v>
      </c>
      <c r="C194" t="s">
        <v>201</v>
      </c>
      <c r="D194" t="s">
        <v>571</v>
      </c>
      <c r="E194" t="s">
        <v>17</v>
      </c>
      <c r="F194" t="s">
        <v>567</v>
      </c>
      <c r="G194" s="3">
        <v>35.076999999999998</v>
      </c>
      <c r="H194" s="3">
        <v>0</v>
      </c>
      <c r="I194" s="3">
        <v>35.076999999999998</v>
      </c>
      <c r="J194" s="3">
        <f>Table1[[#This Row],[قيمة الفاتورة]]*0.94-Table1[[#This Row],[قيمة المشاركة]]</f>
        <v>32.972379999999994</v>
      </c>
      <c r="L194" s="3" t="str">
        <f t="shared" ref="L194:L257" si="3">IF(ISNUMBER(K194), J194-K194, "")</f>
        <v/>
      </c>
      <c r="N194" t="s">
        <v>19</v>
      </c>
    </row>
    <row r="195" spans="1:14" x14ac:dyDescent="0.3">
      <c r="A195">
        <v>187</v>
      </c>
      <c r="B195" t="s">
        <v>45</v>
      </c>
      <c r="C195" t="s">
        <v>46</v>
      </c>
      <c r="D195" t="s">
        <v>572</v>
      </c>
      <c r="E195" t="s">
        <v>17</v>
      </c>
      <c r="F195" t="s">
        <v>567</v>
      </c>
      <c r="G195" s="3">
        <v>12.52</v>
      </c>
      <c r="H195" s="3">
        <v>0</v>
      </c>
      <c r="I195" s="3">
        <v>12.52</v>
      </c>
      <c r="J195" s="3">
        <f>Table1[[#This Row],[قيمة الفاتورة]]*0.94-Table1[[#This Row],[قيمة المشاركة]]</f>
        <v>11.768799999999999</v>
      </c>
      <c r="L195" s="3" t="str">
        <f t="shared" si="3"/>
        <v/>
      </c>
      <c r="N195" t="s">
        <v>19</v>
      </c>
    </row>
    <row r="196" spans="1:14" x14ac:dyDescent="0.3">
      <c r="A196">
        <v>190</v>
      </c>
      <c r="B196" t="s">
        <v>474</v>
      </c>
      <c r="C196" t="s">
        <v>573</v>
      </c>
      <c r="D196" t="s">
        <v>574</v>
      </c>
      <c r="E196" t="s">
        <v>17</v>
      </c>
      <c r="F196" t="s">
        <v>567</v>
      </c>
      <c r="G196" s="3">
        <v>21.25</v>
      </c>
      <c r="H196" s="3">
        <v>0</v>
      </c>
      <c r="I196" s="3">
        <v>21.25</v>
      </c>
      <c r="J196" s="3">
        <f>Table1[[#This Row],[قيمة الفاتورة]]*0.94-Table1[[#This Row],[قيمة المشاركة]]</f>
        <v>19.974999999999998</v>
      </c>
      <c r="L196" s="3" t="str">
        <f t="shared" si="3"/>
        <v/>
      </c>
      <c r="N196" t="s">
        <v>19</v>
      </c>
    </row>
    <row r="197" spans="1:14" x14ac:dyDescent="0.3">
      <c r="A197">
        <v>194</v>
      </c>
      <c r="B197" t="s">
        <v>474</v>
      </c>
      <c r="C197" t="s">
        <v>573</v>
      </c>
      <c r="D197" t="s">
        <v>575</v>
      </c>
      <c r="E197" t="s">
        <v>17</v>
      </c>
      <c r="F197" t="s">
        <v>567</v>
      </c>
      <c r="G197" s="3">
        <v>4.71</v>
      </c>
      <c r="H197" s="3">
        <v>0</v>
      </c>
      <c r="I197" s="3">
        <v>4.71</v>
      </c>
      <c r="J197" s="3">
        <f>Table1[[#This Row],[قيمة الفاتورة]]*0.94-Table1[[#This Row],[قيمة المشاركة]]</f>
        <v>4.4273999999999996</v>
      </c>
      <c r="L197" s="3" t="str">
        <f t="shared" si="3"/>
        <v/>
      </c>
      <c r="N197" t="s">
        <v>19</v>
      </c>
    </row>
    <row r="198" spans="1:14" x14ac:dyDescent="0.3">
      <c r="A198">
        <v>191</v>
      </c>
      <c r="B198" t="s">
        <v>576</v>
      </c>
      <c r="C198" t="s">
        <v>146</v>
      </c>
      <c r="D198" t="s">
        <v>577</v>
      </c>
      <c r="E198" t="s">
        <v>23</v>
      </c>
      <c r="F198" t="s">
        <v>567</v>
      </c>
      <c r="G198" s="3">
        <v>12.43</v>
      </c>
      <c r="H198" s="3">
        <v>0</v>
      </c>
      <c r="I198" s="3">
        <v>12.43</v>
      </c>
      <c r="J198" s="3">
        <f>Table1[[#This Row],[قيمة الفاتورة]]*0.94-Table1[[#This Row],[قيمة المشاركة]]</f>
        <v>11.684199999999999</v>
      </c>
      <c r="L198" s="3" t="str">
        <f t="shared" si="3"/>
        <v/>
      </c>
      <c r="N198" t="s">
        <v>19</v>
      </c>
    </row>
    <row r="199" spans="1:14" x14ac:dyDescent="0.3">
      <c r="A199">
        <v>193</v>
      </c>
      <c r="B199" t="s">
        <v>578</v>
      </c>
      <c r="C199" t="s">
        <v>579</v>
      </c>
      <c r="D199" t="s">
        <v>580</v>
      </c>
      <c r="E199" t="s">
        <v>23</v>
      </c>
      <c r="F199" t="s">
        <v>567</v>
      </c>
      <c r="G199" s="3">
        <v>5.34</v>
      </c>
      <c r="H199" s="3">
        <v>0</v>
      </c>
      <c r="I199" s="3">
        <v>5.34</v>
      </c>
      <c r="J199" s="3">
        <f>Table1[[#This Row],[قيمة الفاتورة]]*0.94-Table1[[#This Row],[قيمة المشاركة]]</f>
        <v>5.0195999999999996</v>
      </c>
      <c r="L199" s="3" t="str">
        <f t="shared" si="3"/>
        <v/>
      </c>
      <c r="N199" t="s">
        <v>19</v>
      </c>
    </row>
    <row r="200" spans="1:14" x14ac:dyDescent="0.3">
      <c r="A200">
        <v>186</v>
      </c>
      <c r="B200" t="s">
        <v>581</v>
      </c>
      <c r="C200" t="s">
        <v>582</v>
      </c>
      <c r="D200" t="s">
        <v>583</v>
      </c>
      <c r="E200" t="s">
        <v>17</v>
      </c>
      <c r="F200" t="s">
        <v>567</v>
      </c>
      <c r="G200" s="3">
        <v>7.19</v>
      </c>
      <c r="H200" s="3">
        <v>0</v>
      </c>
      <c r="I200" s="3">
        <v>7.19</v>
      </c>
      <c r="J200" s="3">
        <f>Table1[[#This Row],[قيمة الفاتورة]]*0.94-Table1[[#This Row],[قيمة المشاركة]]</f>
        <v>6.7586000000000004</v>
      </c>
      <c r="L200" s="3" t="str">
        <f t="shared" si="3"/>
        <v/>
      </c>
      <c r="N200" t="s">
        <v>19</v>
      </c>
    </row>
    <row r="201" spans="1:14" x14ac:dyDescent="0.3">
      <c r="A201">
        <v>196</v>
      </c>
      <c r="B201" t="s">
        <v>584</v>
      </c>
      <c r="C201" t="s">
        <v>585</v>
      </c>
      <c r="D201" t="s">
        <v>586</v>
      </c>
      <c r="E201" t="s">
        <v>23</v>
      </c>
      <c r="F201" t="s">
        <v>567</v>
      </c>
      <c r="G201" s="3">
        <v>23.33</v>
      </c>
      <c r="H201" s="3">
        <v>0</v>
      </c>
      <c r="I201" s="3">
        <v>23.33</v>
      </c>
      <c r="J201" s="3">
        <f>Table1[[#This Row],[قيمة الفاتورة]]*0.94-Table1[[#This Row],[قيمة المشاركة]]</f>
        <v>21.930199999999996</v>
      </c>
      <c r="L201" s="3" t="str">
        <f t="shared" si="3"/>
        <v/>
      </c>
      <c r="N201" t="s">
        <v>19</v>
      </c>
    </row>
    <row r="202" spans="1:14" x14ac:dyDescent="0.3">
      <c r="A202">
        <v>185</v>
      </c>
      <c r="B202" t="s">
        <v>302</v>
      </c>
      <c r="C202" t="s">
        <v>303</v>
      </c>
      <c r="D202" t="s">
        <v>587</v>
      </c>
      <c r="E202" t="s">
        <v>17</v>
      </c>
      <c r="F202" t="s">
        <v>567</v>
      </c>
      <c r="G202" s="3">
        <v>53.86</v>
      </c>
      <c r="H202" s="3">
        <v>0</v>
      </c>
      <c r="I202" s="3">
        <v>53.86</v>
      </c>
      <c r="J202" s="3">
        <f>Table1[[#This Row],[قيمة الفاتورة]]*0.94-Table1[[#This Row],[قيمة المشاركة]]</f>
        <v>50.628399999999999</v>
      </c>
      <c r="L202" s="3" t="str">
        <f t="shared" si="3"/>
        <v/>
      </c>
      <c r="N202" t="s">
        <v>19</v>
      </c>
    </row>
    <row r="203" spans="1:14" x14ac:dyDescent="0.3">
      <c r="A203">
        <v>197</v>
      </c>
      <c r="B203" t="s">
        <v>559</v>
      </c>
      <c r="C203" t="s">
        <v>560</v>
      </c>
      <c r="D203" t="s">
        <v>588</v>
      </c>
      <c r="E203" t="s">
        <v>23</v>
      </c>
      <c r="F203" t="s">
        <v>567</v>
      </c>
      <c r="G203" s="3">
        <v>12.48</v>
      </c>
      <c r="H203" s="3">
        <v>0</v>
      </c>
      <c r="I203" s="3">
        <v>12.48</v>
      </c>
      <c r="J203" s="3">
        <f>Table1[[#This Row],[قيمة الفاتورة]]*0.94-Table1[[#This Row],[قيمة المشاركة]]</f>
        <v>11.731199999999999</v>
      </c>
      <c r="L203" s="3" t="str">
        <f t="shared" si="3"/>
        <v/>
      </c>
      <c r="N203" t="s">
        <v>19</v>
      </c>
    </row>
    <row r="204" spans="1:14" x14ac:dyDescent="0.3">
      <c r="A204">
        <v>188</v>
      </c>
      <c r="B204" t="s">
        <v>262</v>
      </c>
      <c r="C204" t="s">
        <v>263</v>
      </c>
      <c r="D204" t="s">
        <v>589</v>
      </c>
      <c r="E204" t="s">
        <v>23</v>
      </c>
      <c r="F204" t="s">
        <v>567</v>
      </c>
      <c r="G204" s="3">
        <v>6.33</v>
      </c>
      <c r="H204" s="3">
        <v>0</v>
      </c>
      <c r="I204" s="3">
        <v>6.33</v>
      </c>
      <c r="J204" s="3">
        <f>Table1[[#This Row],[قيمة الفاتورة]]*0.94-Table1[[#This Row],[قيمة المشاركة]]</f>
        <v>5.9501999999999997</v>
      </c>
      <c r="L204" s="3" t="str">
        <f t="shared" si="3"/>
        <v/>
      </c>
    </row>
    <row r="205" spans="1:14" x14ac:dyDescent="0.3">
      <c r="A205">
        <v>7</v>
      </c>
      <c r="B205" t="s">
        <v>237</v>
      </c>
      <c r="C205" t="s">
        <v>238</v>
      </c>
      <c r="D205" t="s">
        <v>590</v>
      </c>
      <c r="E205" t="s">
        <v>17</v>
      </c>
      <c r="F205" t="s">
        <v>567</v>
      </c>
      <c r="G205" s="3">
        <v>12.66</v>
      </c>
      <c r="H205" s="3">
        <v>0</v>
      </c>
      <c r="I205" s="3">
        <v>12.66</v>
      </c>
      <c r="J205" s="3">
        <f>Table1[[#This Row],[قيمة الفاتورة]]*0.94-Table1[[#This Row],[قيمة المشاركة]]</f>
        <v>11.900399999999999</v>
      </c>
      <c r="L205" s="3" t="str">
        <f t="shared" si="3"/>
        <v/>
      </c>
      <c r="N205" t="s">
        <v>19</v>
      </c>
    </row>
    <row r="206" spans="1:14" x14ac:dyDescent="0.3">
      <c r="A206">
        <v>201</v>
      </c>
      <c r="B206" t="s">
        <v>591</v>
      </c>
      <c r="C206" t="s">
        <v>592</v>
      </c>
      <c r="D206" t="s">
        <v>593</v>
      </c>
      <c r="E206" t="s">
        <v>23</v>
      </c>
      <c r="F206" t="s">
        <v>594</v>
      </c>
      <c r="G206" s="3">
        <v>42.98</v>
      </c>
      <c r="H206" s="3">
        <v>0</v>
      </c>
      <c r="I206" s="3">
        <v>42.98</v>
      </c>
      <c r="J206" s="3">
        <f>Table1[[#This Row],[قيمة الفاتورة]]*0.94-Table1[[#This Row],[قيمة المشاركة]]</f>
        <v>40.401199999999996</v>
      </c>
      <c r="L206" s="3" t="str">
        <f t="shared" si="3"/>
        <v/>
      </c>
      <c r="N206" t="s">
        <v>19</v>
      </c>
    </row>
    <row r="207" spans="1:14" x14ac:dyDescent="0.3">
      <c r="A207">
        <v>202</v>
      </c>
      <c r="B207" t="s">
        <v>206</v>
      </c>
      <c r="C207" t="s">
        <v>207</v>
      </c>
      <c r="D207" t="s">
        <v>595</v>
      </c>
      <c r="E207" t="s">
        <v>17</v>
      </c>
      <c r="F207" t="s">
        <v>594</v>
      </c>
      <c r="G207" s="3">
        <v>17.59</v>
      </c>
      <c r="H207" s="3">
        <v>0</v>
      </c>
      <c r="I207" s="3">
        <v>17.59</v>
      </c>
      <c r="J207" s="3">
        <f>Table1[[#This Row],[قيمة الفاتورة]]*0.94-Table1[[#This Row],[قيمة المشاركة]]</f>
        <v>16.534599999999998</v>
      </c>
      <c r="L207" s="3" t="str">
        <f t="shared" si="3"/>
        <v/>
      </c>
      <c r="N207" t="s">
        <v>19</v>
      </c>
    </row>
    <row r="208" spans="1:14" x14ac:dyDescent="0.3">
      <c r="A208">
        <v>204</v>
      </c>
      <c r="B208" t="s">
        <v>596</v>
      </c>
      <c r="C208" t="s">
        <v>173</v>
      </c>
      <c r="D208" t="s">
        <v>597</v>
      </c>
      <c r="E208" t="s">
        <v>17</v>
      </c>
      <c r="F208" t="s">
        <v>594</v>
      </c>
      <c r="G208" s="3">
        <v>25.89</v>
      </c>
      <c r="H208" s="3">
        <v>0</v>
      </c>
      <c r="I208" s="3">
        <v>25.89</v>
      </c>
      <c r="J208" s="3">
        <f>Table1[[#This Row],[قيمة الفاتورة]]*0.94-Table1[[#This Row],[قيمة المشاركة]]</f>
        <v>24.336600000000001</v>
      </c>
      <c r="L208" s="3" t="str">
        <f t="shared" si="3"/>
        <v/>
      </c>
      <c r="N208" t="s">
        <v>19</v>
      </c>
    </row>
    <row r="209" spans="1:14" x14ac:dyDescent="0.3">
      <c r="A209">
        <v>198</v>
      </c>
      <c r="B209" t="s">
        <v>598</v>
      </c>
      <c r="C209" t="s">
        <v>599</v>
      </c>
      <c r="D209" t="s">
        <v>600</v>
      </c>
      <c r="E209" t="s">
        <v>17</v>
      </c>
      <c r="F209" t="s">
        <v>594</v>
      </c>
      <c r="G209" s="3">
        <v>22.96</v>
      </c>
      <c r="H209" s="3">
        <v>0</v>
      </c>
      <c r="I209" s="3">
        <v>22.96</v>
      </c>
      <c r="J209" s="3">
        <f>Table1[[#This Row],[قيمة الفاتورة]]*0.94-Table1[[#This Row],[قيمة المشاركة]]</f>
        <v>21.5824</v>
      </c>
      <c r="L209" s="3" t="str">
        <f t="shared" si="3"/>
        <v/>
      </c>
      <c r="N209" t="s">
        <v>19</v>
      </c>
    </row>
    <row r="210" spans="1:14" x14ac:dyDescent="0.3">
      <c r="A210">
        <v>203</v>
      </c>
      <c r="B210" t="s">
        <v>601</v>
      </c>
      <c r="C210" t="s">
        <v>602</v>
      </c>
      <c r="D210" t="s">
        <v>603</v>
      </c>
      <c r="E210" t="s">
        <v>23</v>
      </c>
      <c r="F210" t="s">
        <v>594</v>
      </c>
      <c r="G210" s="3">
        <v>26.65</v>
      </c>
      <c r="H210" s="3">
        <v>3.9969999999999999</v>
      </c>
      <c r="I210" s="3">
        <v>22.652999999999999</v>
      </c>
      <c r="J210" s="3">
        <f>Table1[[#This Row],[قيمة الفاتورة]]*0.94-Table1[[#This Row],[قيمة المشاركة]]</f>
        <v>21.053999999999998</v>
      </c>
      <c r="L210" s="3" t="str">
        <f t="shared" si="3"/>
        <v/>
      </c>
      <c r="N210" t="s">
        <v>19</v>
      </c>
    </row>
    <row r="211" spans="1:14" x14ac:dyDescent="0.3">
      <c r="A211">
        <v>200</v>
      </c>
      <c r="B211" t="s">
        <v>604</v>
      </c>
      <c r="C211" t="s">
        <v>605</v>
      </c>
      <c r="D211" t="s">
        <v>606</v>
      </c>
      <c r="E211" t="s">
        <v>23</v>
      </c>
      <c r="F211" t="s">
        <v>594</v>
      </c>
      <c r="G211" s="3">
        <v>14.77</v>
      </c>
      <c r="H211" s="3">
        <v>0</v>
      </c>
      <c r="I211" s="3">
        <v>14.77</v>
      </c>
      <c r="J211" s="3">
        <f>Table1[[#This Row],[قيمة الفاتورة]]*0.94-Table1[[#This Row],[قيمة المشاركة]]</f>
        <v>13.883799999999999</v>
      </c>
      <c r="L211" s="3" t="str">
        <f t="shared" si="3"/>
        <v/>
      </c>
      <c r="N211" t="s">
        <v>19</v>
      </c>
    </row>
    <row r="212" spans="1:14" x14ac:dyDescent="0.3">
      <c r="A212">
        <v>199</v>
      </c>
      <c r="B212" t="s">
        <v>607</v>
      </c>
      <c r="C212" t="s">
        <v>608</v>
      </c>
      <c r="D212" t="s">
        <v>609</v>
      </c>
      <c r="E212" t="s">
        <v>23</v>
      </c>
      <c r="F212" t="s">
        <v>594</v>
      </c>
      <c r="G212" s="3">
        <v>11.22</v>
      </c>
      <c r="H212" s="3">
        <v>0</v>
      </c>
      <c r="I212" s="3">
        <v>11.22</v>
      </c>
      <c r="J212" s="3">
        <f>Table1[[#This Row],[قيمة الفاتورة]]*0.94-Table1[[#This Row],[قيمة المشاركة]]</f>
        <v>10.546799999999999</v>
      </c>
      <c r="L212" s="3" t="str">
        <f t="shared" si="3"/>
        <v/>
      </c>
      <c r="N212" t="s">
        <v>19</v>
      </c>
    </row>
    <row r="213" spans="1:14" x14ac:dyDescent="0.3">
      <c r="A213">
        <v>8</v>
      </c>
      <c r="B213" t="s">
        <v>610</v>
      </c>
      <c r="C213" t="s">
        <v>611</v>
      </c>
      <c r="D213" t="s">
        <v>612</v>
      </c>
      <c r="E213" t="s">
        <v>17</v>
      </c>
      <c r="F213" t="s">
        <v>594</v>
      </c>
      <c r="G213" s="3">
        <v>10.32</v>
      </c>
      <c r="H213" s="3">
        <v>0</v>
      </c>
      <c r="I213" s="3">
        <v>10.32</v>
      </c>
      <c r="J213" s="3">
        <f>Table1[[#This Row],[قيمة الفاتورة]]*0.94-Table1[[#This Row],[قيمة المشاركة]]</f>
        <v>9.7007999999999992</v>
      </c>
      <c r="L213" s="3" t="str">
        <f t="shared" si="3"/>
        <v/>
      </c>
      <c r="N213" t="s">
        <v>19</v>
      </c>
    </row>
    <row r="214" spans="1:14" x14ac:dyDescent="0.3">
      <c r="A214">
        <v>9</v>
      </c>
      <c r="B214" t="s">
        <v>613</v>
      </c>
      <c r="C214" t="s">
        <v>614</v>
      </c>
      <c r="D214" t="s">
        <v>615</v>
      </c>
      <c r="E214" t="s">
        <v>17</v>
      </c>
      <c r="F214" t="s">
        <v>594</v>
      </c>
      <c r="G214" s="3">
        <v>9.69</v>
      </c>
      <c r="H214" s="3">
        <v>0</v>
      </c>
      <c r="I214" s="3">
        <v>9.69</v>
      </c>
      <c r="J214" s="3">
        <f>Table1[[#This Row],[قيمة الفاتورة]]*0.94-Table1[[#This Row],[قيمة المشاركة]]</f>
        <v>9.1085999999999991</v>
      </c>
      <c r="L214" s="3" t="str">
        <f t="shared" si="3"/>
        <v/>
      </c>
      <c r="N214" t="s">
        <v>19</v>
      </c>
    </row>
    <row r="215" spans="1:14" x14ac:dyDescent="0.3">
      <c r="A215">
        <v>205</v>
      </c>
      <c r="B215" t="s">
        <v>256</v>
      </c>
      <c r="C215" t="s">
        <v>616</v>
      </c>
      <c r="D215" t="s">
        <v>617</v>
      </c>
      <c r="E215" t="s">
        <v>23</v>
      </c>
      <c r="F215" t="s">
        <v>618</v>
      </c>
      <c r="G215" s="3">
        <v>16.309999999999999</v>
      </c>
      <c r="H215" s="3">
        <v>0</v>
      </c>
      <c r="I215" s="3">
        <v>16.309999999999999</v>
      </c>
      <c r="J215" s="3">
        <f>Table1[[#This Row],[قيمة الفاتورة]]*0.94-Table1[[#This Row],[قيمة المشاركة]]</f>
        <v>15.331399999999999</v>
      </c>
      <c r="L215" s="3" t="str">
        <f t="shared" si="3"/>
        <v/>
      </c>
      <c r="N215" t="s">
        <v>19</v>
      </c>
    </row>
    <row r="216" spans="1:14" x14ac:dyDescent="0.3">
      <c r="A216">
        <v>206</v>
      </c>
      <c r="B216" t="s">
        <v>619</v>
      </c>
      <c r="C216" t="s">
        <v>620</v>
      </c>
      <c r="D216" t="s">
        <v>621</v>
      </c>
      <c r="E216" t="s">
        <v>23</v>
      </c>
      <c r="F216" t="s">
        <v>618</v>
      </c>
      <c r="G216" s="3">
        <v>12.84</v>
      </c>
      <c r="H216" s="3">
        <v>0</v>
      </c>
      <c r="I216" s="3">
        <v>12.84</v>
      </c>
      <c r="J216" s="3">
        <f>Table1[[#This Row],[قيمة الفاتورة]]*0.94-Table1[[#This Row],[قيمة المشاركة]]</f>
        <v>12.069599999999999</v>
      </c>
      <c r="L216" s="3" t="str">
        <f t="shared" si="3"/>
        <v/>
      </c>
      <c r="N216" t="s">
        <v>19</v>
      </c>
    </row>
    <row r="217" spans="1:14" x14ac:dyDescent="0.3">
      <c r="A217">
        <v>207</v>
      </c>
      <c r="B217" t="s">
        <v>598</v>
      </c>
      <c r="C217" t="s">
        <v>622</v>
      </c>
      <c r="D217" t="s">
        <v>623</v>
      </c>
      <c r="E217" t="s">
        <v>23</v>
      </c>
      <c r="F217" t="s">
        <v>618</v>
      </c>
      <c r="G217" s="3">
        <v>2</v>
      </c>
      <c r="H217" s="3">
        <v>0</v>
      </c>
      <c r="I217" s="3">
        <v>2</v>
      </c>
      <c r="J217" s="3">
        <f>Table1[[#This Row],[قيمة الفاتورة]]*0.94-Table1[[#This Row],[قيمة المشاركة]]</f>
        <v>1.88</v>
      </c>
      <c r="L217" s="3" t="str">
        <f t="shared" si="3"/>
        <v/>
      </c>
      <c r="N217" t="s">
        <v>19</v>
      </c>
    </row>
    <row r="218" spans="1:14" x14ac:dyDescent="0.3">
      <c r="A218">
        <v>208</v>
      </c>
      <c r="B218" t="s">
        <v>407</v>
      </c>
      <c r="C218" t="s">
        <v>408</v>
      </c>
      <c r="D218" t="s">
        <v>624</v>
      </c>
      <c r="E218" t="s">
        <v>17</v>
      </c>
      <c r="F218" t="s">
        <v>625</v>
      </c>
      <c r="G218" s="3">
        <v>22.34</v>
      </c>
      <c r="H218" s="3">
        <v>0</v>
      </c>
      <c r="I218" s="3">
        <v>22.34</v>
      </c>
      <c r="J218" s="3">
        <f>Table1[[#This Row],[قيمة الفاتورة]]*0.94-Table1[[#This Row],[قيمة المشاركة]]</f>
        <v>20.999599999999997</v>
      </c>
      <c r="L218" s="3" t="str">
        <f t="shared" si="3"/>
        <v/>
      </c>
      <c r="N218" t="s">
        <v>19</v>
      </c>
    </row>
    <row r="219" spans="1:14" x14ac:dyDescent="0.3">
      <c r="A219">
        <v>209</v>
      </c>
      <c r="B219" t="s">
        <v>172</v>
      </c>
      <c r="C219" t="s">
        <v>173</v>
      </c>
      <c r="D219" t="s">
        <v>626</v>
      </c>
      <c r="E219" t="s">
        <v>17</v>
      </c>
      <c r="F219" t="s">
        <v>625</v>
      </c>
      <c r="G219" s="3">
        <v>12.48</v>
      </c>
      <c r="H219" s="3">
        <v>0</v>
      </c>
      <c r="I219" s="3">
        <v>12.48</v>
      </c>
      <c r="J219" s="3">
        <f>Table1[[#This Row],[قيمة الفاتورة]]*0.94-Table1[[#This Row],[قيمة المشاركة]]</f>
        <v>11.731199999999999</v>
      </c>
      <c r="L219" s="3" t="str">
        <f t="shared" si="3"/>
        <v/>
      </c>
      <c r="N219" t="s">
        <v>19</v>
      </c>
    </row>
    <row r="220" spans="1:14" x14ac:dyDescent="0.3">
      <c r="A220">
        <v>211</v>
      </c>
      <c r="B220" t="s">
        <v>627</v>
      </c>
      <c r="C220" t="s">
        <v>628</v>
      </c>
      <c r="D220" t="s">
        <v>629</v>
      </c>
      <c r="E220" t="s">
        <v>23</v>
      </c>
      <c r="F220" t="s">
        <v>625</v>
      </c>
      <c r="G220" s="3">
        <v>8.9600000000000009</v>
      </c>
      <c r="H220" s="3">
        <v>0</v>
      </c>
      <c r="I220" s="3">
        <v>8.9600000000000009</v>
      </c>
      <c r="J220" s="3">
        <f>Table1[[#This Row],[قيمة الفاتورة]]*0.94-Table1[[#This Row],[قيمة المشاركة]]</f>
        <v>8.4223999999999997</v>
      </c>
      <c r="L220" s="3" t="str">
        <f t="shared" si="3"/>
        <v/>
      </c>
      <c r="N220" t="s">
        <v>19</v>
      </c>
    </row>
    <row r="221" spans="1:14" x14ac:dyDescent="0.3">
      <c r="A221">
        <v>210</v>
      </c>
      <c r="B221" t="s">
        <v>630</v>
      </c>
      <c r="C221" t="s">
        <v>631</v>
      </c>
      <c r="D221" t="s">
        <v>632</v>
      </c>
      <c r="E221" t="s">
        <v>17</v>
      </c>
      <c r="F221" t="s">
        <v>625</v>
      </c>
      <c r="G221" s="3">
        <v>20.059999999999999</v>
      </c>
      <c r="H221" s="3">
        <v>0</v>
      </c>
      <c r="I221" s="3">
        <v>20.059999999999999</v>
      </c>
      <c r="J221" s="3">
        <f>Table1[[#This Row],[قيمة الفاتورة]]*0.94-Table1[[#This Row],[قيمة المشاركة]]</f>
        <v>18.856399999999997</v>
      </c>
      <c r="L221" s="3" t="str">
        <f t="shared" si="3"/>
        <v/>
      </c>
      <c r="N221" t="s">
        <v>19</v>
      </c>
    </row>
    <row r="222" spans="1:14" x14ac:dyDescent="0.3">
      <c r="A222">
        <v>10</v>
      </c>
      <c r="B222" t="s">
        <v>139</v>
      </c>
      <c r="C222" t="s">
        <v>140</v>
      </c>
      <c r="D222" t="s">
        <v>539</v>
      </c>
      <c r="E222" t="s">
        <v>17</v>
      </c>
      <c r="F222" t="s">
        <v>625</v>
      </c>
      <c r="G222" s="3">
        <v>1.8</v>
      </c>
      <c r="H222" s="3">
        <v>0</v>
      </c>
      <c r="I222" s="3">
        <v>1.8</v>
      </c>
      <c r="J222" s="3">
        <f>Table1[[#This Row],[قيمة الفاتورة]]*0.94-Table1[[#This Row],[قيمة المشاركة]]</f>
        <v>1.6919999999999999</v>
      </c>
      <c r="L222" s="3" t="str">
        <f t="shared" si="3"/>
        <v/>
      </c>
      <c r="N222" t="s">
        <v>19</v>
      </c>
    </row>
    <row r="223" spans="1:14" x14ac:dyDescent="0.3">
      <c r="A223">
        <v>212</v>
      </c>
      <c r="B223" t="s">
        <v>633</v>
      </c>
      <c r="C223" t="s">
        <v>634</v>
      </c>
      <c r="D223" t="s">
        <v>635</v>
      </c>
      <c r="E223" t="s">
        <v>23</v>
      </c>
      <c r="F223" t="s">
        <v>636</v>
      </c>
      <c r="G223" s="3">
        <v>5.34</v>
      </c>
      <c r="H223" s="3">
        <v>0</v>
      </c>
      <c r="I223" s="3">
        <v>5.34</v>
      </c>
      <c r="J223" s="3">
        <f>Table1[[#This Row],[قيمة الفاتورة]]*0.94-Table1[[#This Row],[قيمة المشاركة]]</f>
        <v>5.0195999999999996</v>
      </c>
      <c r="L223" s="3" t="str">
        <f t="shared" si="3"/>
        <v/>
      </c>
      <c r="N223" t="s">
        <v>19</v>
      </c>
    </row>
    <row r="224" spans="1:14" x14ac:dyDescent="0.3">
      <c r="A224">
        <v>213</v>
      </c>
      <c r="B224" t="s">
        <v>363</v>
      </c>
      <c r="C224" t="s">
        <v>364</v>
      </c>
      <c r="D224" t="s">
        <v>637</v>
      </c>
      <c r="E224" t="s">
        <v>23</v>
      </c>
      <c r="F224" t="s">
        <v>636</v>
      </c>
      <c r="G224" s="3">
        <v>13.58</v>
      </c>
      <c r="H224" s="3">
        <v>0</v>
      </c>
      <c r="I224" s="3">
        <v>13.58</v>
      </c>
      <c r="J224" s="3">
        <f>Table1[[#This Row],[قيمة الفاتورة]]*0.94-Table1[[#This Row],[قيمة المشاركة]]</f>
        <v>12.7652</v>
      </c>
      <c r="L224" s="3" t="str">
        <f t="shared" si="3"/>
        <v/>
      </c>
      <c r="N224" t="s">
        <v>19</v>
      </c>
    </row>
    <row r="225" spans="1:14" x14ac:dyDescent="0.3">
      <c r="A225">
        <v>11</v>
      </c>
      <c r="B225" t="s">
        <v>638</v>
      </c>
      <c r="C225" t="s">
        <v>639</v>
      </c>
      <c r="D225" t="s">
        <v>640</v>
      </c>
      <c r="E225" t="s">
        <v>17</v>
      </c>
      <c r="F225" t="s">
        <v>636</v>
      </c>
      <c r="G225" s="3">
        <v>18.2</v>
      </c>
      <c r="H225" s="3">
        <v>0</v>
      </c>
      <c r="I225" s="3">
        <v>18.2</v>
      </c>
      <c r="J225" s="3">
        <f>Table1[[#This Row],[قيمة الفاتورة]]*0.94-Table1[[#This Row],[قيمة المشاركة]]</f>
        <v>17.107999999999997</v>
      </c>
      <c r="L225" s="3" t="str">
        <f t="shared" si="3"/>
        <v/>
      </c>
      <c r="N225" t="s">
        <v>19</v>
      </c>
    </row>
    <row r="226" spans="1:14" x14ac:dyDescent="0.3">
      <c r="A226">
        <v>12</v>
      </c>
      <c r="B226" t="s">
        <v>641</v>
      </c>
      <c r="C226" t="s">
        <v>642</v>
      </c>
      <c r="D226" t="s">
        <v>643</v>
      </c>
      <c r="E226" t="s">
        <v>17</v>
      </c>
      <c r="F226" t="s">
        <v>636</v>
      </c>
      <c r="G226" s="3">
        <v>14.83</v>
      </c>
      <c r="H226" s="3">
        <v>0</v>
      </c>
      <c r="I226" s="3">
        <v>14.83</v>
      </c>
      <c r="J226" s="3">
        <f>Table1[[#This Row],[قيمة الفاتورة]]*0.94-Table1[[#This Row],[قيمة المشاركة]]</f>
        <v>13.940199999999999</v>
      </c>
      <c r="L226" s="3" t="str">
        <f t="shared" si="3"/>
        <v/>
      </c>
      <c r="N226" t="s">
        <v>19</v>
      </c>
    </row>
    <row r="227" spans="1:14" x14ac:dyDescent="0.3">
      <c r="A227">
        <v>13</v>
      </c>
      <c r="B227" t="s">
        <v>206</v>
      </c>
      <c r="C227" t="s">
        <v>207</v>
      </c>
      <c r="D227" t="s">
        <v>595</v>
      </c>
      <c r="E227" t="s">
        <v>17</v>
      </c>
      <c r="F227" t="s">
        <v>636</v>
      </c>
      <c r="G227" s="3">
        <v>11.44</v>
      </c>
      <c r="H227" s="3">
        <v>0</v>
      </c>
      <c r="I227" s="3">
        <v>11.44</v>
      </c>
      <c r="J227" s="3">
        <f>Table1[[#This Row],[قيمة الفاتورة]]*0.94-Table1[[#This Row],[قيمة المشاركة]]</f>
        <v>10.753599999999999</v>
      </c>
      <c r="L227" s="3" t="str">
        <f t="shared" si="3"/>
        <v/>
      </c>
      <c r="N227" t="s">
        <v>19</v>
      </c>
    </row>
    <row r="228" spans="1:14" x14ac:dyDescent="0.3">
      <c r="A228">
        <v>215</v>
      </c>
      <c r="B228" t="s">
        <v>644</v>
      </c>
      <c r="C228" t="s">
        <v>645</v>
      </c>
      <c r="D228" t="s">
        <v>646</v>
      </c>
      <c r="E228" t="s">
        <v>17</v>
      </c>
      <c r="F228" t="s">
        <v>647</v>
      </c>
      <c r="G228" s="3">
        <v>24.2</v>
      </c>
      <c r="H228" s="3">
        <v>0</v>
      </c>
      <c r="I228" s="3">
        <v>24.2</v>
      </c>
      <c r="J228" s="3">
        <f>Table1[[#This Row],[قيمة الفاتورة]]*0.94-Table1[[#This Row],[قيمة المشاركة]]</f>
        <v>22.747999999999998</v>
      </c>
      <c r="L228" s="3" t="str">
        <f t="shared" si="3"/>
        <v/>
      </c>
      <c r="N228" t="s">
        <v>19</v>
      </c>
    </row>
    <row r="229" spans="1:14" x14ac:dyDescent="0.3">
      <c r="A229">
        <v>214</v>
      </c>
      <c r="B229" t="s">
        <v>648</v>
      </c>
      <c r="C229" t="s">
        <v>649</v>
      </c>
      <c r="D229" t="s">
        <v>650</v>
      </c>
      <c r="E229" t="s">
        <v>17</v>
      </c>
      <c r="F229" t="s">
        <v>647</v>
      </c>
      <c r="G229" s="3">
        <v>9.8699999999999992</v>
      </c>
      <c r="H229" s="3">
        <v>0</v>
      </c>
      <c r="I229" s="3">
        <v>9.8699999999999992</v>
      </c>
      <c r="J229" s="3">
        <f>Table1[[#This Row],[قيمة الفاتورة]]*0.94-Table1[[#This Row],[قيمة المشاركة]]</f>
        <v>9.2777999999999992</v>
      </c>
      <c r="L229" s="3" t="str">
        <f t="shared" si="3"/>
        <v/>
      </c>
      <c r="N229" t="s">
        <v>19</v>
      </c>
    </row>
    <row r="230" spans="1:14" x14ac:dyDescent="0.3">
      <c r="A230">
        <v>216</v>
      </c>
      <c r="B230" t="s">
        <v>321</v>
      </c>
      <c r="C230" t="s">
        <v>322</v>
      </c>
      <c r="D230" t="s">
        <v>651</v>
      </c>
      <c r="E230" t="s">
        <v>23</v>
      </c>
      <c r="F230" t="s">
        <v>647</v>
      </c>
      <c r="G230" s="3">
        <v>9.74</v>
      </c>
      <c r="H230" s="3">
        <v>0</v>
      </c>
      <c r="I230" s="3">
        <v>9.74</v>
      </c>
      <c r="J230" s="3">
        <f>Table1[[#This Row],[قيمة الفاتورة]]*0.94-Table1[[#This Row],[قيمة المشاركة]]</f>
        <v>9.1555999999999997</v>
      </c>
      <c r="L230" s="3" t="str">
        <f t="shared" si="3"/>
        <v/>
      </c>
      <c r="N230" t="s">
        <v>19</v>
      </c>
    </row>
    <row r="231" spans="1:14" x14ac:dyDescent="0.3">
      <c r="A231">
        <v>220</v>
      </c>
      <c r="B231" t="s">
        <v>652</v>
      </c>
      <c r="C231" t="s">
        <v>653</v>
      </c>
      <c r="D231" t="s">
        <v>654</v>
      </c>
      <c r="E231" t="s">
        <v>17</v>
      </c>
      <c r="F231" t="s">
        <v>655</v>
      </c>
      <c r="G231" s="3">
        <v>32.1</v>
      </c>
      <c r="H231" s="3">
        <v>0</v>
      </c>
      <c r="I231" s="3">
        <v>32.1</v>
      </c>
      <c r="J231" s="3">
        <f>Table1[[#This Row],[قيمة الفاتورة]]*0.94-Table1[[#This Row],[قيمة المشاركة]]</f>
        <v>30.173999999999999</v>
      </c>
      <c r="L231" s="3" t="str">
        <f t="shared" si="3"/>
        <v/>
      </c>
      <c r="N231" t="s">
        <v>19</v>
      </c>
    </row>
    <row r="232" spans="1:14" x14ac:dyDescent="0.3">
      <c r="A232">
        <v>217</v>
      </c>
      <c r="B232" t="s">
        <v>656</v>
      </c>
      <c r="C232" t="s">
        <v>657</v>
      </c>
      <c r="D232" t="s">
        <v>658</v>
      </c>
      <c r="E232" t="s">
        <v>17</v>
      </c>
      <c r="F232" t="s">
        <v>655</v>
      </c>
      <c r="G232" s="3">
        <v>32.39</v>
      </c>
      <c r="H232" s="3">
        <v>0</v>
      </c>
      <c r="I232" s="3">
        <v>32.39</v>
      </c>
      <c r="J232" s="3">
        <f>Table1[[#This Row],[قيمة الفاتورة]]*0.94-Table1[[#This Row],[قيمة المشاركة]]</f>
        <v>30.4466</v>
      </c>
      <c r="L232" s="3" t="str">
        <f t="shared" si="3"/>
        <v/>
      </c>
      <c r="N232" t="s">
        <v>19</v>
      </c>
    </row>
    <row r="233" spans="1:14" x14ac:dyDescent="0.3">
      <c r="A233">
        <v>218</v>
      </c>
      <c r="B233" t="s">
        <v>659</v>
      </c>
      <c r="C233" t="s">
        <v>660</v>
      </c>
      <c r="D233" t="s">
        <v>661</v>
      </c>
      <c r="E233" t="s">
        <v>17</v>
      </c>
      <c r="F233" t="s">
        <v>655</v>
      </c>
      <c r="G233" s="3">
        <v>28.32</v>
      </c>
      <c r="H233" s="3">
        <v>0</v>
      </c>
      <c r="I233" s="3">
        <v>28.32</v>
      </c>
      <c r="J233" s="3">
        <f>Table1[[#This Row],[قيمة الفاتورة]]*0.94-Table1[[#This Row],[قيمة المشاركة]]</f>
        <v>26.620799999999999</v>
      </c>
      <c r="L233" s="3" t="str">
        <f t="shared" si="3"/>
        <v/>
      </c>
      <c r="N233" t="s">
        <v>19</v>
      </c>
    </row>
    <row r="234" spans="1:14" x14ac:dyDescent="0.3">
      <c r="A234">
        <v>221</v>
      </c>
      <c r="B234" t="s">
        <v>662</v>
      </c>
      <c r="C234" t="s">
        <v>663</v>
      </c>
      <c r="D234" t="s">
        <v>664</v>
      </c>
      <c r="E234" t="s">
        <v>17</v>
      </c>
      <c r="F234" t="s">
        <v>655</v>
      </c>
      <c r="G234" s="3">
        <v>40.479999999999997</v>
      </c>
      <c r="H234" s="3">
        <v>0</v>
      </c>
      <c r="I234" s="3">
        <v>40.479999999999997</v>
      </c>
      <c r="J234" s="3">
        <f>Table1[[#This Row],[قيمة الفاتورة]]*0.94-Table1[[#This Row],[قيمة المشاركة]]</f>
        <v>38.051199999999994</v>
      </c>
      <c r="L234" s="3" t="str">
        <f t="shared" si="3"/>
        <v/>
      </c>
      <c r="N234" t="s">
        <v>19</v>
      </c>
    </row>
    <row r="235" spans="1:14" x14ac:dyDescent="0.3">
      <c r="A235">
        <v>219</v>
      </c>
      <c r="B235" t="s">
        <v>464</v>
      </c>
      <c r="C235" t="s">
        <v>465</v>
      </c>
      <c r="D235" t="s">
        <v>665</v>
      </c>
      <c r="E235" t="s">
        <v>23</v>
      </c>
      <c r="F235" t="s">
        <v>655</v>
      </c>
      <c r="G235" s="3">
        <v>8.7799999999999994</v>
      </c>
      <c r="H235" s="3">
        <v>0</v>
      </c>
      <c r="I235" s="3">
        <v>8.7799999999999994</v>
      </c>
      <c r="J235" s="3">
        <f>Table1[[#This Row],[قيمة الفاتورة]]*0.94-Table1[[#This Row],[قيمة المشاركة]]</f>
        <v>8.2531999999999996</v>
      </c>
      <c r="L235" s="3" t="str">
        <f t="shared" si="3"/>
        <v/>
      </c>
      <c r="N235" t="s">
        <v>19</v>
      </c>
    </row>
    <row r="236" spans="1:14" x14ac:dyDescent="0.3">
      <c r="A236">
        <v>223</v>
      </c>
      <c r="B236" t="s">
        <v>666</v>
      </c>
      <c r="C236" t="s">
        <v>667</v>
      </c>
      <c r="D236" t="s">
        <v>668</v>
      </c>
      <c r="E236" t="s">
        <v>23</v>
      </c>
      <c r="F236" t="s">
        <v>655</v>
      </c>
      <c r="G236" s="3">
        <v>32.200000000000003</v>
      </c>
      <c r="H236" s="3">
        <v>0</v>
      </c>
      <c r="I236" s="3">
        <v>32.200000000000003</v>
      </c>
      <c r="J236" s="3">
        <f>Table1[[#This Row],[قيمة الفاتورة]]*0.94-Table1[[#This Row],[قيمة المشاركة]]</f>
        <v>30.268000000000001</v>
      </c>
      <c r="L236" s="3" t="str">
        <f t="shared" si="3"/>
        <v/>
      </c>
      <c r="N236" t="s">
        <v>19</v>
      </c>
    </row>
    <row r="237" spans="1:14" x14ac:dyDescent="0.3">
      <c r="A237">
        <v>222</v>
      </c>
      <c r="B237" t="s">
        <v>669</v>
      </c>
      <c r="C237" t="s">
        <v>670</v>
      </c>
      <c r="D237" t="s">
        <v>671</v>
      </c>
      <c r="E237" t="s">
        <v>23</v>
      </c>
      <c r="F237" t="s">
        <v>655</v>
      </c>
      <c r="G237" s="3">
        <v>20.98</v>
      </c>
      <c r="H237" s="3">
        <v>0</v>
      </c>
      <c r="I237" s="3">
        <v>20.98</v>
      </c>
      <c r="J237" s="3">
        <f>Table1[[#This Row],[قيمة الفاتورة]]*0.94-Table1[[#This Row],[قيمة المشاركة]]</f>
        <v>19.7212</v>
      </c>
      <c r="L237" s="3" t="str">
        <f t="shared" si="3"/>
        <v/>
      </c>
      <c r="N237" t="s">
        <v>19</v>
      </c>
    </row>
    <row r="238" spans="1:14" x14ac:dyDescent="0.3">
      <c r="A238">
        <v>14</v>
      </c>
      <c r="B238" t="s">
        <v>672</v>
      </c>
      <c r="C238" t="s">
        <v>673</v>
      </c>
      <c r="D238" t="s">
        <v>674</v>
      </c>
      <c r="E238" t="s">
        <v>17</v>
      </c>
      <c r="F238" t="s">
        <v>655</v>
      </c>
      <c r="G238" s="3">
        <v>4.2300000000000004</v>
      </c>
      <c r="H238" s="3">
        <v>0</v>
      </c>
      <c r="I238" s="3">
        <v>4.2300000000000004</v>
      </c>
      <c r="J238" s="3">
        <f>Table1[[#This Row],[قيمة الفاتورة]]*0.94-Table1[[#This Row],[قيمة المشاركة]]</f>
        <v>3.9762</v>
      </c>
      <c r="L238" s="3" t="str">
        <f t="shared" si="3"/>
        <v/>
      </c>
      <c r="N238" t="s">
        <v>19</v>
      </c>
    </row>
    <row r="239" spans="1:14" x14ac:dyDescent="0.3">
      <c r="A239">
        <v>15</v>
      </c>
      <c r="B239" t="s">
        <v>675</v>
      </c>
      <c r="C239" t="s">
        <v>676</v>
      </c>
      <c r="D239" t="s">
        <v>677</v>
      </c>
      <c r="E239" t="s">
        <v>17</v>
      </c>
      <c r="F239" t="s">
        <v>655</v>
      </c>
      <c r="G239" s="3">
        <v>25.44</v>
      </c>
      <c r="H239" s="3">
        <v>0</v>
      </c>
      <c r="I239" s="3">
        <v>25.44</v>
      </c>
      <c r="J239" s="3">
        <f>Table1[[#This Row],[قيمة الفاتورة]]*0.94-Table1[[#This Row],[قيمة المشاركة]]</f>
        <v>23.913599999999999</v>
      </c>
      <c r="L239" s="3" t="str">
        <f t="shared" si="3"/>
        <v/>
      </c>
      <c r="N239" t="s">
        <v>19</v>
      </c>
    </row>
    <row r="240" spans="1:14" x14ac:dyDescent="0.3">
      <c r="A240">
        <v>16</v>
      </c>
      <c r="B240" t="s">
        <v>678</v>
      </c>
      <c r="C240" t="s">
        <v>679</v>
      </c>
      <c r="D240" t="s">
        <v>680</v>
      </c>
      <c r="E240" t="s">
        <v>17</v>
      </c>
      <c r="F240" t="s">
        <v>655</v>
      </c>
      <c r="G240" s="3">
        <v>19.37</v>
      </c>
      <c r="H240" s="3">
        <v>0</v>
      </c>
      <c r="I240" s="3">
        <v>19.37</v>
      </c>
      <c r="J240" s="3">
        <f>Table1[[#This Row],[قيمة الفاتورة]]*0.94-Table1[[#This Row],[قيمة المشاركة]]</f>
        <v>18.207799999999999</v>
      </c>
      <c r="L240" s="3" t="str">
        <f t="shared" si="3"/>
        <v/>
      </c>
      <c r="N240" t="s">
        <v>19</v>
      </c>
    </row>
    <row r="241" spans="1:14" x14ac:dyDescent="0.3">
      <c r="A241">
        <v>226</v>
      </c>
      <c r="B241" t="s">
        <v>681</v>
      </c>
      <c r="C241" t="s">
        <v>682</v>
      </c>
      <c r="D241" t="s">
        <v>683</v>
      </c>
      <c r="E241" t="s">
        <v>23</v>
      </c>
      <c r="F241" t="s">
        <v>684</v>
      </c>
      <c r="G241" s="3">
        <v>11.375</v>
      </c>
      <c r="H241" s="3">
        <v>0</v>
      </c>
      <c r="I241" s="3">
        <v>11.375</v>
      </c>
      <c r="J241" s="3">
        <f>Table1[[#This Row],[قيمة الفاتورة]]*0.94-Table1[[#This Row],[قيمة المشاركة]]</f>
        <v>10.692499999999999</v>
      </c>
      <c r="L241" s="3" t="str">
        <f t="shared" si="3"/>
        <v/>
      </c>
      <c r="N241" t="s">
        <v>19</v>
      </c>
    </row>
    <row r="242" spans="1:14" x14ac:dyDescent="0.3">
      <c r="A242">
        <v>224</v>
      </c>
      <c r="B242" t="s">
        <v>203</v>
      </c>
      <c r="C242" t="s">
        <v>204</v>
      </c>
      <c r="D242" t="s">
        <v>685</v>
      </c>
      <c r="E242" t="s">
        <v>17</v>
      </c>
      <c r="F242" t="s">
        <v>684</v>
      </c>
      <c r="G242" s="3">
        <v>53.68</v>
      </c>
      <c r="H242" s="3">
        <v>0</v>
      </c>
      <c r="I242" s="3">
        <v>53.68</v>
      </c>
      <c r="J242" s="3">
        <f>Table1[[#This Row],[قيمة الفاتورة]]*0.94-Table1[[#This Row],[قيمة المشاركة]]</f>
        <v>50.459199999999996</v>
      </c>
      <c r="L242" s="3" t="str">
        <f t="shared" si="3"/>
        <v/>
      </c>
      <c r="N242" t="s">
        <v>19</v>
      </c>
    </row>
    <row r="243" spans="1:14" x14ac:dyDescent="0.3">
      <c r="A243">
        <v>225</v>
      </c>
      <c r="B243" t="s">
        <v>686</v>
      </c>
      <c r="C243" t="s">
        <v>226</v>
      </c>
      <c r="D243" t="s">
        <v>687</v>
      </c>
      <c r="E243" t="s">
        <v>17</v>
      </c>
      <c r="F243" t="s">
        <v>684</v>
      </c>
      <c r="G243" s="3">
        <v>21.71</v>
      </c>
      <c r="H243" s="3">
        <v>3.2559999999999998</v>
      </c>
      <c r="I243" s="3">
        <v>18.454000000000001</v>
      </c>
      <c r="J243" s="3">
        <f>Table1[[#This Row],[قيمة الفاتورة]]*0.94-Table1[[#This Row],[قيمة المشاركة]]</f>
        <v>17.151399999999999</v>
      </c>
      <c r="L243" s="3" t="str">
        <f t="shared" si="3"/>
        <v/>
      </c>
      <c r="N243" t="s">
        <v>19</v>
      </c>
    </row>
    <row r="244" spans="1:14" x14ac:dyDescent="0.3">
      <c r="A244">
        <v>228</v>
      </c>
      <c r="B244" t="s">
        <v>688</v>
      </c>
      <c r="C244" t="s">
        <v>689</v>
      </c>
      <c r="D244" t="s">
        <v>690</v>
      </c>
      <c r="E244" t="s">
        <v>17</v>
      </c>
      <c r="F244" t="s">
        <v>691</v>
      </c>
      <c r="G244" s="3">
        <v>21.64</v>
      </c>
      <c r="H244" s="3">
        <v>0</v>
      </c>
      <c r="I244" s="3">
        <v>21.64</v>
      </c>
      <c r="J244" s="3">
        <f>Table1[[#This Row],[قيمة الفاتورة]]*0.94-Table1[[#This Row],[قيمة المشاركة]]</f>
        <v>20.3416</v>
      </c>
      <c r="L244" s="3" t="str">
        <f t="shared" si="3"/>
        <v/>
      </c>
      <c r="N244" t="s">
        <v>19</v>
      </c>
    </row>
    <row r="245" spans="1:14" x14ac:dyDescent="0.3">
      <c r="A245">
        <v>227</v>
      </c>
      <c r="B245" t="s">
        <v>578</v>
      </c>
      <c r="C245" t="s">
        <v>579</v>
      </c>
      <c r="D245" t="s">
        <v>692</v>
      </c>
      <c r="E245" t="s">
        <v>17</v>
      </c>
      <c r="F245" t="s">
        <v>691</v>
      </c>
      <c r="G245" s="3">
        <v>5.16</v>
      </c>
      <c r="H245" s="3">
        <v>0</v>
      </c>
      <c r="I245" s="3">
        <v>5.16</v>
      </c>
      <c r="J245" s="3">
        <f>Table1[[#This Row],[قيمة الفاتورة]]*0.94-Table1[[#This Row],[قيمة المشاركة]]</f>
        <v>4.8503999999999996</v>
      </c>
      <c r="L245" s="3" t="str">
        <f t="shared" si="3"/>
        <v/>
      </c>
      <c r="N245" t="s">
        <v>19</v>
      </c>
    </row>
    <row r="246" spans="1:14" x14ac:dyDescent="0.3">
      <c r="A246">
        <v>229</v>
      </c>
      <c r="B246" t="s">
        <v>693</v>
      </c>
      <c r="C246" t="s">
        <v>694</v>
      </c>
      <c r="D246" t="s">
        <v>695</v>
      </c>
      <c r="E246" t="s">
        <v>23</v>
      </c>
      <c r="F246" t="s">
        <v>691</v>
      </c>
      <c r="G246" s="3">
        <v>46.31</v>
      </c>
      <c r="H246" s="3">
        <v>0</v>
      </c>
      <c r="I246" s="3">
        <v>46.31</v>
      </c>
      <c r="J246" s="3">
        <f>Table1[[#This Row],[قيمة الفاتورة]]*0.94-Table1[[#This Row],[قيمة المشاركة]]</f>
        <v>43.531399999999998</v>
      </c>
      <c r="L246" s="3" t="str">
        <f t="shared" si="3"/>
        <v/>
      </c>
      <c r="N246" t="s">
        <v>19</v>
      </c>
    </row>
    <row r="247" spans="1:14" x14ac:dyDescent="0.3">
      <c r="A247">
        <v>230</v>
      </c>
      <c r="B247" t="s">
        <v>696</v>
      </c>
      <c r="C247" t="s">
        <v>697</v>
      </c>
      <c r="D247" t="s">
        <v>698</v>
      </c>
      <c r="E247" t="s">
        <v>17</v>
      </c>
      <c r="F247" t="s">
        <v>699</v>
      </c>
      <c r="G247" s="3">
        <v>15.26</v>
      </c>
      <c r="H247" s="3">
        <v>0</v>
      </c>
      <c r="I247" s="3">
        <v>15.26</v>
      </c>
      <c r="J247" s="3">
        <f>Table1[[#This Row],[قيمة الفاتورة]]*0.94-Table1[[#This Row],[قيمة المشاركة]]</f>
        <v>14.344399999999998</v>
      </c>
      <c r="L247" s="3" t="str">
        <f t="shared" si="3"/>
        <v/>
      </c>
      <c r="N247" t="s">
        <v>19</v>
      </c>
    </row>
    <row r="248" spans="1:14" x14ac:dyDescent="0.3">
      <c r="A248">
        <v>234</v>
      </c>
      <c r="B248" t="s">
        <v>79</v>
      </c>
      <c r="C248" t="s">
        <v>110</v>
      </c>
      <c r="D248" t="s">
        <v>700</v>
      </c>
      <c r="E248" t="s">
        <v>17</v>
      </c>
      <c r="F248" t="s">
        <v>699</v>
      </c>
      <c r="G248" s="3">
        <v>4.18</v>
      </c>
      <c r="H248" s="3">
        <v>0</v>
      </c>
      <c r="I248" s="3">
        <v>4.18</v>
      </c>
      <c r="J248" s="3">
        <f>Table1[[#This Row],[قيمة الفاتورة]]*0.94-Table1[[#This Row],[قيمة المشاركة]]</f>
        <v>3.9291999999999994</v>
      </c>
      <c r="L248" s="3" t="str">
        <f t="shared" si="3"/>
        <v/>
      </c>
      <c r="N248" t="s">
        <v>19</v>
      </c>
    </row>
    <row r="249" spans="1:14" x14ac:dyDescent="0.3">
      <c r="A249">
        <v>232</v>
      </c>
      <c r="B249" t="s">
        <v>216</v>
      </c>
      <c r="C249" t="s">
        <v>701</v>
      </c>
      <c r="D249" t="s">
        <v>702</v>
      </c>
      <c r="E249" t="s">
        <v>17</v>
      </c>
      <c r="F249" t="s">
        <v>699</v>
      </c>
      <c r="G249" s="3">
        <v>19.55</v>
      </c>
      <c r="H249" s="3">
        <v>0</v>
      </c>
      <c r="I249" s="3">
        <v>19.55</v>
      </c>
      <c r="J249" s="3">
        <f>Table1[[#This Row],[قيمة الفاتورة]]*0.94-Table1[[#This Row],[قيمة المشاركة]]</f>
        <v>18.376999999999999</v>
      </c>
      <c r="L249" s="3" t="str">
        <f t="shared" si="3"/>
        <v/>
      </c>
      <c r="N249" t="s">
        <v>19</v>
      </c>
    </row>
    <row r="250" spans="1:14" x14ac:dyDescent="0.3">
      <c r="A250">
        <v>235</v>
      </c>
      <c r="B250" t="s">
        <v>61</v>
      </c>
      <c r="C250" t="s">
        <v>62</v>
      </c>
      <c r="D250" t="s">
        <v>703</v>
      </c>
      <c r="E250" t="s">
        <v>23</v>
      </c>
      <c r="F250" t="s">
        <v>699</v>
      </c>
      <c r="G250" s="3">
        <v>12.68</v>
      </c>
      <c r="H250" s="3">
        <v>1.9019999999999999</v>
      </c>
      <c r="I250" s="3">
        <v>10.778</v>
      </c>
      <c r="J250" s="3">
        <f>Table1[[#This Row],[قيمة الفاتورة]]*0.94-Table1[[#This Row],[قيمة المشاركة]]</f>
        <v>10.017199999999999</v>
      </c>
      <c r="L250" s="3" t="str">
        <f t="shared" si="3"/>
        <v/>
      </c>
      <c r="N250" t="s">
        <v>19</v>
      </c>
    </row>
    <row r="251" spans="1:14" x14ac:dyDescent="0.3">
      <c r="A251">
        <v>233</v>
      </c>
      <c r="B251" t="s">
        <v>704</v>
      </c>
      <c r="C251" t="s">
        <v>705</v>
      </c>
      <c r="D251" t="s">
        <v>706</v>
      </c>
      <c r="E251" t="s">
        <v>23</v>
      </c>
      <c r="F251" t="s">
        <v>699</v>
      </c>
      <c r="G251" s="3">
        <v>19.79</v>
      </c>
      <c r="H251" s="3">
        <v>0</v>
      </c>
      <c r="I251" s="3">
        <v>19.79</v>
      </c>
      <c r="J251" s="3">
        <f>Table1[[#This Row],[قيمة الفاتورة]]*0.94-Table1[[#This Row],[قيمة المشاركة]]</f>
        <v>18.602599999999999</v>
      </c>
      <c r="L251" s="3" t="str">
        <f t="shared" si="3"/>
        <v/>
      </c>
      <c r="N251" t="s">
        <v>19</v>
      </c>
    </row>
    <row r="252" spans="1:14" x14ac:dyDescent="0.3">
      <c r="A252">
        <v>231</v>
      </c>
      <c r="B252" t="s">
        <v>707</v>
      </c>
      <c r="C252" t="s">
        <v>708</v>
      </c>
      <c r="D252" t="s">
        <v>709</v>
      </c>
      <c r="E252" t="s">
        <v>23</v>
      </c>
      <c r="F252" t="s">
        <v>699</v>
      </c>
      <c r="G252" s="3">
        <v>7.88</v>
      </c>
      <c r="H252" s="3">
        <v>0</v>
      </c>
      <c r="I252" s="3">
        <v>7.88</v>
      </c>
      <c r="J252" s="3">
        <f>Table1[[#This Row],[قيمة الفاتورة]]*0.94-Table1[[#This Row],[قيمة المشاركة]]</f>
        <v>7.4071999999999996</v>
      </c>
      <c r="L252" s="3" t="str">
        <f t="shared" si="3"/>
        <v/>
      </c>
      <c r="N252" t="s">
        <v>19</v>
      </c>
    </row>
    <row r="253" spans="1:14" x14ac:dyDescent="0.3">
      <c r="A253">
        <v>236</v>
      </c>
      <c r="B253" t="s">
        <v>710</v>
      </c>
      <c r="C253" t="s">
        <v>711</v>
      </c>
      <c r="D253" t="s">
        <v>712</v>
      </c>
      <c r="E253" t="s">
        <v>23</v>
      </c>
      <c r="F253" t="s">
        <v>713</v>
      </c>
      <c r="G253" s="3">
        <v>23.09</v>
      </c>
      <c r="H253" s="3">
        <v>2.3090000000000002</v>
      </c>
      <c r="I253" s="3">
        <v>20.780999999999999</v>
      </c>
      <c r="J253" s="3">
        <f>Table1[[#This Row],[قيمة الفاتورة]]*0.94-Table1[[#This Row],[قيمة المشاركة]]</f>
        <v>19.395599999999998</v>
      </c>
      <c r="L253" s="3" t="str">
        <f t="shared" si="3"/>
        <v/>
      </c>
      <c r="N253" t="s">
        <v>328</v>
      </c>
    </row>
    <row r="254" spans="1:14" x14ac:dyDescent="0.3">
      <c r="A254">
        <v>239</v>
      </c>
      <c r="B254" t="s">
        <v>196</v>
      </c>
      <c r="C254" t="s">
        <v>197</v>
      </c>
      <c r="D254" t="s">
        <v>714</v>
      </c>
      <c r="E254" t="s">
        <v>23</v>
      </c>
      <c r="F254" t="s">
        <v>713</v>
      </c>
      <c r="G254" s="3">
        <v>22.15</v>
      </c>
      <c r="H254" s="3">
        <v>0</v>
      </c>
      <c r="I254" s="3">
        <v>22.15</v>
      </c>
      <c r="J254" s="3">
        <f>Table1[[#This Row],[قيمة الفاتورة]]*0.94-Table1[[#This Row],[قيمة المشاركة]]</f>
        <v>20.820999999999998</v>
      </c>
      <c r="L254" s="3" t="str">
        <f t="shared" si="3"/>
        <v/>
      </c>
      <c r="N254" t="s">
        <v>19</v>
      </c>
    </row>
    <row r="255" spans="1:14" x14ac:dyDescent="0.3">
      <c r="A255">
        <v>238</v>
      </c>
      <c r="B255" t="s">
        <v>522</v>
      </c>
      <c r="C255" t="s">
        <v>523</v>
      </c>
      <c r="D255" t="s">
        <v>715</v>
      </c>
      <c r="E255" t="s">
        <v>17</v>
      </c>
      <c r="F255" t="s">
        <v>713</v>
      </c>
      <c r="G255" s="3">
        <v>15.89</v>
      </c>
      <c r="H255" s="3">
        <v>0</v>
      </c>
      <c r="I255" s="3">
        <v>15.89</v>
      </c>
      <c r="J255" s="3">
        <f>Table1[[#This Row],[قيمة الفاتورة]]*0.94-Table1[[#This Row],[قيمة المشاركة]]</f>
        <v>14.9366</v>
      </c>
      <c r="L255" s="3" t="str">
        <f t="shared" si="3"/>
        <v/>
      </c>
      <c r="N255" t="s">
        <v>19</v>
      </c>
    </row>
    <row r="256" spans="1:14" x14ac:dyDescent="0.3">
      <c r="A256">
        <v>240</v>
      </c>
      <c r="B256" t="s">
        <v>333</v>
      </c>
      <c r="C256" t="s">
        <v>334</v>
      </c>
      <c r="D256" t="s">
        <v>716</v>
      </c>
      <c r="E256" t="s">
        <v>23</v>
      </c>
      <c r="F256" t="s">
        <v>713</v>
      </c>
      <c r="G256" s="3">
        <v>24.96</v>
      </c>
      <c r="H256" s="3">
        <v>0</v>
      </c>
      <c r="I256" s="3">
        <v>24.96</v>
      </c>
      <c r="J256" s="3">
        <f>Table1[[#This Row],[قيمة الفاتورة]]*0.94-Table1[[#This Row],[قيمة المشاركة]]</f>
        <v>23.462399999999999</v>
      </c>
      <c r="L256" s="3" t="str">
        <f t="shared" si="3"/>
        <v/>
      </c>
      <c r="N256" t="s">
        <v>19</v>
      </c>
    </row>
    <row r="257" spans="1:14" x14ac:dyDescent="0.3">
      <c r="A257">
        <v>237</v>
      </c>
      <c r="B257" t="s">
        <v>717</v>
      </c>
      <c r="C257" t="s">
        <v>718</v>
      </c>
      <c r="D257" t="s">
        <v>719</v>
      </c>
      <c r="E257" t="s">
        <v>23</v>
      </c>
      <c r="F257" t="s">
        <v>713</v>
      </c>
      <c r="G257" s="3">
        <v>27.64</v>
      </c>
      <c r="H257" s="3">
        <v>0</v>
      </c>
      <c r="I257" s="3">
        <v>27.64</v>
      </c>
      <c r="J257" s="3">
        <f>Table1[[#This Row],[قيمة الفاتورة]]*0.94-Table1[[#This Row],[قيمة المشاركة]]</f>
        <v>25.9816</v>
      </c>
      <c r="L257" s="3" t="str">
        <f t="shared" si="3"/>
        <v/>
      </c>
      <c r="N257" t="s">
        <v>19</v>
      </c>
    </row>
    <row r="258" spans="1:14" x14ac:dyDescent="0.3">
      <c r="A258">
        <v>245</v>
      </c>
      <c r="B258" t="s">
        <v>720</v>
      </c>
      <c r="C258" t="s">
        <v>721</v>
      </c>
      <c r="D258" t="s">
        <v>722</v>
      </c>
      <c r="E258" t="s">
        <v>17</v>
      </c>
      <c r="F258" t="s">
        <v>723</v>
      </c>
      <c r="G258" s="3">
        <v>16.71</v>
      </c>
      <c r="H258" s="3">
        <v>0</v>
      </c>
      <c r="I258" s="3">
        <v>16.71</v>
      </c>
      <c r="J258" s="3">
        <f>Table1[[#This Row],[قيمة الفاتورة]]*0.94-Table1[[#This Row],[قيمة المشاركة]]</f>
        <v>15.7074</v>
      </c>
      <c r="L258" s="3" t="str">
        <f t="shared" ref="L258:L321" si="4">IF(ISNUMBER(K258), J258-K258, "")</f>
        <v/>
      </c>
      <c r="N258" t="s">
        <v>19</v>
      </c>
    </row>
    <row r="259" spans="1:14" x14ac:dyDescent="0.3">
      <c r="A259">
        <v>242</v>
      </c>
      <c r="B259" t="s">
        <v>234</v>
      </c>
      <c r="C259" t="s">
        <v>235</v>
      </c>
      <c r="D259" t="s">
        <v>724</v>
      </c>
      <c r="E259" t="s">
        <v>17</v>
      </c>
      <c r="F259" t="s">
        <v>723</v>
      </c>
      <c r="G259" s="3">
        <v>15.42</v>
      </c>
      <c r="H259" s="3">
        <v>0</v>
      </c>
      <c r="I259" s="3">
        <v>15.42</v>
      </c>
      <c r="J259" s="3">
        <f>Table1[[#This Row],[قيمة الفاتورة]]*0.94-Table1[[#This Row],[قيمة المشاركة]]</f>
        <v>14.4948</v>
      </c>
      <c r="L259" s="3" t="str">
        <f t="shared" si="4"/>
        <v/>
      </c>
      <c r="N259" t="s">
        <v>19</v>
      </c>
    </row>
    <row r="260" spans="1:14" x14ac:dyDescent="0.3">
      <c r="A260">
        <v>243</v>
      </c>
      <c r="B260" t="s">
        <v>373</v>
      </c>
      <c r="C260" t="s">
        <v>374</v>
      </c>
      <c r="D260" t="s">
        <v>725</v>
      </c>
      <c r="E260" t="s">
        <v>23</v>
      </c>
      <c r="F260" t="s">
        <v>723</v>
      </c>
      <c r="G260" s="3">
        <v>19.309999999999999</v>
      </c>
      <c r="H260" s="3">
        <v>0</v>
      </c>
      <c r="I260" s="3">
        <v>19.309999999999999</v>
      </c>
      <c r="J260" s="3">
        <f>Table1[[#This Row],[قيمة الفاتورة]]*0.94-Table1[[#This Row],[قيمة المشاركة]]</f>
        <v>18.151399999999999</v>
      </c>
      <c r="L260" s="3" t="str">
        <f t="shared" si="4"/>
        <v/>
      </c>
      <c r="N260" t="s">
        <v>19</v>
      </c>
    </row>
    <row r="261" spans="1:14" x14ac:dyDescent="0.3">
      <c r="A261">
        <v>244</v>
      </c>
      <c r="B261" t="s">
        <v>526</v>
      </c>
      <c r="C261" t="s">
        <v>726</v>
      </c>
      <c r="D261" t="s">
        <v>727</v>
      </c>
      <c r="E261" t="s">
        <v>23</v>
      </c>
      <c r="F261" t="s">
        <v>723</v>
      </c>
      <c r="G261" s="3">
        <v>31.41</v>
      </c>
      <c r="H261" s="3">
        <v>0</v>
      </c>
      <c r="I261" s="3">
        <v>31.41</v>
      </c>
      <c r="J261" s="3">
        <f>Table1[[#This Row],[قيمة الفاتورة]]*0.94-Table1[[#This Row],[قيمة المشاركة]]</f>
        <v>29.525399999999998</v>
      </c>
      <c r="L261" s="3" t="str">
        <f t="shared" si="4"/>
        <v/>
      </c>
      <c r="N261" t="s">
        <v>19</v>
      </c>
    </row>
    <row r="262" spans="1:14" x14ac:dyDescent="0.3">
      <c r="A262">
        <v>241</v>
      </c>
      <c r="B262" t="s">
        <v>728</v>
      </c>
      <c r="C262" t="s">
        <v>354</v>
      </c>
      <c r="D262" t="s">
        <v>729</v>
      </c>
      <c r="E262" t="s">
        <v>17</v>
      </c>
      <c r="F262" t="s">
        <v>723</v>
      </c>
      <c r="G262" s="3">
        <v>25.81</v>
      </c>
      <c r="H262" s="3">
        <v>0</v>
      </c>
      <c r="I262" s="3">
        <v>25.81</v>
      </c>
      <c r="J262" s="3">
        <f>Table1[[#This Row],[قيمة الفاتورة]]*0.94-Table1[[#This Row],[قيمة المشاركة]]</f>
        <v>24.261399999999998</v>
      </c>
      <c r="L262" s="3" t="str">
        <f t="shared" si="4"/>
        <v/>
      </c>
      <c r="N262" t="s">
        <v>19</v>
      </c>
    </row>
    <row r="263" spans="1:14" x14ac:dyDescent="0.3">
      <c r="A263">
        <v>17</v>
      </c>
      <c r="B263" t="s">
        <v>526</v>
      </c>
      <c r="C263" t="s">
        <v>726</v>
      </c>
      <c r="D263" t="s">
        <v>727</v>
      </c>
      <c r="E263" t="s">
        <v>23</v>
      </c>
      <c r="F263" t="s">
        <v>723</v>
      </c>
      <c r="G263" s="3">
        <v>3</v>
      </c>
      <c r="H263" s="3">
        <v>0</v>
      </c>
      <c r="I263" s="3">
        <v>3</v>
      </c>
      <c r="J263" s="3">
        <f>Table1[[#This Row],[قيمة الفاتورة]]*0.94-Table1[[#This Row],[قيمة المشاركة]]</f>
        <v>2.82</v>
      </c>
      <c r="L263" s="3" t="str">
        <f t="shared" si="4"/>
        <v/>
      </c>
      <c r="N263" t="s">
        <v>19</v>
      </c>
    </row>
    <row r="264" spans="1:14" x14ac:dyDescent="0.3">
      <c r="A264">
        <v>254</v>
      </c>
      <c r="B264" t="s">
        <v>324</v>
      </c>
      <c r="C264" t="s">
        <v>325</v>
      </c>
      <c r="D264" t="s">
        <v>730</v>
      </c>
      <c r="E264" t="s">
        <v>17</v>
      </c>
      <c r="F264" t="s">
        <v>731</v>
      </c>
      <c r="G264" s="3">
        <v>11.8</v>
      </c>
      <c r="H264" s="3">
        <v>2.36</v>
      </c>
      <c r="I264" s="3">
        <v>9.44</v>
      </c>
      <c r="J264" s="3">
        <f>Table1[[#This Row],[قيمة الفاتورة]]*0.94-Table1[[#This Row],[قيمة المشاركة]]</f>
        <v>8.7320000000000011</v>
      </c>
      <c r="L264" s="3" t="str">
        <f t="shared" si="4"/>
        <v/>
      </c>
      <c r="N264" t="s">
        <v>328</v>
      </c>
    </row>
    <row r="265" spans="1:14" x14ac:dyDescent="0.3">
      <c r="A265">
        <v>253</v>
      </c>
      <c r="B265" t="s">
        <v>732</v>
      </c>
      <c r="C265" t="s">
        <v>733</v>
      </c>
      <c r="D265" t="s">
        <v>734</v>
      </c>
      <c r="E265" t="s">
        <v>23</v>
      </c>
      <c r="F265" t="s">
        <v>731</v>
      </c>
      <c r="G265" s="3">
        <v>18.27</v>
      </c>
      <c r="H265" s="3">
        <v>3.6539999999999999</v>
      </c>
      <c r="I265" s="3">
        <v>14.616</v>
      </c>
      <c r="J265" s="3">
        <f>Table1[[#This Row],[قيمة الفاتورة]]*0.94-Table1[[#This Row],[قيمة المشاركة]]</f>
        <v>13.5198</v>
      </c>
      <c r="L265" s="3" t="str">
        <f t="shared" si="4"/>
        <v/>
      </c>
      <c r="N265" t="s">
        <v>328</v>
      </c>
    </row>
    <row r="266" spans="1:14" x14ac:dyDescent="0.3">
      <c r="A266">
        <v>250</v>
      </c>
      <c r="B266" t="s">
        <v>455</v>
      </c>
      <c r="C266" t="s">
        <v>456</v>
      </c>
      <c r="D266" t="s">
        <v>735</v>
      </c>
      <c r="E266" t="s">
        <v>17</v>
      </c>
      <c r="F266" t="s">
        <v>731</v>
      </c>
      <c r="G266" s="3">
        <v>16.14</v>
      </c>
      <c r="H266" s="3">
        <v>0</v>
      </c>
      <c r="I266" s="3">
        <v>16.14</v>
      </c>
      <c r="J266" s="3">
        <f>Table1[[#This Row],[قيمة الفاتورة]]*0.94-Table1[[#This Row],[قيمة المشاركة]]</f>
        <v>15.1716</v>
      </c>
      <c r="L266" s="3" t="str">
        <f t="shared" si="4"/>
        <v/>
      </c>
      <c r="N266" t="s">
        <v>19</v>
      </c>
    </row>
    <row r="267" spans="1:14" x14ac:dyDescent="0.3">
      <c r="A267">
        <v>251</v>
      </c>
      <c r="B267" t="s">
        <v>619</v>
      </c>
      <c r="C267" t="s">
        <v>620</v>
      </c>
      <c r="D267" t="s">
        <v>736</v>
      </c>
      <c r="E267" t="s">
        <v>23</v>
      </c>
      <c r="F267" t="s">
        <v>731</v>
      </c>
      <c r="G267" s="3">
        <v>12.75</v>
      </c>
      <c r="H267" s="3">
        <v>0</v>
      </c>
      <c r="I267" s="3">
        <v>12.75</v>
      </c>
      <c r="J267" s="3">
        <f>Table1[[#This Row],[قيمة الفاتورة]]*0.94-Table1[[#This Row],[قيمة المشاركة]]</f>
        <v>11.984999999999999</v>
      </c>
      <c r="L267" s="3" t="str">
        <f t="shared" si="4"/>
        <v/>
      </c>
      <c r="N267" t="s">
        <v>19</v>
      </c>
    </row>
    <row r="268" spans="1:14" x14ac:dyDescent="0.3">
      <c r="A268">
        <v>256</v>
      </c>
      <c r="B268" t="s">
        <v>737</v>
      </c>
      <c r="C268" t="s">
        <v>377</v>
      </c>
      <c r="D268" t="s">
        <v>738</v>
      </c>
      <c r="E268" t="s">
        <v>23</v>
      </c>
      <c r="F268" t="s">
        <v>731</v>
      </c>
      <c r="G268" s="3">
        <v>18.28</v>
      </c>
      <c r="H268" s="3">
        <v>2.742</v>
      </c>
      <c r="I268" s="3">
        <v>15.538</v>
      </c>
      <c r="J268" s="3">
        <f>Table1[[#This Row],[قيمة الفاتورة]]*0.94-Table1[[#This Row],[قيمة المشاركة]]</f>
        <v>14.441199999999998</v>
      </c>
      <c r="L268" s="3" t="str">
        <f t="shared" si="4"/>
        <v/>
      </c>
      <c r="N268" t="s">
        <v>19</v>
      </c>
    </row>
    <row r="269" spans="1:14" x14ac:dyDescent="0.3">
      <c r="A269">
        <v>246</v>
      </c>
      <c r="B269" t="s">
        <v>739</v>
      </c>
      <c r="C269" t="s">
        <v>201</v>
      </c>
      <c r="D269" t="s">
        <v>740</v>
      </c>
      <c r="E269" t="s">
        <v>17</v>
      </c>
      <c r="F269" t="s">
        <v>731</v>
      </c>
      <c r="G269" s="3">
        <v>10.17</v>
      </c>
      <c r="H269" s="3">
        <v>0</v>
      </c>
      <c r="I269" s="3">
        <v>10.17</v>
      </c>
      <c r="J269" s="3">
        <f>Table1[[#This Row],[قيمة الفاتورة]]*0.94-Table1[[#This Row],[قيمة المشاركة]]</f>
        <v>9.5597999999999992</v>
      </c>
      <c r="L269" s="3" t="str">
        <f t="shared" si="4"/>
        <v/>
      </c>
      <c r="N269" t="s">
        <v>19</v>
      </c>
    </row>
    <row r="270" spans="1:14" x14ac:dyDescent="0.3">
      <c r="A270">
        <v>248</v>
      </c>
      <c r="B270" t="s">
        <v>741</v>
      </c>
      <c r="C270" t="s">
        <v>742</v>
      </c>
      <c r="D270" t="s">
        <v>539</v>
      </c>
      <c r="E270" t="s">
        <v>17</v>
      </c>
      <c r="F270" t="s">
        <v>731</v>
      </c>
      <c r="G270" s="3">
        <v>15.42</v>
      </c>
      <c r="H270" s="3">
        <v>0</v>
      </c>
      <c r="I270" s="3">
        <v>15.42</v>
      </c>
      <c r="J270" s="3">
        <f>Table1[[#This Row],[قيمة الفاتورة]]*0.94-Table1[[#This Row],[قيمة المشاركة]]</f>
        <v>14.4948</v>
      </c>
      <c r="L270" s="3" t="str">
        <f t="shared" si="4"/>
        <v/>
      </c>
      <c r="N270" t="s">
        <v>19</v>
      </c>
    </row>
    <row r="271" spans="1:14" x14ac:dyDescent="0.3">
      <c r="A271">
        <v>252</v>
      </c>
      <c r="B271" t="s">
        <v>385</v>
      </c>
      <c r="C271" t="s">
        <v>743</v>
      </c>
      <c r="D271" t="s">
        <v>744</v>
      </c>
      <c r="E271" t="s">
        <v>23</v>
      </c>
      <c r="F271" t="s">
        <v>731</v>
      </c>
      <c r="G271" s="3">
        <v>28.36</v>
      </c>
      <c r="H271" s="3">
        <v>0</v>
      </c>
      <c r="I271" s="3">
        <v>28.36</v>
      </c>
      <c r="J271" s="3">
        <f>Table1[[#This Row],[قيمة الفاتورة]]*0.94-Table1[[#This Row],[قيمة المشاركة]]</f>
        <v>26.658399999999997</v>
      </c>
      <c r="L271" s="3" t="str">
        <f t="shared" si="4"/>
        <v/>
      </c>
      <c r="N271" t="s">
        <v>19</v>
      </c>
    </row>
    <row r="272" spans="1:14" x14ac:dyDescent="0.3">
      <c r="A272">
        <v>247</v>
      </c>
      <c r="B272" t="s">
        <v>745</v>
      </c>
      <c r="C272" t="s">
        <v>746</v>
      </c>
      <c r="D272" t="s">
        <v>747</v>
      </c>
      <c r="E272" t="s">
        <v>23</v>
      </c>
      <c r="F272" t="s">
        <v>731</v>
      </c>
      <c r="G272" s="3">
        <v>15.89</v>
      </c>
      <c r="H272" s="3">
        <v>1.589</v>
      </c>
      <c r="I272" s="3">
        <v>14.301</v>
      </c>
      <c r="J272" s="3">
        <f>Table1[[#This Row],[قيمة الفاتورة]]*0.94-Table1[[#This Row],[قيمة المشاركة]]</f>
        <v>13.3476</v>
      </c>
      <c r="L272" s="3" t="str">
        <f t="shared" si="4"/>
        <v/>
      </c>
      <c r="N272" t="s">
        <v>328</v>
      </c>
    </row>
    <row r="273" spans="1:14" x14ac:dyDescent="0.3">
      <c r="A273">
        <v>249</v>
      </c>
      <c r="B273" t="s">
        <v>748</v>
      </c>
      <c r="C273" t="s">
        <v>749</v>
      </c>
      <c r="D273" t="s">
        <v>750</v>
      </c>
      <c r="E273" t="s">
        <v>17</v>
      </c>
      <c r="F273" t="s">
        <v>731</v>
      </c>
      <c r="G273" s="3">
        <v>14.25</v>
      </c>
      <c r="H273" s="3">
        <v>0</v>
      </c>
      <c r="I273" s="3">
        <v>14.25</v>
      </c>
      <c r="J273" s="3">
        <f>Table1[[#This Row],[قيمة الفاتورة]]*0.94-Table1[[#This Row],[قيمة المشاركة]]</f>
        <v>13.395</v>
      </c>
      <c r="L273" s="3" t="str">
        <f t="shared" si="4"/>
        <v/>
      </c>
      <c r="N273" t="s">
        <v>19</v>
      </c>
    </row>
    <row r="274" spans="1:14" x14ac:dyDescent="0.3">
      <c r="A274">
        <v>255</v>
      </c>
      <c r="B274" t="s">
        <v>751</v>
      </c>
      <c r="C274" t="s">
        <v>752</v>
      </c>
      <c r="D274" t="s">
        <v>753</v>
      </c>
      <c r="E274" t="s">
        <v>23</v>
      </c>
      <c r="F274" t="s">
        <v>731</v>
      </c>
      <c r="G274" s="3">
        <v>30.85</v>
      </c>
      <c r="H274" s="3">
        <v>0</v>
      </c>
      <c r="I274" s="3">
        <v>30.85</v>
      </c>
      <c r="J274" s="3">
        <f>Table1[[#This Row],[قيمة الفاتورة]]*0.94-Table1[[#This Row],[قيمة المشاركة]]</f>
        <v>28.998999999999999</v>
      </c>
      <c r="L274" s="3" t="str">
        <f t="shared" si="4"/>
        <v/>
      </c>
      <c r="N274" t="s">
        <v>19</v>
      </c>
    </row>
    <row r="275" spans="1:14" x14ac:dyDescent="0.3">
      <c r="A275">
        <v>18</v>
      </c>
      <c r="B275" t="s">
        <v>704</v>
      </c>
      <c r="C275" t="s">
        <v>653</v>
      </c>
      <c r="D275" t="s">
        <v>754</v>
      </c>
      <c r="E275" t="s">
        <v>17</v>
      </c>
      <c r="F275" t="s">
        <v>731</v>
      </c>
      <c r="G275" s="3">
        <v>22.39</v>
      </c>
      <c r="H275" s="3">
        <v>0</v>
      </c>
      <c r="I275" s="3">
        <v>22.39</v>
      </c>
      <c r="J275" s="3">
        <f>Table1[[#This Row],[قيمة الفاتورة]]*0.94-Table1[[#This Row],[قيمة المشاركة]]</f>
        <v>21.046599999999998</v>
      </c>
      <c r="L275" s="3" t="str">
        <f t="shared" si="4"/>
        <v/>
      </c>
      <c r="N275" t="s">
        <v>19</v>
      </c>
    </row>
    <row r="276" spans="1:14" x14ac:dyDescent="0.3">
      <c r="A276">
        <v>19</v>
      </c>
      <c r="B276" t="s">
        <v>755</v>
      </c>
      <c r="C276" t="s">
        <v>756</v>
      </c>
      <c r="D276" t="s">
        <v>757</v>
      </c>
      <c r="E276" t="s">
        <v>17</v>
      </c>
      <c r="F276" t="s">
        <v>731</v>
      </c>
      <c r="G276" s="3">
        <v>30.05</v>
      </c>
      <c r="H276" s="3">
        <v>0</v>
      </c>
      <c r="I276" s="3">
        <v>30.05</v>
      </c>
      <c r="J276" s="3">
        <f>Table1[[#This Row],[قيمة الفاتورة]]*0.94-Table1[[#This Row],[قيمة المشاركة]]</f>
        <v>28.247</v>
      </c>
      <c r="L276" s="3" t="str">
        <f t="shared" si="4"/>
        <v/>
      </c>
      <c r="N276" t="s">
        <v>19</v>
      </c>
    </row>
    <row r="277" spans="1:14" x14ac:dyDescent="0.3">
      <c r="A277">
        <v>261</v>
      </c>
      <c r="B277" t="s">
        <v>758</v>
      </c>
      <c r="C277" t="s">
        <v>759</v>
      </c>
      <c r="D277" t="s">
        <v>760</v>
      </c>
      <c r="E277" t="s">
        <v>23</v>
      </c>
      <c r="F277" t="s">
        <v>761</v>
      </c>
      <c r="G277" s="3">
        <v>6.35</v>
      </c>
      <c r="H277" s="3">
        <v>0</v>
      </c>
      <c r="I277" s="3">
        <v>6.35</v>
      </c>
      <c r="J277" s="3">
        <f>Table1[[#This Row],[قيمة الفاتورة]]*0.94-Table1[[#This Row],[قيمة المشاركة]]</f>
        <v>5.9689999999999994</v>
      </c>
      <c r="L277" s="3" t="str">
        <f t="shared" si="4"/>
        <v/>
      </c>
      <c r="N277" t="s">
        <v>19</v>
      </c>
    </row>
    <row r="278" spans="1:14" x14ac:dyDescent="0.3">
      <c r="A278">
        <v>259</v>
      </c>
      <c r="B278" t="s">
        <v>349</v>
      </c>
      <c r="C278" t="s">
        <v>350</v>
      </c>
      <c r="D278" t="s">
        <v>762</v>
      </c>
      <c r="E278" t="s">
        <v>23</v>
      </c>
      <c r="F278" t="s">
        <v>761</v>
      </c>
      <c r="G278" s="3">
        <v>33.11</v>
      </c>
      <c r="H278" s="3">
        <v>0</v>
      </c>
      <c r="I278" s="3">
        <v>33.11</v>
      </c>
      <c r="J278" s="3">
        <f>Table1[[#This Row],[قيمة الفاتورة]]*0.94-Table1[[#This Row],[قيمة المشاركة]]</f>
        <v>31.123399999999997</v>
      </c>
      <c r="L278" s="3" t="str">
        <f t="shared" si="4"/>
        <v/>
      </c>
      <c r="N278" t="s">
        <v>19</v>
      </c>
    </row>
    <row r="279" spans="1:14" x14ac:dyDescent="0.3">
      <c r="A279">
        <v>258</v>
      </c>
      <c r="B279" t="s">
        <v>763</v>
      </c>
      <c r="C279" t="s">
        <v>177</v>
      </c>
      <c r="D279" t="s">
        <v>764</v>
      </c>
      <c r="E279" t="s">
        <v>17</v>
      </c>
      <c r="F279" t="s">
        <v>761</v>
      </c>
      <c r="G279" s="3">
        <v>8.8800000000000008</v>
      </c>
      <c r="H279" s="3">
        <v>0</v>
      </c>
      <c r="I279" s="3">
        <v>8.8800000000000008</v>
      </c>
      <c r="J279" s="3">
        <f>Table1[[#This Row],[قيمة الفاتورة]]*0.94-Table1[[#This Row],[قيمة المشاركة]]</f>
        <v>8.3472000000000008</v>
      </c>
      <c r="L279" s="3" t="str">
        <f t="shared" si="4"/>
        <v/>
      </c>
      <c r="N279" t="s">
        <v>19</v>
      </c>
    </row>
    <row r="280" spans="1:14" x14ac:dyDescent="0.3">
      <c r="A280">
        <v>260</v>
      </c>
      <c r="B280" t="s">
        <v>591</v>
      </c>
      <c r="C280" t="s">
        <v>592</v>
      </c>
      <c r="D280" t="s">
        <v>765</v>
      </c>
      <c r="E280" t="s">
        <v>23</v>
      </c>
      <c r="F280" t="s">
        <v>761</v>
      </c>
      <c r="G280" s="3">
        <v>22.97</v>
      </c>
      <c r="H280" s="3">
        <v>0</v>
      </c>
      <c r="I280" s="3">
        <v>22.97</v>
      </c>
      <c r="J280" s="3">
        <f>Table1[[#This Row],[قيمة الفاتورة]]*0.94-Table1[[#This Row],[قيمة المشاركة]]</f>
        <v>21.591799999999999</v>
      </c>
      <c r="L280" s="3" t="str">
        <f t="shared" si="4"/>
        <v/>
      </c>
      <c r="N280" t="s">
        <v>19</v>
      </c>
    </row>
    <row r="281" spans="1:14" x14ac:dyDescent="0.3">
      <c r="A281">
        <v>262</v>
      </c>
      <c r="B281" t="s">
        <v>766</v>
      </c>
      <c r="C281" t="s">
        <v>767</v>
      </c>
      <c r="D281" t="s">
        <v>768</v>
      </c>
      <c r="E281" t="s">
        <v>23</v>
      </c>
      <c r="F281" t="s">
        <v>761</v>
      </c>
      <c r="G281" s="3">
        <v>23.08</v>
      </c>
      <c r="H281" s="3">
        <v>0</v>
      </c>
      <c r="I281" s="3">
        <v>23.08</v>
      </c>
      <c r="J281" s="3">
        <f>Table1[[#This Row],[قيمة الفاتورة]]*0.94-Table1[[#This Row],[قيمة المشاركة]]</f>
        <v>21.695199999999996</v>
      </c>
      <c r="L281" s="3" t="str">
        <f t="shared" si="4"/>
        <v/>
      </c>
      <c r="N281" t="s">
        <v>19</v>
      </c>
    </row>
    <row r="282" spans="1:14" x14ac:dyDescent="0.3">
      <c r="A282">
        <v>264</v>
      </c>
      <c r="B282" t="s">
        <v>139</v>
      </c>
      <c r="C282" t="s">
        <v>140</v>
      </c>
      <c r="D282" t="s">
        <v>769</v>
      </c>
      <c r="E282" t="s">
        <v>17</v>
      </c>
      <c r="F282" t="s">
        <v>761</v>
      </c>
      <c r="G282" s="3">
        <v>42.36</v>
      </c>
      <c r="H282" s="3">
        <v>0</v>
      </c>
      <c r="I282" s="3">
        <v>42.36</v>
      </c>
      <c r="J282" s="3">
        <f>Table1[[#This Row],[قيمة الفاتورة]]*0.94-Table1[[#This Row],[قيمة المشاركة]]</f>
        <v>39.818399999999997</v>
      </c>
      <c r="L282" s="3" t="str">
        <f t="shared" si="4"/>
        <v/>
      </c>
      <c r="N282" t="s">
        <v>19</v>
      </c>
    </row>
    <row r="283" spans="1:14" x14ac:dyDescent="0.3">
      <c r="A283">
        <v>263</v>
      </c>
      <c r="B283" t="s">
        <v>510</v>
      </c>
      <c r="C283" t="s">
        <v>511</v>
      </c>
      <c r="D283" t="s">
        <v>770</v>
      </c>
      <c r="E283" t="s">
        <v>23</v>
      </c>
      <c r="F283" t="s">
        <v>761</v>
      </c>
      <c r="G283" s="3">
        <v>21.72</v>
      </c>
      <c r="H283" s="3">
        <v>0</v>
      </c>
      <c r="I283" s="3">
        <v>21.72</v>
      </c>
      <c r="J283" s="3">
        <f>Table1[[#This Row],[قيمة الفاتورة]]*0.94-Table1[[#This Row],[قيمة المشاركة]]</f>
        <v>20.416799999999999</v>
      </c>
      <c r="L283" s="3" t="str">
        <f t="shared" si="4"/>
        <v/>
      </c>
      <c r="N283" t="s">
        <v>19</v>
      </c>
    </row>
    <row r="284" spans="1:14" x14ac:dyDescent="0.3">
      <c r="A284">
        <v>257</v>
      </c>
      <c r="B284" t="s">
        <v>771</v>
      </c>
      <c r="C284" t="s">
        <v>772</v>
      </c>
      <c r="D284" t="s">
        <v>773</v>
      </c>
      <c r="E284" t="s">
        <v>17</v>
      </c>
      <c r="F284" t="s">
        <v>761</v>
      </c>
      <c r="G284" s="3">
        <v>15.98</v>
      </c>
      <c r="H284" s="3">
        <v>2.3969999999999998</v>
      </c>
      <c r="I284" s="3">
        <v>13.583</v>
      </c>
      <c r="J284" s="3">
        <f>Table1[[#This Row],[قيمة الفاتورة]]*0.94-Table1[[#This Row],[قيمة المشاركة]]</f>
        <v>12.6242</v>
      </c>
      <c r="L284" s="3" t="str">
        <f t="shared" si="4"/>
        <v/>
      </c>
      <c r="N284" t="s">
        <v>19</v>
      </c>
    </row>
    <row r="285" spans="1:14" x14ac:dyDescent="0.3">
      <c r="A285">
        <v>20</v>
      </c>
      <c r="B285" t="s">
        <v>771</v>
      </c>
      <c r="C285" t="s">
        <v>772</v>
      </c>
      <c r="D285" t="s">
        <v>773</v>
      </c>
      <c r="E285" t="s">
        <v>17</v>
      </c>
      <c r="F285" t="s">
        <v>761</v>
      </c>
      <c r="G285" s="3">
        <v>4.58</v>
      </c>
      <c r="H285" s="3">
        <v>0.68700000000000006</v>
      </c>
      <c r="I285" s="3">
        <v>3.8929999999999998</v>
      </c>
      <c r="J285" s="3">
        <f>Table1[[#This Row],[قيمة الفاتورة]]*0.94-Table1[[#This Row],[قيمة المشاركة]]</f>
        <v>3.6181999999999999</v>
      </c>
      <c r="L285" s="3" t="str">
        <f t="shared" si="4"/>
        <v/>
      </c>
      <c r="N285" t="s">
        <v>19</v>
      </c>
    </row>
    <row r="286" spans="1:14" x14ac:dyDescent="0.3">
      <c r="A286">
        <v>21</v>
      </c>
      <c r="B286" t="s">
        <v>591</v>
      </c>
      <c r="C286" t="s">
        <v>592</v>
      </c>
      <c r="D286" t="s">
        <v>765</v>
      </c>
      <c r="E286" t="s">
        <v>17</v>
      </c>
      <c r="F286" t="s">
        <v>761</v>
      </c>
      <c r="G286" s="3">
        <v>2.81</v>
      </c>
      <c r="H286" s="3">
        <v>0</v>
      </c>
      <c r="I286" s="3">
        <v>2.81</v>
      </c>
      <c r="J286" s="3">
        <f>Table1[[#This Row],[قيمة الفاتورة]]*0.94-Table1[[#This Row],[قيمة المشاركة]]</f>
        <v>2.6414</v>
      </c>
      <c r="L286" s="3" t="str">
        <f t="shared" si="4"/>
        <v/>
      </c>
      <c r="N286" t="s">
        <v>19</v>
      </c>
    </row>
    <row r="287" spans="1:14" x14ac:dyDescent="0.3">
      <c r="A287">
        <v>266</v>
      </c>
      <c r="B287" t="s">
        <v>774</v>
      </c>
      <c r="C287" t="s">
        <v>775</v>
      </c>
      <c r="D287" t="s">
        <v>776</v>
      </c>
      <c r="E287" t="s">
        <v>17</v>
      </c>
      <c r="F287" t="s">
        <v>777</v>
      </c>
      <c r="G287" s="3">
        <v>18.46</v>
      </c>
      <c r="H287" s="3">
        <v>0</v>
      </c>
      <c r="I287" s="3">
        <v>18.46</v>
      </c>
      <c r="J287" s="3">
        <f>Table1[[#This Row],[قيمة الفاتورة]]*0.94-Table1[[#This Row],[قيمة المشاركة]]</f>
        <v>17.352399999999999</v>
      </c>
      <c r="L287" s="3" t="str">
        <f t="shared" si="4"/>
        <v/>
      </c>
      <c r="N287" t="s">
        <v>19</v>
      </c>
    </row>
    <row r="288" spans="1:14" x14ac:dyDescent="0.3">
      <c r="A288">
        <v>267</v>
      </c>
      <c r="B288" t="s">
        <v>275</v>
      </c>
      <c r="C288" t="s">
        <v>778</v>
      </c>
      <c r="D288" t="s">
        <v>779</v>
      </c>
      <c r="E288" t="s">
        <v>23</v>
      </c>
      <c r="F288" t="s">
        <v>777</v>
      </c>
      <c r="G288" s="3">
        <v>17.34</v>
      </c>
      <c r="H288" s="3">
        <v>0</v>
      </c>
      <c r="I288" s="3">
        <v>17.34</v>
      </c>
      <c r="J288" s="3">
        <f>Table1[[#This Row],[قيمة الفاتورة]]*0.94-Table1[[#This Row],[قيمة المشاركة]]</f>
        <v>16.299599999999998</v>
      </c>
      <c r="L288" s="3" t="str">
        <f t="shared" si="4"/>
        <v/>
      </c>
      <c r="N288" t="s">
        <v>19</v>
      </c>
    </row>
    <row r="289" spans="1:14" x14ac:dyDescent="0.3">
      <c r="A289">
        <v>268</v>
      </c>
      <c r="B289" t="s">
        <v>519</v>
      </c>
      <c r="C289" t="s">
        <v>520</v>
      </c>
      <c r="D289" t="s">
        <v>780</v>
      </c>
      <c r="E289" t="s">
        <v>23</v>
      </c>
      <c r="F289" t="s">
        <v>777</v>
      </c>
      <c r="G289" s="3">
        <v>4.1399999999999997</v>
      </c>
      <c r="H289" s="3">
        <v>0</v>
      </c>
      <c r="I289" s="3">
        <v>4.1399999999999997</v>
      </c>
      <c r="J289" s="3">
        <f>Table1[[#This Row],[قيمة الفاتورة]]*0.94-Table1[[#This Row],[قيمة المشاركة]]</f>
        <v>3.8915999999999995</v>
      </c>
      <c r="L289" s="3" t="str">
        <f t="shared" si="4"/>
        <v/>
      </c>
      <c r="N289" t="s">
        <v>19</v>
      </c>
    </row>
    <row r="290" spans="1:14" x14ac:dyDescent="0.3">
      <c r="A290">
        <v>265</v>
      </c>
      <c r="B290" t="s">
        <v>532</v>
      </c>
      <c r="C290" t="s">
        <v>344</v>
      </c>
      <c r="D290" t="s">
        <v>781</v>
      </c>
      <c r="E290" t="s">
        <v>17</v>
      </c>
      <c r="F290" t="s">
        <v>777</v>
      </c>
      <c r="G290" s="3">
        <v>19</v>
      </c>
      <c r="H290" s="3">
        <v>0</v>
      </c>
      <c r="I290" s="3">
        <v>19</v>
      </c>
      <c r="J290" s="3">
        <f>Table1[[#This Row],[قيمة الفاتورة]]*0.94-Table1[[#This Row],[قيمة المشاركة]]</f>
        <v>17.86</v>
      </c>
      <c r="L290" s="3" t="str">
        <f t="shared" si="4"/>
        <v/>
      </c>
      <c r="N290" t="s">
        <v>19</v>
      </c>
    </row>
    <row r="291" spans="1:14" x14ac:dyDescent="0.3">
      <c r="A291">
        <v>22</v>
      </c>
      <c r="B291" t="s">
        <v>782</v>
      </c>
      <c r="C291" t="s">
        <v>783</v>
      </c>
      <c r="D291" t="s">
        <v>784</v>
      </c>
      <c r="E291" t="s">
        <v>17</v>
      </c>
      <c r="F291" t="s">
        <v>777</v>
      </c>
      <c r="G291" s="3">
        <v>28.37</v>
      </c>
      <c r="H291" s="3">
        <v>0</v>
      </c>
      <c r="I291" s="3">
        <v>28.37</v>
      </c>
      <c r="J291" s="3">
        <f>Table1[[#This Row],[قيمة الفاتورة]]*0.94-Table1[[#This Row],[قيمة المشاركة]]</f>
        <v>26.6678</v>
      </c>
      <c r="L291" s="3" t="str">
        <f t="shared" si="4"/>
        <v/>
      </c>
      <c r="N291" t="s">
        <v>19</v>
      </c>
    </row>
    <row r="292" spans="1:14" x14ac:dyDescent="0.3">
      <c r="A292">
        <v>23</v>
      </c>
      <c r="B292" t="s">
        <v>785</v>
      </c>
      <c r="C292" t="s">
        <v>786</v>
      </c>
      <c r="D292" t="s">
        <v>787</v>
      </c>
      <c r="E292" t="s">
        <v>17</v>
      </c>
      <c r="F292" t="s">
        <v>777</v>
      </c>
      <c r="G292" s="3">
        <v>13.89</v>
      </c>
      <c r="H292" s="3">
        <v>0</v>
      </c>
      <c r="I292" s="3">
        <v>13.89</v>
      </c>
      <c r="J292" s="3">
        <f>Table1[[#This Row],[قيمة الفاتورة]]*0.94-Table1[[#This Row],[قيمة المشاركة]]</f>
        <v>13.0566</v>
      </c>
      <c r="L292" s="3" t="str">
        <f t="shared" si="4"/>
        <v/>
      </c>
      <c r="N292" t="s">
        <v>19</v>
      </c>
    </row>
    <row r="293" spans="1:14" x14ac:dyDescent="0.3">
      <c r="A293">
        <v>24</v>
      </c>
      <c r="B293" t="s">
        <v>253</v>
      </c>
      <c r="C293" t="s">
        <v>254</v>
      </c>
      <c r="D293" t="s">
        <v>788</v>
      </c>
      <c r="E293" t="s">
        <v>17</v>
      </c>
      <c r="F293" t="s">
        <v>777</v>
      </c>
      <c r="G293" s="3">
        <v>25.45</v>
      </c>
      <c r="H293" s="3">
        <v>0</v>
      </c>
      <c r="I293" s="3">
        <v>25.45</v>
      </c>
      <c r="J293" s="3">
        <f>Table1[[#This Row],[قيمة الفاتورة]]*0.94-Table1[[#This Row],[قيمة المشاركة]]</f>
        <v>23.922999999999998</v>
      </c>
      <c r="L293" s="3" t="str">
        <f t="shared" si="4"/>
        <v/>
      </c>
      <c r="N293" t="s">
        <v>19</v>
      </c>
    </row>
    <row r="294" spans="1:14" x14ac:dyDescent="0.3">
      <c r="A294">
        <v>274</v>
      </c>
      <c r="B294" t="s">
        <v>648</v>
      </c>
      <c r="C294" t="s">
        <v>649</v>
      </c>
      <c r="D294" t="s">
        <v>789</v>
      </c>
      <c r="E294" t="s">
        <v>17</v>
      </c>
      <c r="F294" t="s">
        <v>790</v>
      </c>
      <c r="G294" s="3">
        <v>26.01</v>
      </c>
      <c r="H294" s="3">
        <v>0</v>
      </c>
      <c r="I294" s="3">
        <v>26.01</v>
      </c>
      <c r="J294" s="3">
        <f>Table1[[#This Row],[قيمة الفاتورة]]*0.94-Table1[[#This Row],[قيمة المشاركة]]</f>
        <v>24.449400000000001</v>
      </c>
      <c r="L294" s="3" t="str">
        <f t="shared" si="4"/>
        <v/>
      </c>
      <c r="N294" t="s">
        <v>19</v>
      </c>
    </row>
    <row r="295" spans="1:14" x14ac:dyDescent="0.3">
      <c r="A295">
        <v>272</v>
      </c>
      <c r="B295" t="s">
        <v>75</v>
      </c>
      <c r="C295" t="s">
        <v>791</v>
      </c>
      <c r="D295" t="s">
        <v>792</v>
      </c>
      <c r="E295" t="s">
        <v>23</v>
      </c>
      <c r="F295" t="s">
        <v>790</v>
      </c>
      <c r="G295" s="3">
        <v>9.52</v>
      </c>
      <c r="H295" s="3">
        <v>0</v>
      </c>
      <c r="I295" s="3">
        <v>9.52</v>
      </c>
      <c r="J295" s="3">
        <f>Table1[[#This Row],[قيمة الفاتورة]]*0.94-Table1[[#This Row],[قيمة المشاركة]]</f>
        <v>8.9487999999999985</v>
      </c>
      <c r="L295" s="3" t="str">
        <f t="shared" si="4"/>
        <v/>
      </c>
      <c r="N295" t="s">
        <v>19</v>
      </c>
    </row>
    <row r="296" spans="1:14" x14ac:dyDescent="0.3">
      <c r="A296">
        <v>269</v>
      </c>
      <c r="B296" t="s">
        <v>793</v>
      </c>
      <c r="C296" t="s">
        <v>794</v>
      </c>
      <c r="D296" t="s">
        <v>795</v>
      </c>
      <c r="E296" t="s">
        <v>17</v>
      </c>
      <c r="F296" t="s">
        <v>790</v>
      </c>
      <c r="G296" s="3">
        <v>30.32</v>
      </c>
      <c r="H296" s="3">
        <v>0</v>
      </c>
      <c r="I296" s="3">
        <v>30.32</v>
      </c>
      <c r="J296" s="3">
        <f>Table1[[#This Row],[قيمة الفاتورة]]*0.94-Table1[[#This Row],[قيمة المشاركة]]</f>
        <v>28.500799999999998</v>
      </c>
      <c r="L296" s="3" t="str">
        <f t="shared" si="4"/>
        <v/>
      </c>
      <c r="N296" t="s">
        <v>19</v>
      </c>
    </row>
    <row r="297" spans="1:14" x14ac:dyDescent="0.3">
      <c r="A297">
        <v>270</v>
      </c>
      <c r="B297" t="s">
        <v>796</v>
      </c>
      <c r="C297" t="s">
        <v>797</v>
      </c>
      <c r="D297" t="s">
        <v>798</v>
      </c>
      <c r="E297" t="s">
        <v>17</v>
      </c>
      <c r="F297" t="s">
        <v>790</v>
      </c>
      <c r="G297" s="3">
        <v>32.119999999999997</v>
      </c>
      <c r="H297" s="3">
        <v>0</v>
      </c>
      <c r="I297" s="3">
        <v>32.119999999999997</v>
      </c>
      <c r="J297" s="3">
        <f>Table1[[#This Row],[قيمة الفاتورة]]*0.94-Table1[[#This Row],[قيمة المشاركة]]</f>
        <v>30.192799999999995</v>
      </c>
      <c r="L297" s="3" t="str">
        <f t="shared" si="4"/>
        <v/>
      </c>
      <c r="N297" t="s">
        <v>19</v>
      </c>
    </row>
    <row r="298" spans="1:14" x14ac:dyDescent="0.3">
      <c r="A298">
        <v>275</v>
      </c>
      <c r="B298" t="s">
        <v>376</v>
      </c>
      <c r="C298" t="s">
        <v>377</v>
      </c>
      <c r="D298" t="s">
        <v>799</v>
      </c>
      <c r="E298" t="s">
        <v>17</v>
      </c>
      <c r="F298" t="s">
        <v>790</v>
      </c>
      <c r="G298" s="3">
        <v>19.48</v>
      </c>
      <c r="H298" s="3">
        <v>0</v>
      </c>
      <c r="I298" s="3">
        <v>19.48</v>
      </c>
      <c r="J298" s="3">
        <f>Table1[[#This Row],[قيمة الفاتورة]]*0.94-Table1[[#This Row],[قيمة المشاركة]]</f>
        <v>18.311199999999999</v>
      </c>
      <c r="L298" s="3" t="str">
        <f t="shared" si="4"/>
        <v/>
      </c>
      <c r="N298" t="s">
        <v>19</v>
      </c>
    </row>
    <row r="299" spans="1:14" x14ac:dyDescent="0.3">
      <c r="A299">
        <v>276</v>
      </c>
      <c r="B299" t="s">
        <v>800</v>
      </c>
      <c r="C299" t="s">
        <v>801</v>
      </c>
      <c r="D299" t="s">
        <v>802</v>
      </c>
      <c r="E299" t="s">
        <v>23</v>
      </c>
      <c r="F299" t="s">
        <v>790</v>
      </c>
      <c r="G299" s="3">
        <v>21.66</v>
      </c>
      <c r="H299" s="3">
        <v>0</v>
      </c>
      <c r="I299" s="3">
        <v>21.66</v>
      </c>
      <c r="J299" s="3">
        <f>Table1[[#This Row],[قيمة الفاتورة]]*0.94-Table1[[#This Row],[قيمة المشاركة]]</f>
        <v>20.360399999999998</v>
      </c>
      <c r="L299" s="3" t="str">
        <f t="shared" si="4"/>
        <v/>
      </c>
      <c r="N299" t="s">
        <v>19</v>
      </c>
    </row>
    <row r="300" spans="1:14" x14ac:dyDescent="0.3">
      <c r="A300">
        <v>271</v>
      </c>
      <c r="B300" t="s">
        <v>803</v>
      </c>
      <c r="C300" t="s">
        <v>804</v>
      </c>
      <c r="D300" t="s">
        <v>805</v>
      </c>
      <c r="E300" t="s">
        <v>17</v>
      </c>
      <c r="F300" t="s">
        <v>790</v>
      </c>
      <c r="G300" s="3">
        <v>15.66</v>
      </c>
      <c r="H300" s="3">
        <v>0</v>
      </c>
      <c r="I300" s="3">
        <v>15.66</v>
      </c>
      <c r="J300" s="3">
        <f>Table1[[#This Row],[قيمة الفاتورة]]*0.94-Table1[[#This Row],[قيمة المشاركة]]</f>
        <v>14.7204</v>
      </c>
      <c r="L300" s="3" t="str">
        <f t="shared" si="4"/>
        <v/>
      </c>
      <c r="N300" t="s">
        <v>19</v>
      </c>
    </row>
    <row r="301" spans="1:14" x14ac:dyDescent="0.3">
      <c r="A301">
        <v>273</v>
      </c>
      <c r="B301" t="s">
        <v>806</v>
      </c>
      <c r="C301" t="s">
        <v>807</v>
      </c>
      <c r="D301" t="s">
        <v>808</v>
      </c>
      <c r="E301" t="s">
        <v>23</v>
      </c>
      <c r="F301" t="s">
        <v>790</v>
      </c>
      <c r="G301" s="3">
        <v>21.05</v>
      </c>
      <c r="H301" s="3">
        <v>0</v>
      </c>
      <c r="I301" s="3">
        <v>21.05</v>
      </c>
      <c r="J301" s="3">
        <f>Table1[[#This Row],[قيمة الفاتورة]]*0.94-Table1[[#This Row],[قيمة المشاركة]]</f>
        <v>19.786999999999999</v>
      </c>
      <c r="L301" s="3" t="str">
        <f t="shared" si="4"/>
        <v/>
      </c>
      <c r="N301" t="s">
        <v>19</v>
      </c>
    </row>
    <row r="302" spans="1:14" x14ac:dyDescent="0.3">
      <c r="A302">
        <v>25</v>
      </c>
      <c r="B302" t="s">
        <v>809</v>
      </c>
      <c r="C302" t="s">
        <v>810</v>
      </c>
      <c r="D302" t="s">
        <v>811</v>
      </c>
      <c r="E302" t="s">
        <v>17</v>
      </c>
      <c r="F302" t="s">
        <v>790</v>
      </c>
      <c r="G302" s="3">
        <v>16.77</v>
      </c>
      <c r="H302" s="3">
        <v>0</v>
      </c>
      <c r="I302" s="3">
        <v>16.77</v>
      </c>
      <c r="J302" s="3">
        <f>Table1[[#This Row],[قيمة الفاتورة]]*0.94-Table1[[#This Row],[قيمة المشاركة]]</f>
        <v>15.763799999999998</v>
      </c>
      <c r="L302" s="3" t="str">
        <f t="shared" si="4"/>
        <v/>
      </c>
      <c r="N302" t="s">
        <v>19</v>
      </c>
    </row>
    <row r="303" spans="1:14" x14ac:dyDescent="0.3">
      <c r="A303">
        <v>26</v>
      </c>
      <c r="B303" t="s">
        <v>812</v>
      </c>
      <c r="C303" t="s">
        <v>167</v>
      </c>
      <c r="D303" t="s">
        <v>813</v>
      </c>
      <c r="E303" t="s">
        <v>17</v>
      </c>
      <c r="F303" t="s">
        <v>790</v>
      </c>
      <c r="G303" s="3">
        <v>23.73</v>
      </c>
      <c r="H303" s="3">
        <v>0</v>
      </c>
      <c r="I303" s="3">
        <v>23.73</v>
      </c>
      <c r="J303" s="3">
        <f>Table1[[#This Row],[قيمة الفاتورة]]*0.94-Table1[[#This Row],[قيمة المشاركة]]</f>
        <v>22.3062</v>
      </c>
      <c r="L303" s="3" t="str">
        <f t="shared" si="4"/>
        <v/>
      </c>
      <c r="N303" t="s">
        <v>19</v>
      </c>
    </row>
    <row r="304" spans="1:14" x14ac:dyDescent="0.3">
      <c r="A304">
        <v>27</v>
      </c>
      <c r="B304" t="s">
        <v>814</v>
      </c>
      <c r="C304" t="s">
        <v>815</v>
      </c>
      <c r="D304" t="s">
        <v>816</v>
      </c>
      <c r="E304" t="s">
        <v>17</v>
      </c>
      <c r="F304" t="s">
        <v>790</v>
      </c>
      <c r="G304" s="3">
        <v>20.54</v>
      </c>
      <c r="H304" s="3">
        <v>0</v>
      </c>
      <c r="I304" s="3">
        <v>20.54</v>
      </c>
      <c r="J304" s="3">
        <f>Table1[[#This Row],[قيمة الفاتورة]]*0.94-Table1[[#This Row],[قيمة المشاركة]]</f>
        <v>19.307599999999997</v>
      </c>
      <c r="L304" s="3" t="str">
        <f t="shared" si="4"/>
        <v/>
      </c>
      <c r="N304" t="s">
        <v>19</v>
      </c>
    </row>
    <row r="305" spans="1:14" x14ac:dyDescent="0.3">
      <c r="A305">
        <v>28</v>
      </c>
      <c r="B305" t="s">
        <v>737</v>
      </c>
      <c r="C305" t="s">
        <v>377</v>
      </c>
      <c r="D305" t="s">
        <v>738</v>
      </c>
      <c r="E305" t="s">
        <v>23</v>
      </c>
      <c r="F305" t="s">
        <v>790</v>
      </c>
      <c r="G305" s="3">
        <v>8.52</v>
      </c>
      <c r="H305" s="3">
        <v>0</v>
      </c>
      <c r="I305" s="3">
        <v>8.52</v>
      </c>
      <c r="J305" s="3">
        <f>Table1[[#This Row],[قيمة الفاتورة]]*0.94-Table1[[#This Row],[قيمة المشاركة]]</f>
        <v>8.008799999999999</v>
      </c>
      <c r="L305" s="3" t="str">
        <f t="shared" si="4"/>
        <v/>
      </c>
      <c r="N305" t="s">
        <v>19</v>
      </c>
    </row>
    <row r="306" spans="1:14" x14ac:dyDescent="0.3">
      <c r="A306">
        <v>29</v>
      </c>
      <c r="B306" t="s">
        <v>376</v>
      </c>
      <c r="C306" t="s">
        <v>377</v>
      </c>
      <c r="D306" t="s">
        <v>817</v>
      </c>
      <c r="E306" t="s">
        <v>23</v>
      </c>
      <c r="F306" t="s">
        <v>790</v>
      </c>
      <c r="G306" s="3">
        <v>1</v>
      </c>
      <c r="H306" s="3">
        <v>0</v>
      </c>
      <c r="I306" s="3">
        <v>1</v>
      </c>
      <c r="J306" s="3">
        <f>Table1[[#This Row],[قيمة الفاتورة]]*0.94-Table1[[#This Row],[قيمة المشاركة]]</f>
        <v>0.94</v>
      </c>
      <c r="L306" s="3" t="str">
        <f t="shared" si="4"/>
        <v/>
      </c>
      <c r="N306" t="s">
        <v>19</v>
      </c>
    </row>
    <row r="307" spans="1:14" x14ac:dyDescent="0.3">
      <c r="A307">
        <v>30</v>
      </c>
      <c r="B307" t="s">
        <v>79</v>
      </c>
      <c r="C307" t="s">
        <v>110</v>
      </c>
      <c r="D307" t="s">
        <v>818</v>
      </c>
      <c r="E307" t="s">
        <v>23</v>
      </c>
      <c r="F307" t="s">
        <v>790</v>
      </c>
      <c r="G307" s="3">
        <v>18.079999999999998</v>
      </c>
      <c r="H307" s="3">
        <v>0</v>
      </c>
      <c r="I307" s="3">
        <v>18.079999999999998</v>
      </c>
      <c r="J307" s="3">
        <f>Table1[[#This Row],[قيمة الفاتورة]]*0.94-Table1[[#This Row],[قيمة المشاركة]]</f>
        <v>16.995199999999997</v>
      </c>
      <c r="L307" s="3" t="str">
        <f t="shared" si="4"/>
        <v/>
      </c>
      <c r="N307" t="s">
        <v>19</v>
      </c>
    </row>
    <row r="308" spans="1:14" x14ac:dyDescent="0.3">
      <c r="A308">
        <v>31</v>
      </c>
      <c r="B308" t="s">
        <v>265</v>
      </c>
      <c r="C308" t="s">
        <v>266</v>
      </c>
      <c r="D308" t="s">
        <v>819</v>
      </c>
      <c r="E308" t="s">
        <v>23</v>
      </c>
      <c r="F308" t="s">
        <v>790</v>
      </c>
      <c r="G308" s="3">
        <v>13.79</v>
      </c>
      <c r="H308" s="3">
        <v>0</v>
      </c>
      <c r="I308" s="3">
        <v>13.79</v>
      </c>
      <c r="J308" s="3">
        <f>Table1[[#This Row],[قيمة الفاتورة]]*0.94-Table1[[#This Row],[قيمة المشاركة]]</f>
        <v>12.962599999999998</v>
      </c>
      <c r="L308" s="3" t="str">
        <f t="shared" si="4"/>
        <v/>
      </c>
      <c r="N308" t="s">
        <v>19</v>
      </c>
    </row>
    <row r="309" spans="1:14" x14ac:dyDescent="0.3">
      <c r="A309">
        <v>277</v>
      </c>
      <c r="B309" t="s">
        <v>820</v>
      </c>
      <c r="C309" t="s">
        <v>821</v>
      </c>
      <c r="D309" t="s">
        <v>822</v>
      </c>
      <c r="E309" t="s">
        <v>23</v>
      </c>
      <c r="F309" t="s">
        <v>823</v>
      </c>
      <c r="G309" s="3">
        <v>5.7</v>
      </c>
      <c r="H309" s="3">
        <v>0</v>
      </c>
      <c r="I309" s="3">
        <v>5.7</v>
      </c>
      <c r="J309" s="3">
        <f>Table1[[#This Row],[قيمة الفاتورة]]*0.94-Table1[[#This Row],[قيمة المشاركة]]</f>
        <v>5.3579999999999997</v>
      </c>
      <c r="L309" s="3" t="str">
        <f t="shared" si="4"/>
        <v/>
      </c>
      <c r="N309" t="s">
        <v>19</v>
      </c>
    </row>
    <row r="310" spans="1:14" x14ac:dyDescent="0.3">
      <c r="A310">
        <v>32</v>
      </c>
      <c r="B310" t="s">
        <v>824</v>
      </c>
      <c r="C310" t="s">
        <v>825</v>
      </c>
      <c r="D310" t="s">
        <v>826</v>
      </c>
      <c r="E310" t="s">
        <v>23</v>
      </c>
      <c r="F310" t="s">
        <v>827</v>
      </c>
      <c r="G310" s="3">
        <v>26.22</v>
      </c>
      <c r="H310" s="3">
        <v>0</v>
      </c>
      <c r="I310" s="3">
        <v>26.22</v>
      </c>
      <c r="J310" s="3">
        <f>Table1[[#This Row],[قيمة الفاتورة]]*0.94-Table1[[#This Row],[قيمة المشاركة]]</f>
        <v>24.646799999999999</v>
      </c>
      <c r="L310" s="3" t="str">
        <f t="shared" si="4"/>
        <v/>
      </c>
      <c r="N310" t="s">
        <v>19</v>
      </c>
    </row>
    <row r="311" spans="1:14" x14ac:dyDescent="0.3">
      <c r="A311">
        <v>33</v>
      </c>
      <c r="B311" t="s">
        <v>828</v>
      </c>
      <c r="C311" t="s">
        <v>829</v>
      </c>
      <c r="D311" t="s">
        <v>830</v>
      </c>
      <c r="E311" t="s">
        <v>23</v>
      </c>
      <c r="F311" t="s">
        <v>827</v>
      </c>
      <c r="G311" s="3">
        <v>13.44</v>
      </c>
      <c r="H311" s="3">
        <v>0</v>
      </c>
      <c r="I311" s="3">
        <v>13.44</v>
      </c>
      <c r="J311" s="3">
        <f>Table1[[#This Row],[قيمة الفاتورة]]*0.94-Table1[[#This Row],[قيمة المشاركة]]</f>
        <v>12.633599999999999</v>
      </c>
      <c r="L311" s="3" t="str">
        <f t="shared" si="4"/>
        <v/>
      </c>
      <c r="N311" t="s">
        <v>19</v>
      </c>
    </row>
    <row r="312" spans="1:14" x14ac:dyDescent="0.3">
      <c r="A312">
        <v>278</v>
      </c>
      <c r="B312" t="s">
        <v>157</v>
      </c>
      <c r="C312" t="s">
        <v>158</v>
      </c>
      <c r="D312" t="s">
        <v>831</v>
      </c>
      <c r="E312" t="s">
        <v>23</v>
      </c>
      <c r="F312" t="s">
        <v>832</v>
      </c>
      <c r="G312" s="3">
        <v>25.24</v>
      </c>
      <c r="H312" s="3">
        <v>3.786</v>
      </c>
      <c r="I312" s="3">
        <v>21.454000000000001</v>
      </c>
      <c r="J312" s="3">
        <f>Table1[[#This Row],[قيمة الفاتورة]]*0.94-Table1[[#This Row],[قيمة المشاركة]]</f>
        <v>19.939599999999995</v>
      </c>
      <c r="L312" s="3" t="str">
        <f t="shared" si="4"/>
        <v/>
      </c>
      <c r="N312" t="s">
        <v>19</v>
      </c>
    </row>
    <row r="313" spans="1:14" x14ac:dyDescent="0.3">
      <c r="A313">
        <v>279</v>
      </c>
      <c r="B313" t="s">
        <v>49</v>
      </c>
      <c r="C313" t="s">
        <v>50</v>
      </c>
      <c r="D313" t="s">
        <v>833</v>
      </c>
      <c r="E313" t="s">
        <v>17</v>
      </c>
      <c r="F313" t="s">
        <v>832</v>
      </c>
      <c r="G313" s="3">
        <v>21.41</v>
      </c>
      <c r="H313" s="3">
        <v>0</v>
      </c>
      <c r="I313" s="3">
        <v>21.41</v>
      </c>
      <c r="J313" s="3">
        <f>Table1[[#This Row],[قيمة الفاتورة]]*0.94-Table1[[#This Row],[قيمة المشاركة]]</f>
        <v>20.125399999999999</v>
      </c>
      <c r="L313" s="3" t="str">
        <f t="shared" si="4"/>
        <v/>
      </c>
      <c r="N313" t="s">
        <v>19</v>
      </c>
    </row>
    <row r="314" spans="1:14" x14ac:dyDescent="0.3">
      <c r="A314">
        <v>282</v>
      </c>
      <c r="B314" t="s">
        <v>834</v>
      </c>
      <c r="C314" t="s">
        <v>835</v>
      </c>
      <c r="D314" t="s">
        <v>836</v>
      </c>
      <c r="E314" t="s">
        <v>23</v>
      </c>
      <c r="F314" t="s">
        <v>837</v>
      </c>
      <c r="G314" s="3">
        <v>7.63</v>
      </c>
      <c r="H314" s="3">
        <v>0</v>
      </c>
      <c r="I314" s="3">
        <v>7.63</v>
      </c>
      <c r="J314" s="3">
        <f>Table1[[#This Row],[قيمة الفاتورة]]*0.94-Table1[[#This Row],[قيمة المشاركة]]</f>
        <v>7.1721999999999992</v>
      </c>
      <c r="L314" s="3" t="str">
        <f t="shared" si="4"/>
        <v/>
      </c>
      <c r="N314" t="s">
        <v>19</v>
      </c>
    </row>
    <row r="315" spans="1:14" x14ac:dyDescent="0.3">
      <c r="A315">
        <v>280</v>
      </c>
      <c r="B315" t="s">
        <v>838</v>
      </c>
      <c r="C315" t="s">
        <v>839</v>
      </c>
      <c r="D315" t="s">
        <v>840</v>
      </c>
      <c r="E315" t="s">
        <v>17</v>
      </c>
      <c r="F315" t="s">
        <v>837</v>
      </c>
      <c r="G315" s="3">
        <v>21.54</v>
      </c>
      <c r="H315" s="3">
        <v>3.2309999999999999</v>
      </c>
      <c r="I315" s="3">
        <v>18.309000000000001</v>
      </c>
      <c r="J315" s="3">
        <f>Table1[[#This Row],[قيمة الفاتورة]]*0.94-Table1[[#This Row],[قيمة المشاركة]]</f>
        <v>17.016599999999997</v>
      </c>
      <c r="L315" s="3" t="str">
        <f t="shared" si="4"/>
        <v/>
      </c>
      <c r="N315" t="s">
        <v>19</v>
      </c>
    </row>
    <row r="316" spans="1:14" x14ac:dyDescent="0.3">
      <c r="A316">
        <v>283</v>
      </c>
      <c r="B316" t="s">
        <v>419</v>
      </c>
      <c r="C316" t="s">
        <v>841</v>
      </c>
      <c r="D316" t="s">
        <v>842</v>
      </c>
      <c r="E316" t="s">
        <v>23</v>
      </c>
      <c r="F316" t="s">
        <v>837</v>
      </c>
      <c r="G316" s="3">
        <v>30.21</v>
      </c>
      <c r="H316" s="3">
        <v>0</v>
      </c>
      <c r="I316" s="3">
        <v>30.21</v>
      </c>
      <c r="J316" s="3">
        <f>Table1[[#This Row],[قيمة الفاتورة]]*0.94-Table1[[#This Row],[قيمة المشاركة]]</f>
        <v>28.397399999999998</v>
      </c>
      <c r="L316" s="3" t="str">
        <f t="shared" si="4"/>
        <v/>
      </c>
      <c r="N316" t="s">
        <v>19</v>
      </c>
    </row>
    <row r="317" spans="1:14" x14ac:dyDescent="0.3">
      <c r="A317">
        <v>284</v>
      </c>
      <c r="B317" t="s">
        <v>423</v>
      </c>
      <c r="C317" t="s">
        <v>424</v>
      </c>
      <c r="D317" t="s">
        <v>843</v>
      </c>
      <c r="E317" t="s">
        <v>23</v>
      </c>
      <c r="F317" t="s">
        <v>837</v>
      </c>
      <c r="G317" s="3">
        <v>30.55</v>
      </c>
      <c r="H317" s="3">
        <v>0</v>
      </c>
      <c r="I317" s="3">
        <v>30.55</v>
      </c>
      <c r="J317" s="3">
        <f>Table1[[#This Row],[قيمة الفاتورة]]*0.94-Table1[[#This Row],[قيمة المشاركة]]</f>
        <v>28.716999999999999</v>
      </c>
      <c r="L317" s="3" t="str">
        <f t="shared" si="4"/>
        <v/>
      </c>
      <c r="N317" t="s">
        <v>19</v>
      </c>
    </row>
    <row r="318" spans="1:14" x14ac:dyDescent="0.3">
      <c r="A318">
        <v>281</v>
      </c>
      <c r="B318" t="s">
        <v>844</v>
      </c>
      <c r="C318" t="s">
        <v>845</v>
      </c>
      <c r="D318" t="s">
        <v>846</v>
      </c>
      <c r="E318" t="s">
        <v>23</v>
      </c>
      <c r="F318" t="s">
        <v>837</v>
      </c>
      <c r="G318" s="3">
        <v>7.5</v>
      </c>
      <c r="H318" s="3">
        <v>1.125</v>
      </c>
      <c r="I318" s="3">
        <v>6.375</v>
      </c>
      <c r="J318" s="3">
        <f>Table1[[#This Row],[قيمة الفاتورة]]*0.94-Table1[[#This Row],[قيمة المشاركة]]</f>
        <v>5.9249999999999998</v>
      </c>
      <c r="L318" s="3" t="str">
        <f t="shared" si="4"/>
        <v/>
      </c>
      <c r="N318" t="s">
        <v>19</v>
      </c>
    </row>
    <row r="319" spans="1:14" x14ac:dyDescent="0.3">
      <c r="A319">
        <v>34</v>
      </c>
      <c r="B319" t="s">
        <v>838</v>
      </c>
      <c r="C319" t="s">
        <v>839</v>
      </c>
      <c r="D319" t="s">
        <v>840</v>
      </c>
      <c r="E319" t="s">
        <v>23</v>
      </c>
      <c r="F319" t="s">
        <v>837</v>
      </c>
      <c r="G319" s="3">
        <v>7.31</v>
      </c>
      <c r="H319" s="3">
        <v>1.0960000000000001</v>
      </c>
      <c r="I319" s="3">
        <v>6.2140000000000004</v>
      </c>
      <c r="J319" s="3">
        <f>Table1[[#This Row],[قيمة الفاتورة]]*0.94-Table1[[#This Row],[قيمة المشاركة]]</f>
        <v>5.7753999999999994</v>
      </c>
      <c r="L319" s="3" t="str">
        <f t="shared" si="4"/>
        <v/>
      </c>
      <c r="N319" t="s">
        <v>19</v>
      </c>
    </row>
    <row r="320" spans="1:14" x14ac:dyDescent="0.3">
      <c r="A320">
        <v>286</v>
      </c>
      <c r="B320" t="s">
        <v>652</v>
      </c>
      <c r="C320" t="s">
        <v>847</v>
      </c>
      <c r="D320" t="s">
        <v>848</v>
      </c>
      <c r="E320" t="s">
        <v>17</v>
      </c>
      <c r="F320" t="s">
        <v>849</v>
      </c>
      <c r="G320" s="3">
        <v>40.96</v>
      </c>
      <c r="H320" s="3">
        <v>0</v>
      </c>
      <c r="I320" s="3">
        <v>40.96</v>
      </c>
      <c r="J320" s="3">
        <f>Table1[[#This Row],[قيمة الفاتورة]]*0.94-Table1[[#This Row],[قيمة المشاركة]]</f>
        <v>38.502400000000002</v>
      </c>
      <c r="L320" s="3" t="str">
        <f t="shared" si="4"/>
        <v/>
      </c>
      <c r="N320" t="s">
        <v>19</v>
      </c>
    </row>
    <row r="321" spans="1:14" x14ac:dyDescent="0.3">
      <c r="A321">
        <v>288</v>
      </c>
      <c r="B321" t="s">
        <v>249</v>
      </c>
      <c r="C321" t="s">
        <v>250</v>
      </c>
      <c r="D321" t="s">
        <v>850</v>
      </c>
      <c r="E321" t="s">
        <v>17</v>
      </c>
      <c r="F321" t="s">
        <v>849</v>
      </c>
      <c r="G321" s="3">
        <v>25.27</v>
      </c>
      <c r="H321" s="3">
        <v>0</v>
      </c>
      <c r="I321" s="3">
        <v>25.27</v>
      </c>
      <c r="J321" s="3">
        <f>Table1[[#This Row],[قيمة الفاتورة]]*0.94-Table1[[#This Row],[قيمة المشاركة]]</f>
        <v>23.753799999999998</v>
      </c>
      <c r="L321" s="3" t="str">
        <f t="shared" si="4"/>
        <v/>
      </c>
      <c r="N321" t="s">
        <v>19</v>
      </c>
    </row>
    <row r="322" spans="1:14" x14ac:dyDescent="0.3">
      <c r="A322">
        <v>285</v>
      </c>
      <c r="B322" t="s">
        <v>851</v>
      </c>
      <c r="C322" t="s">
        <v>852</v>
      </c>
      <c r="D322" t="s">
        <v>853</v>
      </c>
      <c r="E322" t="s">
        <v>23</v>
      </c>
      <c r="F322" t="s">
        <v>849</v>
      </c>
      <c r="G322" s="3">
        <v>18.23</v>
      </c>
      <c r="H322" s="3">
        <v>0</v>
      </c>
      <c r="I322" s="3">
        <v>18.23</v>
      </c>
      <c r="J322" s="3">
        <f>Table1[[#This Row],[قيمة الفاتورة]]*0.94-Table1[[#This Row],[قيمة المشاركة]]</f>
        <v>17.136199999999999</v>
      </c>
      <c r="L322" s="3" t="str">
        <f t="shared" ref="L322:L385" si="5">IF(ISNUMBER(K322), J322-K322, "")</f>
        <v/>
      </c>
      <c r="N322" t="s">
        <v>19</v>
      </c>
    </row>
    <row r="323" spans="1:14" x14ac:dyDescent="0.3">
      <c r="A323">
        <v>287</v>
      </c>
      <c r="B323" t="s">
        <v>854</v>
      </c>
      <c r="C323" t="s">
        <v>855</v>
      </c>
      <c r="D323" t="s">
        <v>856</v>
      </c>
      <c r="E323" t="s">
        <v>23</v>
      </c>
      <c r="F323" t="s">
        <v>849</v>
      </c>
      <c r="G323" s="3">
        <v>26.97</v>
      </c>
      <c r="H323" s="3">
        <v>0</v>
      </c>
      <c r="I323" s="3">
        <v>26.97</v>
      </c>
      <c r="J323" s="3">
        <f>Table1[[#This Row],[قيمة الفاتورة]]*0.94-Table1[[#This Row],[قيمة المشاركة]]</f>
        <v>25.351799999999997</v>
      </c>
      <c r="L323" s="3" t="str">
        <f t="shared" si="5"/>
        <v/>
      </c>
      <c r="N323" t="s">
        <v>19</v>
      </c>
    </row>
    <row r="324" spans="1:14" x14ac:dyDescent="0.3">
      <c r="A324">
        <v>35</v>
      </c>
      <c r="B324" t="s">
        <v>809</v>
      </c>
      <c r="C324" t="s">
        <v>810</v>
      </c>
      <c r="D324" t="s">
        <v>857</v>
      </c>
      <c r="E324" t="s">
        <v>17</v>
      </c>
      <c r="F324" t="s">
        <v>849</v>
      </c>
      <c r="G324" s="3">
        <v>3.13</v>
      </c>
      <c r="H324" s="3">
        <v>0</v>
      </c>
      <c r="I324" s="3">
        <v>3.13</v>
      </c>
      <c r="J324" s="3">
        <f>Table1[[#This Row],[قيمة الفاتورة]]*0.94-Table1[[#This Row],[قيمة المشاركة]]</f>
        <v>2.9421999999999997</v>
      </c>
      <c r="L324" s="3" t="str">
        <f t="shared" si="5"/>
        <v/>
      </c>
      <c r="N324" t="s">
        <v>19</v>
      </c>
    </row>
    <row r="325" spans="1:14" x14ac:dyDescent="0.3">
      <c r="A325">
        <v>36</v>
      </c>
      <c r="B325" t="s">
        <v>704</v>
      </c>
      <c r="C325" t="s">
        <v>858</v>
      </c>
      <c r="D325" t="s">
        <v>859</v>
      </c>
      <c r="E325" t="s">
        <v>17</v>
      </c>
      <c r="F325" t="s">
        <v>849</v>
      </c>
      <c r="G325" s="3">
        <v>18.38</v>
      </c>
      <c r="H325" s="3">
        <v>0</v>
      </c>
      <c r="I325" s="3">
        <v>18.38</v>
      </c>
      <c r="J325" s="3">
        <f>Table1[[#This Row],[قيمة الفاتورة]]*0.94-Table1[[#This Row],[قيمة المشاركة]]</f>
        <v>17.277199999999997</v>
      </c>
      <c r="L325" s="3" t="str">
        <f t="shared" si="5"/>
        <v/>
      </c>
      <c r="N325" t="s">
        <v>19</v>
      </c>
    </row>
    <row r="326" spans="1:14" x14ac:dyDescent="0.3">
      <c r="A326">
        <v>37</v>
      </c>
      <c r="B326" t="s">
        <v>397</v>
      </c>
      <c r="C326" t="s">
        <v>860</v>
      </c>
      <c r="D326" t="s">
        <v>861</v>
      </c>
      <c r="E326" t="s">
        <v>23</v>
      </c>
      <c r="F326" t="s">
        <v>849</v>
      </c>
      <c r="G326" s="3">
        <v>27.63</v>
      </c>
      <c r="H326" s="3">
        <v>4.1440000000000001</v>
      </c>
      <c r="I326" s="3">
        <v>23.486000000000001</v>
      </c>
      <c r="J326" s="3">
        <f>Table1[[#This Row],[قيمة الفاتورة]]*0.94-Table1[[#This Row],[قيمة المشاركة]]</f>
        <v>21.828199999999995</v>
      </c>
      <c r="L326" s="3" t="str">
        <f t="shared" si="5"/>
        <v/>
      </c>
      <c r="N326" t="s">
        <v>19</v>
      </c>
    </row>
    <row r="327" spans="1:14" x14ac:dyDescent="0.3">
      <c r="A327">
        <v>38</v>
      </c>
      <c r="B327" t="s">
        <v>464</v>
      </c>
      <c r="C327" t="s">
        <v>862</v>
      </c>
      <c r="D327" t="s">
        <v>863</v>
      </c>
      <c r="E327" t="s">
        <v>23</v>
      </c>
      <c r="F327" t="s">
        <v>849</v>
      </c>
      <c r="G327" s="3">
        <v>8.91</v>
      </c>
      <c r="H327" s="3">
        <v>0</v>
      </c>
      <c r="I327" s="3">
        <v>8.91</v>
      </c>
      <c r="J327" s="3">
        <f>Table1[[#This Row],[قيمة الفاتورة]]*0.94-Table1[[#This Row],[قيمة المشاركة]]</f>
        <v>8.3753999999999991</v>
      </c>
      <c r="L327" s="3" t="str">
        <f t="shared" si="5"/>
        <v/>
      </c>
      <c r="N327" t="s">
        <v>19</v>
      </c>
    </row>
    <row r="328" spans="1:14" x14ac:dyDescent="0.3">
      <c r="A328">
        <v>292</v>
      </c>
      <c r="B328" t="s">
        <v>864</v>
      </c>
      <c r="C328" t="s">
        <v>92</v>
      </c>
      <c r="D328" t="s">
        <v>865</v>
      </c>
      <c r="E328" t="s">
        <v>23</v>
      </c>
      <c r="F328" t="s">
        <v>866</v>
      </c>
      <c r="G328" s="3">
        <v>17.329999999999998</v>
      </c>
      <c r="H328" s="3">
        <v>0</v>
      </c>
      <c r="I328" s="3">
        <v>17.329999999999998</v>
      </c>
      <c r="J328" s="3">
        <f>Table1[[#This Row],[قيمة الفاتورة]]*0.94-Table1[[#This Row],[قيمة المشاركة]]</f>
        <v>16.290199999999999</v>
      </c>
      <c r="L328" s="3" t="str">
        <f t="shared" si="5"/>
        <v/>
      </c>
      <c r="N328" t="s">
        <v>19</v>
      </c>
    </row>
    <row r="329" spans="1:14" x14ac:dyDescent="0.3">
      <c r="A329">
        <v>291</v>
      </c>
      <c r="B329" t="s">
        <v>867</v>
      </c>
      <c r="C329" t="s">
        <v>868</v>
      </c>
      <c r="D329" t="s">
        <v>869</v>
      </c>
      <c r="E329" t="s">
        <v>17</v>
      </c>
      <c r="F329" t="s">
        <v>866</v>
      </c>
      <c r="G329" s="3">
        <v>13.94</v>
      </c>
      <c r="H329" s="3">
        <v>0</v>
      </c>
      <c r="I329" s="3">
        <v>13.94</v>
      </c>
      <c r="J329" s="3">
        <f>Table1[[#This Row],[قيمة الفاتورة]]*0.94-Table1[[#This Row],[قيمة المشاركة]]</f>
        <v>13.103599999999998</v>
      </c>
      <c r="L329" s="3" t="str">
        <f t="shared" si="5"/>
        <v/>
      </c>
      <c r="N329" t="s">
        <v>19</v>
      </c>
    </row>
    <row r="330" spans="1:14" x14ac:dyDescent="0.3">
      <c r="A330">
        <v>290</v>
      </c>
      <c r="B330" t="s">
        <v>870</v>
      </c>
      <c r="C330" t="s">
        <v>871</v>
      </c>
      <c r="D330" t="s">
        <v>872</v>
      </c>
      <c r="E330" t="s">
        <v>17</v>
      </c>
      <c r="F330" t="s">
        <v>866</v>
      </c>
      <c r="G330" s="3">
        <v>8.74</v>
      </c>
      <c r="H330" s="3">
        <v>0</v>
      </c>
      <c r="I330" s="3">
        <v>8.74</v>
      </c>
      <c r="J330" s="3">
        <f>Table1[[#This Row],[قيمة الفاتورة]]*0.94-Table1[[#This Row],[قيمة المشاركة]]</f>
        <v>8.2156000000000002</v>
      </c>
      <c r="L330" s="3" t="str">
        <f t="shared" si="5"/>
        <v/>
      </c>
      <c r="N330" t="s">
        <v>19</v>
      </c>
    </row>
    <row r="331" spans="1:14" x14ac:dyDescent="0.3">
      <c r="A331">
        <v>289</v>
      </c>
      <c r="B331" t="s">
        <v>873</v>
      </c>
      <c r="C331" t="s">
        <v>874</v>
      </c>
      <c r="D331" t="s">
        <v>203</v>
      </c>
      <c r="E331" t="s">
        <v>17</v>
      </c>
      <c r="F331" t="s">
        <v>866</v>
      </c>
      <c r="G331" s="3">
        <v>54.75</v>
      </c>
      <c r="H331" s="3">
        <v>0</v>
      </c>
      <c r="I331" s="3">
        <v>54.75</v>
      </c>
      <c r="J331" s="3">
        <f>Table1[[#This Row],[قيمة الفاتورة]]*0.94-Table1[[#This Row],[قيمة المشاركة]]</f>
        <v>51.464999999999996</v>
      </c>
      <c r="L331" s="3" t="str">
        <f t="shared" si="5"/>
        <v/>
      </c>
    </row>
    <row r="332" spans="1:14" x14ac:dyDescent="0.3">
      <c r="A332">
        <v>39</v>
      </c>
      <c r="B332" t="s">
        <v>379</v>
      </c>
      <c r="C332" t="s">
        <v>380</v>
      </c>
      <c r="D332" t="s">
        <v>875</v>
      </c>
      <c r="E332" t="s">
        <v>17</v>
      </c>
      <c r="F332" t="s">
        <v>866</v>
      </c>
      <c r="G332" s="3">
        <v>18.54</v>
      </c>
      <c r="H332" s="3">
        <v>0</v>
      </c>
      <c r="I332" s="3">
        <v>18.54</v>
      </c>
      <c r="J332" s="3">
        <f>Table1[[#This Row],[قيمة الفاتورة]]*0.94-Table1[[#This Row],[قيمة المشاركة]]</f>
        <v>17.427599999999998</v>
      </c>
      <c r="L332" s="3" t="str">
        <f t="shared" si="5"/>
        <v/>
      </c>
      <c r="N332" t="s">
        <v>19</v>
      </c>
    </row>
    <row r="333" spans="1:14" x14ac:dyDescent="0.3">
      <c r="A333">
        <v>40</v>
      </c>
      <c r="B333" t="s">
        <v>876</v>
      </c>
      <c r="C333" t="s">
        <v>877</v>
      </c>
      <c r="D333" t="s">
        <v>878</v>
      </c>
      <c r="E333" t="s">
        <v>17</v>
      </c>
      <c r="F333" t="s">
        <v>866</v>
      </c>
      <c r="G333" s="3">
        <v>14.44</v>
      </c>
      <c r="H333" s="3">
        <v>0</v>
      </c>
      <c r="I333" s="3">
        <v>14.44</v>
      </c>
      <c r="J333" s="3">
        <f>Table1[[#This Row],[قيمة الفاتورة]]*0.94-Table1[[#This Row],[قيمة المشاركة]]</f>
        <v>13.573599999999999</v>
      </c>
      <c r="L333" s="3" t="str">
        <f t="shared" si="5"/>
        <v/>
      </c>
      <c r="N333" t="s">
        <v>19</v>
      </c>
    </row>
    <row r="334" spans="1:14" x14ac:dyDescent="0.3">
      <c r="A334">
        <v>41</v>
      </c>
      <c r="B334" t="s">
        <v>851</v>
      </c>
      <c r="C334" t="s">
        <v>879</v>
      </c>
      <c r="D334" t="s">
        <v>853</v>
      </c>
      <c r="E334" t="s">
        <v>23</v>
      </c>
      <c r="F334" t="s">
        <v>866</v>
      </c>
      <c r="G334" s="3">
        <v>5.31</v>
      </c>
      <c r="H334" s="3">
        <v>0</v>
      </c>
      <c r="I334" s="3">
        <v>5.31</v>
      </c>
      <c r="J334" s="3">
        <f>Table1[[#This Row],[قيمة الفاتورة]]*0.94-Table1[[#This Row],[قيمة المشاركة]]</f>
        <v>4.9913999999999996</v>
      </c>
      <c r="L334" s="3" t="str">
        <f t="shared" si="5"/>
        <v/>
      </c>
      <c r="N334" t="s">
        <v>19</v>
      </c>
    </row>
    <row r="335" spans="1:14" x14ac:dyDescent="0.3">
      <c r="A335">
        <v>295</v>
      </c>
      <c r="B335" t="s">
        <v>324</v>
      </c>
      <c r="C335" t="s">
        <v>325</v>
      </c>
      <c r="D335" t="s">
        <v>880</v>
      </c>
      <c r="E335" t="s">
        <v>17</v>
      </c>
      <c r="F335" t="s">
        <v>881</v>
      </c>
      <c r="G335" s="3">
        <v>14.31</v>
      </c>
      <c r="H335" s="3">
        <v>2.8620000000000001</v>
      </c>
      <c r="I335" s="3">
        <v>11.448</v>
      </c>
      <c r="J335" s="3">
        <f>Table1[[#This Row],[قيمة الفاتورة]]*0.94-Table1[[#This Row],[قيمة المشاركة]]</f>
        <v>10.589399999999999</v>
      </c>
      <c r="L335" s="3" t="str">
        <f t="shared" si="5"/>
        <v/>
      </c>
      <c r="N335" t="s">
        <v>328</v>
      </c>
    </row>
    <row r="336" spans="1:14" x14ac:dyDescent="0.3">
      <c r="A336">
        <v>294</v>
      </c>
      <c r="B336" t="s">
        <v>882</v>
      </c>
      <c r="C336" t="s">
        <v>883</v>
      </c>
      <c r="D336" t="s">
        <v>884</v>
      </c>
      <c r="E336" t="s">
        <v>17</v>
      </c>
      <c r="F336" t="s">
        <v>881</v>
      </c>
      <c r="G336" s="3">
        <v>30.56</v>
      </c>
      <c r="H336" s="3">
        <v>0</v>
      </c>
      <c r="I336" s="3">
        <v>30.56</v>
      </c>
      <c r="J336" s="3">
        <f>Table1[[#This Row],[قيمة الفاتورة]]*0.94-Table1[[#This Row],[قيمة المشاركة]]</f>
        <v>28.726399999999998</v>
      </c>
      <c r="L336" s="3" t="str">
        <f t="shared" si="5"/>
        <v/>
      </c>
      <c r="N336" t="s">
        <v>19</v>
      </c>
    </row>
    <row r="337" spans="1:14" x14ac:dyDescent="0.3">
      <c r="A337">
        <v>293</v>
      </c>
      <c r="B337" t="s">
        <v>885</v>
      </c>
      <c r="C337" t="s">
        <v>886</v>
      </c>
      <c r="D337" t="s">
        <v>887</v>
      </c>
      <c r="E337" t="s">
        <v>17</v>
      </c>
      <c r="F337" t="s">
        <v>881</v>
      </c>
      <c r="G337" s="3">
        <v>20.78</v>
      </c>
      <c r="H337" s="3">
        <v>0</v>
      </c>
      <c r="I337" s="3">
        <v>20.78</v>
      </c>
      <c r="J337" s="3">
        <f>Table1[[#This Row],[قيمة الفاتورة]]*0.94-Table1[[#This Row],[قيمة المشاركة]]</f>
        <v>19.533200000000001</v>
      </c>
      <c r="L337" s="3" t="str">
        <f t="shared" si="5"/>
        <v/>
      </c>
      <c r="N337" t="s">
        <v>19</v>
      </c>
    </row>
    <row r="338" spans="1:14" x14ac:dyDescent="0.3">
      <c r="A338">
        <v>42</v>
      </c>
      <c r="B338" t="s">
        <v>885</v>
      </c>
      <c r="C338" t="s">
        <v>886</v>
      </c>
      <c r="D338" t="s">
        <v>887</v>
      </c>
      <c r="E338" t="s">
        <v>17</v>
      </c>
      <c r="F338" t="s">
        <v>881</v>
      </c>
      <c r="G338" s="3">
        <v>6.05</v>
      </c>
      <c r="H338" s="3">
        <v>0</v>
      </c>
      <c r="I338" s="3">
        <v>6.05</v>
      </c>
      <c r="J338" s="3">
        <f>Table1[[#This Row],[قيمة الفاتورة]]*0.94-Table1[[#This Row],[قيمة المشاركة]]</f>
        <v>5.6869999999999994</v>
      </c>
      <c r="L338" s="3" t="str">
        <f t="shared" si="5"/>
        <v/>
      </c>
      <c r="N338" t="s">
        <v>19</v>
      </c>
    </row>
    <row r="339" spans="1:14" x14ac:dyDescent="0.3">
      <c r="A339">
        <v>298</v>
      </c>
      <c r="B339" t="s">
        <v>888</v>
      </c>
      <c r="C339" t="s">
        <v>207</v>
      </c>
      <c r="D339" t="s">
        <v>889</v>
      </c>
      <c r="E339" t="s">
        <v>23</v>
      </c>
      <c r="F339" t="s">
        <v>890</v>
      </c>
      <c r="G339" s="3">
        <v>9.25</v>
      </c>
      <c r="H339" s="3">
        <v>0</v>
      </c>
      <c r="I339" s="3">
        <v>9.25</v>
      </c>
      <c r="J339" s="3">
        <f>Table1[[#This Row],[قيمة الفاتورة]]*0.94-Table1[[#This Row],[قيمة المشاركة]]</f>
        <v>8.6950000000000003</v>
      </c>
      <c r="L339" s="3" t="str">
        <f t="shared" si="5"/>
        <v/>
      </c>
      <c r="N339" t="s">
        <v>19</v>
      </c>
    </row>
    <row r="340" spans="1:14" x14ac:dyDescent="0.3">
      <c r="A340">
        <v>297</v>
      </c>
      <c r="B340" t="s">
        <v>891</v>
      </c>
      <c r="C340" t="s">
        <v>892</v>
      </c>
      <c r="D340" t="s">
        <v>893</v>
      </c>
      <c r="E340" t="s">
        <v>17</v>
      </c>
      <c r="F340" t="s">
        <v>890</v>
      </c>
      <c r="G340" s="3">
        <v>20.48</v>
      </c>
      <c r="H340" s="3">
        <v>3.0720000000000001</v>
      </c>
      <c r="I340" s="3">
        <v>17.408000000000001</v>
      </c>
      <c r="J340" s="3">
        <f>Table1[[#This Row],[قيمة الفاتورة]]*0.94-Table1[[#This Row],[قيمة المشاركة]]</f>
        <v>16.179200000000002</v>
      </c>
      <c r="L340" s="3" t="str">
        <f t="shared" si="5"/>
        <v/>
      </c>
      <c r="N340" t="s">
        <v>19</v>
      </c>
    </row>
    <row r="341" spans="1:14" x14ac:dyDescent="0.3">
      <c r="A341">
        <v>296</v>
      </c>
      <c r="B341" t="s">
        <v>838</v>
      </c>
      <c r="C341" t="s">
        <v>839</v>
      </c>
      <c r="D341" t="s">
        <v>894</v>
      </c>
      <c r="E341" t="s">
        <v>23</v>
      </c>
      <c r="F341" t="s">
        <v>890</v>
      </c>
      <c r="G341" s="3">
        <v>16.16</v>
      </c>
      <c r="H341" s="3">
        <v>2.4239999999999999</v>
      </c>
      <c r="I341" s="3">
        <v>13.736000000000001</v>
      </c>
      <c r="J341" s="3">
        <f>Table1[[#This Row],[قيمة الفاتورة]]*0.94-Table1[[#This Row],[قيمة المشاركة]]</f>
        <v>12.766399999999999</v>
      </c>
      <c r="L341" s="3" t="str">
        <f t="shared" si="5"/>
        <v/>
      </c>
      <c r="N341" t="s">
        <v>19</v>
      </c>
    </row>
    <row r="342" spans="1:14" x14ac:dyDescent="0.3">
      <c r="A342">
        <v>43</v>
      </c>
      <c r="B342" t="s">
        <v>619</v>
      </c>
      <c r="C342" t="s">
        <v>620</v>
      </c>
      <c r="D342" t="s">
        <v>895</v>
      </c>
      <c r="E342" t="s">
        <v>17</v>
      </c>
      <c r="F342" t="s">
        <v>890</v>
      </c>
      <c r="G342" s="3">
        <v>7.62</v>
      </c>
      <c r="H342" s="3">
        <v>0</v>
      </c>
      <c r="I342" s="3">
        <v>7.62</v>
      </c>
      <c r="J342" s="3">
        <f>Table1[[#This Row],[قيمة الفاتورة]]*0.94-Table1[[#This Row],[قيمة المشاركة]]</f>
        <v>7.1627999999999998</v>
      </c>
      <c r="L342" s="3" t="str">
        <f t="shared" si="5"/>
        <v/>
      </c>
      <c r="N342" t="s">
        <v>19</v>
      </c>
    </row>
    <row r="343" spans="1:14" x14ac:dyDescent="0.3">
      <c r="A343">
        <v>44</v>
      </c>
      <c r="B343" t="s">
        <v>619</v>
      </c>
      <c r="C343" t="s">
        <v>620</v>
      </c>
      <c r="D343" t="s">
        <v>895</v>
      </c>
      <c r="E343" t="s">
        <v>17</v>
      </c>
      <c r="F343" t="s">
        <v>890</v>
      </c>
      <c r="G343" s="3">
        <v>16.98</v>
      </c>
      <c r="H343" s="3">
        <v>0</v>
      </c>
      <c r="I343" s="3">
        <v>16.98</v>
      </c>
      <c r="J343" s="3">
        <f>Table1[[#This Row],[قيمة الفاتورة]]*0.94-Table1[[#This Row],[قيمة المشاركة]]</f>
        <v>15.9612</v>
      </c>
      <c r="L343" s="3" t="str">
        <f t="shared" si="5"/>
        <v/>
      </c>
      <c r="N343" t="s">
        <v>19</v>
      </c>
    </row>
    <row r="344" spans="1:14" x14ac:dyDescent="0.3">
      <c r="A344">
        <v>303</v>
      </c>
      <c r="B344" t="s">
        <v>127</v>
      </c>
      <c r="C344" t="s">
        <v>128</v>
      </c>
      <c r="D344" t="s">
        <v>896</v>
      </c>
      <c r="E344" t="s">
        <v>23</v>
      </c>
      <c r="F344" t="s">
        <v>897</v>
      </c>
      <c r="G344" s="3">
        <v>15.11</v>
      </c>
      <c r="H344" s="3">
        <v>1.5109999999999999</v>
      </c>
      <c r="I344" s="3">
        <v>13.599</v>
      </c>
      <c r="J344" s="3">
        <f>Table1[[#This Row],[قيمة الفاتورة]]*0.94-Table1[[#This Row],[قيمة المشاركة]]</f>
        <v>12.692399999999999</v>
      </c>
      <c r="K344">
        <v>12.692</v>
      </c>
      <c r="L344" s="3">
        <f t="shared" si="5"/>
        <v>3.9999999999906777E-4</v>
      </c>
      <c r="M344" t="s">
        <v>436</v>
      </c>
      <c r="N344" t="s">
        <v>126</v>
      </c>
    </row>
    <row r="345" spans="1:14" x14ac:dyDescent="0.3">
      <c r="A345">
        <v>302</v>
      </c>
      <c r="B345" t="s">
        <v>898</v>
      </c>
      <c r="C345" t="s">
        <v>899</v>
      </c>
      <c r="D345" t="s">
        <v>900</v>
      </c>
      <c r="E345" t="s">
        <v>17</v>
      </c>
      <c r="F345" t="s">
        <v>897</v>
      </c>
      <c r="G345" s="3">
        <v>74.28</v>
      </c>
      <c r="H345" s="3">
        <v>7.4279999999999999</v>
      </c>
      <c r="I345" s="3">
        <v>66.852000000000004</v>
      </c>
      <c r="J345" s="3">
        <f>Table1[[#This Row],[قيمة الفاتورة]]*0.94-Table1[[#This Row],[قيمة المشاركة]]</f>
        <v>62.395200000000003</v>
      </c>
      <c r="L345" s="3" t="str">
        <f t="shared" si="5"/>
        <v/>
      </c>
      <c r="N345" t="s">
        <v>328</v>
      </c>
    </row>
    <row r="346" spans="1:14" x14ac:dyDescent="0.3">
      <c r="A346">
        <v>304</v>
      </c>
      <c r="B346" t="s">
        <v>901</v>
      </c>
      <c r="C346" t="s">
        <v>902</v>
      </c>
      <c r="D346" t="s">
        <v>903</v>
      </c>
      <c r="E346" t="s">
        <v>23</v>
      </c>
      <c r="F346" t="s">
        <v>897</v>
      </c>
      <c r="G346" s="3">
        <v>25.16</v>
      </c>
      <c r="H346" s="3">
        <v>0</v>
      </c>
      <c r="I346" s="3">
        <v>25.16</v>
      </c>
      <c r="J346" s="3">
        <f>Table1[[#This Row],[قيمة الفاتورة]]*0.94-Table1[[#This Row],[قيمة المشاركة]]</f>
        <v>23.650399999999998</v>
      </c>
      <c r="L346" s="3" t="str">
        <f t="shared" si="5"/>
        <v/>
      </c>
      <c r="N346" t="s">
        <v>19</v>
      </c>
    </row>
    <row r="347" spans="1:14" x14ac:dyDescent="0.3">
      <c r="A347">
        <v>301</v>
      </c>
      <c r="B347" t="s">
        <v>414</v>
      </c>
      <c r="C347" t="s">
        <v>415</v>
      </c>
      <c r="D347" t="s">
        <v>904</v>
      </c>
      <c r="E347" t="s">
        <v>17</v>
      </c>
      <c r="F347" t="s">
        <v>897</v>
      </c>
      <c r="G347" s="3">
        <v>14.37</v>
      </c>
      <c r="H347" s="3">
        <v>0</v>
      </c>
      <c r="I347" s="3">
        <v>14.37</v>
      </c>
      <c r="J347" s="3">
        <f>Table1[[#This Row],[قيمة الفاتورة]]*0.94-Table1[[#This Row],[قيمة المشاركة]]</f>
        <v>13.507799999999998</v>
      </c>
      <c r="L347" s="3" t="str">
        <f t="shared" si="5"/>
        <v/>
      </c>
      <c r="N347" t="s">
        <v>19</v>
      </c>
    </row>
    <row r="348" spans="1:14" x14ac:dyDescent="0.3">
      <c r="A348">
        <v>300</v>
      </c>
      <c r="B348" t="s">
        <v>905</v>
      </c>
      <c r="C348" t="s">
        <v>906</v>
      </c>
      <c r="D348" t="s">
        <v>907</v>
      </c>
      <c r="E348" t="s">
        <v>17</v>
      </c>
      <c r="F348" t="s">
        <v>897</v>
      </c>
      <c r="G348" s="3">
        <v>6.25</v>
      </c>
      <c r="H348" s="3">
        <v>0</v>
      </c>
      <c r="I348" s="3">
        <v>6.25</v>
      </c>
      <c r="J348" s="3">
        <f>Table1[[#This Row],[قيمة الفاتورة]]*0.94-Table1[[#This Row],[قيمة المشاركة]]</f>
        <v>5.875</v>
      </c>
      <c r="L348" s="3" t="str">
        <f t="shared" si="5"/>
        <v/>
      </c>
      <c r="N348" t="s">
        <v>19</v>
      </c>
    </row>
    <row r="349" spans="1:14" x14ac:dyDescent="0.3">
      <c r="A349">
        <v>299</v>
      </c>
      <c r="B349" t="s">
        <v>908</v>
      </c>
      <c r="C349" t="s">
        <v>909</v>
      </c>
      <c r="D349" t="s">
        <v>910</v>
      </c>
      <c r="E349" t="s">
        <v>17</v>
      </c>
      <c r="F349" t="s">
        <v>897</v>
      </c>
      <c r="G349" s="3">
        <v>28.95</v>
      </c>
      <c r="H349" s="3">
        <v>0</v>
      </c>
      <c r="I349" s="3">
        <v>28.95</v>
      </c>
      <c r="J349" s="3">
        <f>Table1[[#This Row],[قيمة الفاتورة]]*0.94-Table1[[#This Row],[قيمة المشاركة]]</f>
        <v>27.212999999999997</v>
      </c>
      <c r="L349" s="3" t="str">
        <f t="shared" si="5"/>
        <v/>
      </c>
      <c r="N349" t="s">
        <v>19</v>
      </c>
    </row>
    <row r="350" spans="1:14" x14ac:dyDescent="0.3">
      <c r="A350">
        <v>45</v>
      </c>
      <c r="B350" t="s">
        <v>905</v>
      </c>
      <c r="C350" t="s">
        <v>906</v>
      </c>
      <c r="D350" t="s">
        <v>539</v>
      </c>
      <c r="E350" t="s">
        <v>17</v>
      </c>
      <c r="F350" t="s">
        <v>897</v>
      </c>
      <c r="G350" s="3">
        <v>2.1</v>
      </c>
      <c r="H350" s="3">
        <v>0</v>
      </c>
      <c r="I350" s="3">
        <v>2.1</v>
      </c>
      <c r="J350" s="3">
        <f>Table1[[#This Row],[قيمة الفاتورة]]*0.94-Table1[[#This Row],[قيمة المشاركة]]</f>
        <v>1.974</v>
      </c>
      <c r="L350" s="3" t="str">
        <f t="shared" si="5"/>
        <v/>
      </c>
      <c r="N350" t="s">
        <v>19</v>
      </c>
    </row>
    <row r="351" spans="1:14" x14ac:dyDescent="0.3">
      <c r="A351">
        <v>46</v>
      </c>
      <c r="B351" t="s">
        <v>576</v>
      </c>
      <c r="C351" t="s">
        <v>911</v>
      </c>
      <c r="D351" t="s">
        <v>912</v>
      </c>
      <c r="E351" t="s">
        <v>23</v>
      </c>
      <c r="F351" t="s">
        <v>897</v>
      </c>
      <c r="G351" s="3">
        <v>14.47</v>
      </c>
      <c r="H351" s="3">
        <v>0</v>
      </c>
      <c r="I351" s="3">
        <v>14.47</v>
      </c>
      <c r="J351" s="3">
        <f>Table1[[#This Row],[قيمة الفاتورة]]*0.94-Table1[[#This Row],[قيمة المشاركة]]</f>
        <v>13.601799999999999</v>
      </c>
      <c r="L351" s="3" t="str">
        <f t="shared" si="5"/>
        <v/>
      </c>
      <c r="N351" t="s">
        <v>19</v>
      </c>
    </row>
    <row r="352" spans="1:14" x14ac:dyDescent="0.3">
      <c r="A352">
        <v>47</v>
      </c>
      <c r="B352" t="s">
        <v>532</v>
      </c>
      <c r="C352" t="s">
        <v>913</v>
      </c>
      <c r="D352" t="s">
        <v>914</v>
      </c>
      <c r="E352" t="s">
        <v>23</v>
      </c>
      <c r="F352" t="s">
        <v>897</v>
      </c>
      <c r="G352" s="3">
        <v>14.33</v>
      </c>
      <c r="H352" s="3">
        <v>0</v>
      </c>
      <c r="I352" s="3">
        <v>14.33</v>
      </c>
      <c r="J352" s="3">
        <f>Table1[[#This Row],[قيمة الفاتورة]]*0.94-Table1[[#This Row],[قيمة المشاركة]]</f>
        <v>13.4702</v>
      </c>
      <c r="L352" s="3" t="str">
        <f t="shared" si="5"/>
        <v/>
      </c>
      <c r="N352" t="s">
        <v>19</v>
      </c>
    </row>
    <row r="353" spans="1:14" x14ac:dyDescent="0.3">
      <c r="A353">
        <v>305</v>
      </c>
      <c r="B353" t="s">
        <v>36</v>
      </c>
      <c r="C353" t="s">
        <v>37</v>
      </c>
      <c r="D353" t="s">
        <v>915</v>
      </c>
      <c r="E353" t="s">
        <v>23</v>
      </c>
      <c r="F353" t="s">
        <v>916</v>
      </c>
      <c r="G353" s="3">
        <v>3.06</v>
      </c>
      <c r="H353" s="3">
        <v>0.45900000000000002</v>
      </c>
      <c r="I353" s="3">
        <v>2.601</v>
      </c>
      <c r="J353" s="3">
        <f>Table1[[#This Row],[قيمة الفاتورة]]*0.94-Table1[[#This Row],[قيمة المشاركة]]</f>
        <v>2.4173999999999998</v>
      </c>
      <c r="L353" s="3" t="str">
        <f t="shared" si="5"/>
        <v/>
      </c>
      <c r="N353" t="s">
        <v>19</v>
      </c>
    </row>
    <row r="354" spans="1:14" x14ac:dyDescent="0.3">
      <c r="A354">
        <v>307</v>
      </c>
      <c r="B354" t="s">
        <v>917</v>
      </c>
      <c r="C354" t="s">
        <v>918</v>
      </c>
      <c r="D354" t="s">
        <v>919</v>
      </c>
      <c r="E354" t="s">
        <v>23</v>
      </c>
      <c r="F354" t="s">
        <v>916</v>
      </c>
      <c r="G354" s="3">
        <v>15.44</v>
      </c>
      <c r="H354" s="3">
        <v>0</v>
      </c>
      <c r="I354" s="3">
        <v>15.44</v>
      </c>
      <c r="J354" s="3">
        <f>Table1[[#This Row],[قيمة الفاتورة]]*0.94-Table1[[#This Row],[قيمة المشاركة]]</f>
        <v>14.513599999999999</v>
      </c>
      <c r="L354" s="3" t="str">
        <f t="shared" si="5"/>
        <v/>
      </c>
      <c r="N354" t="s">
        <v>19</v>
      </c>
    </row>
    <row r="355" spans="1:14" x14ac:dyDescent="0.3">
      <c r="A355">
        <v>306</v>
      </c>
      <c r="B355" t="s">
        <v>920</v>
      </c>
      <c r="C355" t="s">
        <v>921</v>
      </c>
      <c r="D355" t="s">
        <v>922</v>
      </c>
      <c r="E355" t="s">
        <v>23</v>
      </c>
      <c r="F355" t="s">
        <v>916</v>
      </c>
      <c r="G355" s="3">
        <v>6.51</v>
      </c>
      <c r="H355" s="3">
        <v>0</v>
      </c>
      <c r="I355" s="3">
        <v>6.51</v>
      </c>
      <c r="J355" s="3">
        <f>Table1[[#This Row],[قيمة الفاتورة]]*0.94-Table1[[#This Row],[قيمة المشاركة]]</f>
        <v>6.1193999999999997</v>
      </c>
      <c r="L355" s="3" t="str">
        <f t="shared" si="5"/>
        <v/>
      </c>
      <c r="N355" t="s">
        <v>19</v>
      </c>
    </row>
    <row r="356" spans="1:14" x14ac:dyDescent="0.3">
      <c r="A356">
        <v>310</v>
      </c>
      <c r="B356" t="s">
        <v>923</v>
      </c>
      <c r="C356" t="s">
        <v>924</v>
      </c>
      <c r="D356" t="s">
        <v>925</v>
      </c>
      <c r="E356" t="s">
        <v>23</v>
      </c>
      <c r="F356" t="s">
        <v>926</v>
      </c>
      <c r="G356" s="3">
        <v>11.66</v>
      </c>
      <c r="H356" s="3">
        <v>0</v>
      </c>
      <c r="I356" s="3">
        <v>11.66</v>
      </c>
      <c r="J356" s="3">
        <f>Table1[[#This Row],[قيمة الفاتورة]]*0.94-Table1[[#This Row],[قيمة المشاركة]]</f>
        <v>10.9604</v>
      </c>
      <c r="L356" s="3" t="str">
        <f t="shared" si="5"/>
        <v/>
      </c>
      <c r="N356" t="s">
        <v>19</v>
      </c>
    </row>
    <row r="357" spans="1:14" x14ac:dyDescent="0.3">
      <c r="A357">
        <v>309</v>
      </c>
      <c r="B357" t="s">
        <v>927</v>
      </c>
      <c r="C357" t="s">
        <v>928</v>
      </c>
      <c r="D357" t="s">
        <v>929</v>
      </c>
      <c r="E357" t="s">
        <v>23</v>
      </c>
      <c r="F357" t="s">
        <v>926</v>
      </c>
      <c r="G357" s="3">
        <v>11.23</v>
      </c>
      <c r="H357" s="3">
        <v>0</v>
      </c>
      <c r="I357" s="3">
        <v>11.23</v>
      </c>
      <c r="J357" s="3">
        <f>Table1[[#This Row],[قيمة الفاتورة]]*0.94-Table1[[#This Row],[قيمة المشاركة]]</f>
        <v>10.5562</v>
      </c>
      <c r="L357" s="3" t="str">
        <f t="shared" si="5"/>
        <v/>
      </c>
      <c r="N357" t="s">
        <v>19</v>
      </c>
    </row>
    <row r="358" spans="1:14" x14ac:dyDescent="0.3">
      <c r="A358">
        <v>308</v>
      </c>
      <c r="B358" t="s">
        <v>619</v>
      </c>
      <c r="C358" t="s">
        <v>620</v>
      </c>
      <c r="D358" t="s">
        <v>895</v>
      </c>
      <c r="E358" t="s">
        <v>17</v>
      </c>
      <c r="F358" t="s">
        <v>926</v>
      </c>
      <c r="G358" s="3">
        <v>4.3899999999999997</v>
      </c>
      <c r="H358" s="3">
        <v>0</v>
      </c>
      <c r="I358" s="3">
        <v>4.3899999999999997</v>
      </c>
      <c r="J358" s="3">
        <f>Table1[[#This Row],[قيمة الفاتورة]]*0.94-Table1[[#This Row],[قيمة المشاركة]]</f>
        <v>4.1265999999999998</v>
      </c>
      <c r="L358" s="3" t="str">
        <f t="shared" si="5"/>
        <v/>
      </c>
      <c r="N358" t="s">
        <v>19</v>
      </c>
    </row>
    <row r="359" spans="1:14" x14ac:dyDescent="0.3">
      <c r="A359">
        <v>312</v>
      </c>
      <c r="B359" t="s">
        <v>930</v>
      </c>
      <c r="C359" t="s">
        <v>931</v>
      </c>
      <c r="D359" t="s">
        <v>932</v>
      </c>
      <c r="E359" t="s">
        <v>23</v>
      </c>
      <c r="F359" t="s">
        <v>926</v>
      </c>
      <c r="G359" s="3">
        <v>3.82</v>
      </c>
      <c r="H359" s="3">
        <v>0</v>
      </c>
      <c r="I359" s="3">
        <v>3.82</v>
      </c>
      <c r="J359" s="3">
        <f>Table1[[#This Row],[قيمة الفاتورة]]*0.94-Table1[[#This Row],[قيمة المشاركة]]</f>
        <v>3.5907999999999998</v>
      </c>
      <c r="L359" s="3" t="str">
        <f t="shared" si="5"/>
        <v/>
      </c>
      <c r="N359" t="s">
        <v>19</v>
      </c>
    </row>
    <row r="360" spans="1:14" x14ac:dyDescent="0.3">
      <c r="A360">
        <v>311</v>
      </c>
      <c r="B360" t="s">
        <v>604</v>
      </c>
      <c r="C360" t="s">
        <v>933</v>
      </c>
      <c r="D360" t="s">
        <v>934</v>
      </c>
      <c r="E360" t="s">
        <v>23</v>
      </c>
      <c r="F360" t="s">
        <v>926</v>
      </c>
      <c r="G360" s="3">
        <v>3.56</v>
      </c>
      <c r="H360" s="3">
        <v>0</v>
      </c>
      <c r="I360" s="3">
        <v>3.56</v>
      </c>
      <c r="J360" s="3">
        <f>Table1[[#This Row],[قيمة الفاتورة]]*0.94-Table1[[#This Row],[قيمة المشاركة]]</f>
        <v>3.3464</v>
      </c>
      <c r="L360" s="3" t="str">
        <f t="shared" si="5"/>
        <v/>
      </c>
      <c r="N360" t="s">
        <v>19</v>
      </c>
    </row>
    <row r="361" spans="1:14" x14ac:dyDescent="0.3">
      <c r="A361">
        <v>48</v>
      </c>
      <c r="B361" t="s">
        <v>576</v>
      </c>
      <c r="C361" t="s">
        <v>146</v>
      </c>
      <c r="D361" t="s">
        <v>935</v>
      </c>
      <c r="E361" t="s">
        <v>17</v>
      </c>
      <c r="F361" t="s">
        <v>926</v>
      </c>
      <c r="G361" s="3">
        <v>15.97</v>
      </c>
      <c r="H361" s="3">
        <v>0</v>
      </c>
      <c r="I361" s="3">
        <v>15.97</v>
      </c>
      <c r="J361" s="3">
        <f>Table1[[#This Row],[قيمة الفاتورة]]*0.94-Table1[[#This Row],[قيمة المشاركة]]</f>
        <v>15.011799999999999</v>
      </c>
      <c r="L361" s="3" t="str">
        <f t="shared" si="5"/>
        <v/>
      </c>
      <c r="N361" t="s">
        <v>19</v>
      </c>
    </row>
    <row r="362" spans="1:14" x14ac:dyDescent="0.3">
      <c r="A362">
        <v>49</v>
      </c>
      <c r="B362" t="s">
        <v>876</v>
      </c>
      <c r="C362" t="s">
        <v>936</v>
      </c>
      <c r="D362" t="s">
        <v>937</v>
      </c>
      <c r="E362" t="s">
        <v>23</v>
      </c>
      <c r="F362" t="s">
        <v>926</v>
      </c>
      <c r="G362" s="3">
        <v>2.04</v>
      </c>
      <c r="H362" s="3">
        <v>0</v>
      </c>
      <c r="I362" s="3">
        <v>2.04</v>
      </c>
      <c r="J362" s="3">
        <f>Table1[[#This Row],[قيمة الفاتورة]]*0.94-Table1[[#This Row],[قيمة المشاركة]]</f>
        <v>1.9176</v>
      </c>
      <c r="L362" s="3" t="str">
        <f t="shared" si="5"/>
        <v/>
      </c>
      <c r="N362" t="s">
        <v>19</v>
      </c>
    </row>
    <row r="363" spans="1:14" x14ac:dyDescent="0.3">
      <c r="A363">
        <v>314</v>
      </c>
      <c r="B363" t="s">
        <v>938</v>
      </c>
      <c r="C363" t="s">
        <v>939</v>
      </c>
      <c r="D363" t="s">
        <v>940</v>
      </c>
      <c r="E363" t="s">
        <v>17</v>
      </c>
      <c r="F363" t="s">
        <v>941</v>
      </c>
      <c r="G363" s="3">
        <v>10.91</v>
      </c>
      <c r="H363" s="3">
        <v>0</v>
      </c>
      <c r="I363" s="3">
        <v>10.91</v>
      </c>
      <c r="J363" s="3">
        <f>Table1[[#This Row],[قيمة الفاتورة]]*0.94-Table1[[#This Row],[قيمة المشاركة]]</f>
        <v>10.2554</v>
      </c>
      <c r="L363" s="3" t="str">
        <f t="shared" si="5"/>
        <v/>
      </c>
      <c r="N363" t="s">
        <v>19</v>
      </c>
    </row>
    <row r="364" spans="1:14" x14ac:dyDescent="0.3">
      <c r="A364">
        <v>313</v>
      </c>
      <c r="B364" t="s">
        <v>942</v>
      </c>
      <c r="C364" t="s">
        <v>943</v>
      </c>
      <c r="D364" t="s">
        <v>944</v>
      </c>
      <c r="E364" t="s">
        <v>17</v>
      </c>
      <c r="F364" t="s">
        <v>941</v>
      </c>
      <c r="G364" s="3">
        <v>36.058999999999997</v>
      </c>
      <c r="H364" s="3">
        <v>0</v>
      </c>
      <c r="I364" s="3">
        <v>36.058999999999997</v>
      </c>
      <c r="J364" s="3">
        <f>Table1[[#This Row],[قيمة الفاتورة]]*0.94-Table1[[#This Row],[قيمة المشاركة]]</f>
        <v>33.895459999999993</v>
      </c>
      <c r="L364" s="3" t="str">
        <f t="shared" si="5"/>
        <v/>
      </c>
      <c r="N364" t="s">
        <v>19</v>
      </c>
    </row>
    <row r="365" spans="1:14" x14ac:dyDescent="0.3">
      <c r="A365">
        <v>315</v>
      </c>
      <c r="B365" t="s">
        <v>945</v>
      </c>
      <c r="C365" t="s">
        <v>946</v>
      </c>
      <c r="D365" t="s">
        <v>947</v>
      </c>
      <c r="E365" t="s">
        <v>17</v>
      </c>
      <c r="F365" t="s">
        <v>941</v>
      </c>
      <c r="G365" s="3">
        <v>20.6</v>
      </c>
      <c r="H365" s="3">
        <v>0</v>
      </c>
      <c r="I365" s="3">
        <v>20.6</v>
      </c>
      <c r="J365" s="3">
        <f>Table1[[#This Row],[قيمة الفاتورة]]*0.94-Table1[[#This Row],[قيمة المشاركة]]</f>
        <v>19.364000000000001</v>
      </c>
      <c r="L365" s="3" t="str">
        <f t="shared" si="5"/>
        <v/>
      </c>
      <c r="N365" t="s">
        <v>19</v>
      </c>
    </row>
    <row r="366" spans="1:14" x14ac:dyDescent="0.3">
      <c r="A366">
        <v>50</v>
      </c>
      <c r="B366" t="s">
        <v>948</v>
      </c>
      <c r="C366" t="s">
        <v>949</v>
      </c>
      <c r="D366" t="s">
        <v>950</v>
      </c>
      <c r="E366" t="s">
        <v>17</v>
      </c>
      <c r="F366" t="s">
        <v>941</v>
      </c>
      <c r="G366" s="3">
        <v>6.24</v>
      </c>
      <c r="H366" s="3">
        <v>0</v>
      </c>
      <c r="I366" s="3">
        <v>6.24</v>
      </c>
      <c r="J366" s="3">
        <f>Table1[[#This Row],[قيمة الفاتورة]]*0.94-Table1[[#This Row],[قيمة المشاركة]]</f>
        <v>5.8655999999999997</v>
      </c>
      <c r="L366" s="3" t="str">
        <f t="shared" si="5"/>
        <v/>
      </c>
      <c r="N366" t="s">
        <v>19</v>
      </c>
    </row>
    <row r="367" spans="1:14" x14ac:dyDescent="0.3">
      <c r="A367">
        <v>317</v>
      </c>
      <c r="B367" t="s">
        <v>951</v>
      </c>
      <c r="C367" t="s">
        <v>952</v>
      </c>
      <c r="D367" t="s">
        <v>953</v>
      </c>
      <c r="E367" t="s">
        <v>17</v>
      </c>
      <c r="F367" t="s">
        <v>954</v>
      </c>
      <c r="G367" s="3">
        <v>23.51</v>
      </c>
      <c r="H367" s="3">
        <v>0</v>
      </c>
      <c r="I367" s="3">
        <v>23.51</v>
      </c>
      <c r="J367" s="3">
        <f>Table1[[#This Row],[قيمة الفاتورة]]*0.94-Table1[[#This Row],[قيمة المشاركة]]</f>
        <v>22.099399999999999</v>
      </c>
      <c r="L367" s="3" t="str">
        <f t="shared" si="5"/>
        <v/>
      </c>
      <c r="N367" t="s">
        <v>19</v>
      </c>
    </row>
    <row r="368" spans="1:14" x14ac:dyDescent="0.3">
      <c r="A368">
        <v>316</v>
      </c>
      <c r="B368" t="s">
        <v>955</v>
      </c>
      <c r="C368" t="s">
        <v>956</v>
      </c>
      <c r="D368" t="s">
        <v>957</v>
      </c>
      <c r="E368" t="s">
        <v>23</v>
      </c>
      <c r="F368" t="s">
        <v>954</v>
      </c>
      <c r="G368" s="3">
        <v>12.68</v>
      </c>
      <c r="H368" s="3">
        <v>0</v>
      </c>
      <c r="I368" s="3">
        <v>12.68</v>
      </c>
      <c r="J368" s="3">
        <f>Table1[[#This Row],[قيمة الفاتورة]]*0.94-Table1[[#This Row],[قيمة المشاركة]]</f>
        <v>11.919199999999998</v>
      </c>
      <c r="L368" s="3" t="str">
        <f t="shared" si="5"/>
        <v/>
      </c>
      <c r="N368" t="s">
        <v>19</v>
      </c>
    </row>
    <row r="369" spans="1:14" x14ac:dyDescent="0.3">
      <c r="A369">
        <v>51</v>
      </c>
      <c r="B369" t="s">
        <v>958</v>
      </c>
      <c r="C369" t="s">
        <v>959</v>
      </c>
      <c r="D369" t="s">
        <v>960</v>
      </c>
      <c r="E369" t="s">
        <v>17</v>
      </c>
      <c r="F369" t="s">
        <v>954</v>
      </c>
      <c r="G369" s="3">
        <v>21.84</v>
      </c>
      <c r="H369" s="3">
        <v>0</v>
      </c>
      <c r="I369" s="3">
        <v>21.84</v>
      </c>
      <c r="J369" s="3">
        <f>Table1[[#This Row],[قيمة الفاتورة]]*0.94-Table1[[#This Row],[قيمة المشاركة]]</f>
        <v>20.529599999999999</v>
      </c>
      <c r="L369" s="3" t="str">
        <f t="shared" si="5"/>
        <v/>
      </c>
      <c r="N369" t="s">
        <v>19</v>
      </c>
    </row>
    <row r="370" spans="1:14" x14ac:dyDescent="0.3">
      <c r="A370">
        <v>52</v>
      </c>
      <c r="B370" t="s">
        <v>961</v>
      </c>
      <c r="C370" t="s">
        <v>962</v>
      </c>
      <c r="D370" t="s">
        <v>963</v>
      </c>
      <c r="E370" t="s">
        <v>17</v>
      </c>
      <c r="F370" t="s">
        <v>954</v>
      </c>
      <c r="G370" s="3">
        <v>32.200000000000003</v>
      </c>
      <c r="H370" s="3">
        <v>0</v>
      </c>
      <c r="I370" s="3">
        <v>32.200000000000003</v>
      </c>
      <c r="J370" s="3">
        <f>Table1[[#This Row],[قيمة الفاتورة]]*0.94-Table1[[#This Row],[قيمة المشاركة]]</f>
        <v>30.268000000000001</v>
      </c>
      <c r="L370" s="3" t="str">
        <f t="shared" si="5"/>
        <v/>
      </c>
      <c r="N370" t="s">
        <v>19</v>
      </c>
    </row>
    <row r="371" spans="1:14" x14ac:dyDescent="0.3">
      <c r="A371">
        <v>53</v>
      </c>
      <c r="B371" t="s">
        <v>610</v>
      </c>
      <c r="C371" t="s">
        <v>964</v>
      </c>
      <c r="D371" t="s">
        <v>965</v>
      </c>
      <c r="E371" t="s">
        <v>23</v>
      </c>
      <c r="F371" t="s">
        <v>954</v>
      </c>
      <c r="G371" s="3">
        <v>15.72</v>
      </c>
      <c r="H371" s="3">
        <v>0</v>
      </c>
      <c r="I371" s="3">
        <v>15.72</v>
      </c>
      <c r="J371" s="3">
        <f>Table1[[#This Row],[قيمة الفاتورة]]*0.94-Table1[[#This Row],[قيمة المشاركة]]</f>
        <v>14.7768</v>
      </c>
      <c r="L371" s="3" t="str">
        <f t="shared" si="5"/>
        <v/>
      </c>
      <c r="N371" t="s">
        <v>19</v>
      </c>
    </row>
    <row r="372" spans="1:14" x14ac:dyDescent="0.3">
      <c r="A372">
        <v>54</v>
      </c>
      <c r="B372" t="s">
        <v>696</v>
      </c>
      <c r="C372" t="s">
        <v>697</v>
      </c>
      <c r="D372" t="s">
        <v>966</v>
      </c>
      <c r="E372" t="s">
        <v>23</v>
      </c>
      <c r="F372" t="s">
        <v>954</v>
      </c>
      <c r="G372" s="3">
        <v>14.77</v>
      </c>
      <c r="H372" s="3">
        <v>0</v>
      </c>
      <c r="I372" s="3">
        <v>14.77</v>
      </c>
      <c r="J372" s="3">
        <f>Table1[[#This Row],[قيمة الفاتورة]]*0.94-Table1[[#This Row],[قيمة المشاركة]]</f>
        <v>13.883799999999999</v>
      </c>
      <c r="L372" s="3" t="str">
        <f t="shared" si="5"/>
        <v/>
      </c>
      <c r="N372" t="s">
        <v>19</v>
      </c>
    </row>
    <row r="373" spans="1:14" x14ac:dyDescent="0.3">
      <c r="A373">
        <v>320</v>
      </c>
      <c r="B373" t="s">
        <v>967</v>
      </c>
      <c r="C373" t="s">
        <v>968</v>
      </c>
      <c r="D373" t="s">
        <v>969</v>
      </c>
      <c r="E373" t="s">
        <v>23</v>
      </c>
      <c r="F373" t="s">
        <v>970</v>
      </c>
      <c r="G373" s="3">
        <v>20.190000000000001</v>
      </c>
      <c r="H373" s="3">
        <v>0</v>
      </c>
      <c r="I373" s="3">
        <v>20.190000000000001</v>
      </c>
      <c r="J373" s="3">
        <f>Table1[[#This Row],[قيمة الفاتورة]]*0.94-Table1[[#This Row],[قيمة المشاركة]]</f>
        <v>18.9786</v>
      </c>
      <c r="L373" s="3" t="str">
        <f t="shared" si="5"/>
        <v/>
      </c>
      <c r="N373" t="s">
        <v>19</v>
      </c>
    </row>
    <row r="374" spans="1:14" x14ac:dyDescent="0.3">
      <c r="A374">
        <v>319</v>
      </c>
      <c r="B374" t="s">
        <v>971</v>
      </c>
      <c r="C374" t="s">
        <v>972</v>
      </c>
      <c r="D374" t="s">
        <v>973</v>
      </c>
      <c r="E374" t="s">
        <v>23</v>
      </c>
      <c r="F374" t="s">
        <v>970</v>
      </c>
      <c r="G374" s="3">
        <v>12.85</v>
      </c>
      <c r="H374" s="3">
        <v>0</v>
      </c>
      <c r="I374" s="3">
        <v>12.85</v>
      </c>
      <c r="J374" s="3">
        <f>Table1[[#This Row],[قيمة الفاتورة]]*0.94-Table1[[#This Row],[قيمة المشاركة]]</f>
        <v>12.078999999999999</v>
      </c>
      <c r="L374" s="3" t="str">
        <f t="shared" si="5"/>
        <v/>
      </c>
      <c r="N374" t="s">
        <v>19</v>
      </c>
    </row>
    <row r="375" spans="1:14" x14ac:dyDescent="0.3">
      <c r="A375">
        <v>318</v>
      </c>
      <c r="B375" t="s">
        <v>974</v>
      </c>
      <c r="C375" t="s">
        <v>975</v>
      </c>
      <c r="D375" t="s">
        <v>976</v>
      </c>
      <c r="E375" t="s">
        <v>23</v>
      </c>
      <c r="F375" t="s">
        <v>970</v>
      </c>
      <c r="G375" s="3">
        <v>7.16</v>
      </c>
      <c r="H375" s="3">
        <v>0</v>
      </c>
      <c r="I375" s="3">
        <v>7.16</v>
      </c>
      <c r="J375" s="3">
        <f>Table1[[#This Row],[قيمة الفاتورة]]*0.94-Table1[[#This Row],[قيمة المشاركة]]</f>
        <v>6.7303999999999995</v>
      </c>
      <c r="L375" s="3" t="str">
        <f t="shared" si="5"/>
        <v/>
      </c>
      <c r="N375" t="s">
        <v>19</v>
      </c>
    </row>
    <row r="376" spans="1:14" x14ac:dyDescent="0.3">
      <c r="A376">
        <v>55</v>
      </c>
      <c r="B376" t="s">
        <v>977</v>
      </c>
      <c r="C376" t="s">
        <v>978</v>
      </c>
      <c r="D376" t="s">
        <v>979</v>
      </c>
      <c r="E376" t="s">
        <v>17</v>
      </c>
      <c r="F376" t="s">
        <v>970</v>
      </c>
      <c r="G376" s="3">
        <v>20.84</v>
      </c>
      <c r="H376" s="3">
        <v>0</v>
      </c>
      <c r="I376" s="3">
        <v>20.84</v>
      </c>
      <c r="J376" s="3">
        <f>Table1[[#This Row],[قيمة الفاتورة]]*0.94-Table1[[#This Row],[قيمة المشاركة]]</f>
        <v>19.589599999999997</v>
      </c>
      <c r="L376" s="3" t="str">
        <f t="shared" si="5"/>
        <v/>
      </c>
      <c r="N376" t="s">
        <v>19</v>
      </c>
    </row>
    <row r="377" spans="1:14" x14ac:dyDescent="0.3">
      <c r="A377">
        <v>323</v>
      </c>
      <c r="B377" t="s">
        <v>980</v>
      </c>
      <c r="C377" t="s">
        <v>981</v>
      </c>
      <c r="D377" t="s">
        <v>982</v>
      </c>
      <c r="E377" t="s">
        <v>17</v>
      </c>
      <c r="F377" t="s">
        <v>983</v>
      </c>
      <c r="G377" s="3">
        <v>17.260000000000002</v>
      </c>
      <c r="H377" s="3">
        <v>0</v>
      </c>
      <c r="I377" s="3">
        <v>17.260000000000002</v>
      </c>
      <c r="J377" s="3">
        <f>Table1[[#This Row],[قيمة الفاتورة]]*0.94-Table1[[#This Row],[قيمة المشاركة]]</f>
        <v>16.224399999999999</v>
      </c>
      <c r="L377" s="3" t="str">
        <f t="shared" si="5"/>
        <v/>
      </c>
      <c r="N377" t="s">
        <v>19</v>
      </c>
    </row>
    <row r="378" spans="1:14" x14ac:dyDescent="0.3">
      <c r="A378">
        <v>324</v>
      </c>
      <c r="B378" t="s">
        <v>984</v>
      </c>
      <c r="C378" t="s">
        <v>985</v>
      </c>
      <c r="D378" t="s">
        <v>986</v>
      </c>
      <c r="E378" t="s">
        <v>23</v>
      </c>
      <c r="F378" t="s">
        <v>983</v>
      </c>
      <c r="G378" s="3">
        <v>15.08</v>
      </c>
      <c r="H378" s="3">
        <v>0</v>
      </c>
      <c r="I378" s="3">
        <v>15.08</v>
      </c>
      <c r="J378" s="3">
        <f>Table1[[#This Row],[قيمة الفاتورة]]*0.94-Table1[[#This Row],[قيمة المشاركة]]</f>
        <v>14.175199999999998</v>
      </c>
      <c r="L378" s="3" t="str">
        <f t="shared" si="5"/>
        <v/>
      </c>
      <c r="N378" t="s">
        <v>19</v>
      </c>
    </row>
    <row r="379" spans="1:14" x14ac:dyDescent="0.3">
      <c r="A379">
        <v>322</v>
      </c>
      <c r="B379" t="s">
        <v>987</v>
      </c>
      <c r="C379" t="s">
        <v>988</v>
      </c>
      <c r="D379" t="s">
        <v>989</v>
      </c>
      <c r="E379" t="s">
        <v>17</v>
      </c>
      <c r="F379" t="s">
        <v>983</v>
      </c>
      <c r="G379" s="3">
        <v>7.52</v>
      </c>
      <c r="H379" s="3">
        <v>0</v>
      </c>
      <c r="I379" s="3">
        <v>7.52</v>
      </c>
      <c r="J379" s="3">
        <f>Table1[[#This Row],[قيمة الفاتورة]]*0.94-Table1[[#This Row],[قيمة المشاركة]]</f>
        <v>7.0687999999999995</v>
      </c>
      <c r="L379" s="3" t="str">
        <f t="shared" si="5"/>
        <v/>
      </c>
      <c r="N379" t="s">
        <v>19</v>
      </c>
    </row>
    <row r="380" spans="1:14" x14ac:dyDescent="0.3">
      <c r="A380">
        <v>321</v>
      </c>
      <c r="B380" t="s">
        <v>990</v>
      </c>
      <c r="C380" t="s">
        <v>287</v>
      </c>
      <c r="D380" t="s">
        <v>991</v>
      </c>
      <c r="E380" t="s">
        <v>23</v>
      </c>
      <c r="F380" t="s">
        <v>983</v>
      </c>
      <c r="G380" s="3">
        <v>13</v>
      </c>
      <c r="H380" s="3">
        <v>0</v>
      </c>
      <c r="I380" s="3">
        <v>13</v>
      </c>
      <c r="J380" s="3">
        <f>Table1[[#This Row],[قيمة الفاتورة]]*0.94-Table1[[#This Row],[قيمة المشاركة]]</f>
        <v>12.219999999999999</v>
      </c>
      <c r="L380" s="3" t="str">
        <f t="shared" si="5"/>
        <v/>
      </c>
      <c r="N380" t="s">
        <v>19</v>
      </c>
    </row>
    <row r="381" spans="1:14" x14ac:dyDescent="0.3">
      <c r="A381">
        <v>56</v>
      </c>
      <c r="B381" t="s">
        <v>992</v>
      </c>
      <c r="C381" t="s">
        <v>993</v>
      </c>
      <c r="D381" t="s">
        <v>994</v>
      </c>
      <c r="E381" t="s">
        <v>17</v>
      </c>
      <c r="F381" t="s">
        <v>983</v>
      </c>
      <c r="G381" s="3">
        <v>21.6</v>
      </c>
      <c r="H381" s="3">
        <v>0</v>
      </c>
      <c r="I381" s="3">
        <v>21.6</v>
      </c>
      <c r="J381" s="3">
        <f>Table1[[#This Row],[قيمة الفاتورة]]*0.94-Table1[[#This Row],[قيمة المشاركة]]</f>
        <v>20.303999999999998</v>
      </c>
      <c r="L381" s="3" t="str">
        <f t="shared" si="5"/>
        <v/>
      </c>
      <c r="N381" t="s">
        <v>19</v>
      </c>
    </row>
    <row r="382" spans="1:14" x14ac:dyDescent="0.3">
      <c r="A382">
        <v>325</v>
      </c>
      <c r="B382" t="s">
        <v>995</v>
      </c>
      <c r="C382" t="s">
        <v>996</v>
      </c>
      <c r="D382" t="s">
        <v>997</v>
      </c>
      <c r="E382" t="s">
        <v>23</v>
      </c>
      <c r="F382" t="s">
        <v>998</v>
      </c>
      <c r="G382" s="3">
        <v>10.33</v>
      </c>
      <c r="H382" s="3">
        <v>0</v>
      </c>
      <c r="I382" s="3">
        <v>10.33</v>
      </c>
      <c r="J382" s="3">
        <f>Table1[[#This Row],[قيمة الفاتورة]]*0.94-Table1[[#This Row],[قيمة المشاركة]]</f>
        <v>9.7102000000000004</v>
      </c>
      <c r="L382" s="3" t="str">
        <f t="shared" si="5"/>
        <v/>
      </c>
      <c r="N382" t="s">
        <v>19</v>
      </c>
    </row>
    <row r="383" spans="1:14" x14ac:dyDescent="0.3">
      <c r="A383">
        <v>330</v>
      </c>
      <c r="B383" t="s">
        <v>999</v>
      </c>
      <c r="C383" t="s">
        <v>1000</v>
      </c>
      <c r="D383" t="s">
        <v>1001</v>
      </c>
      <c r="E383" t="s">
        <v>23</v>
      </c>
      <c r="F383" t="s">
        <v>1002</v>
      </c>
      <c r="G383" s="3">
        <v>9.7200000000000006</v>
      </c>
      <c r="H383" s="3">
        <v>0</v>
      </c>
      <c r="I383" s="3">
        <v>9.7200000000000006</v>
      </c>
      <c r="J383" s="3">
        <f>Table1[[#This Row],[قيمة الفاتورة]]*0.94-Table1[[#This Row],[قيمة المشاركة]]</f>
        <v>9.1368000000000009</v>
      </c>
      <c r="L383" s="3" t="str">
        <f t="shared" si="5"/>
        <v/>
      </c>
    </row>
    <row r="384" spans="1:14" x14ac:dyDescent="0.3">
      <c r="A384">
        <v>327</v>
      </c>
      <c r="B384" t="s">
        <v>1003</v>
      </c>
      <c r="C384" t="s">
        <v>354</v>
      </c>
      <c r="D384" t="s">
        <v>1004</v>
      </c>
      <c r="E384" t="s">
        <v>17</v>
      </c>
      <c r="F384" t="s">
        <v>1002</v>
      </c>
      <c r="G384" s="3">
        <v>18.98</v>
      </c>
      <c r="H384" s="3">
        <v>0</v>
      </c>
      <c r="I384" s="3">
        <v>18.98</v>
      </c>
      <c r="J384" s="3">
        <f>Table1[[#This Row],[قيمة الفاتورة]]*0.94-Table1[[#This Row],[قيمة المشاركة]]</f>
        <v>17.841200000000001</v>
      </c>
      <c r="L384" s="3" t="str">
        <f t="shared" si="5"/>
        <v/>
      </c>
      <c r="N384" t="s">
        <v>19</v>
      </c>
    </row>
    <row r="385" spans="1:14" x14ac:dyDescent="0.3">
      <c r="A385">
        <v>326</v>
      </c>
      <c r="B385" t="s">
        <v>1005</v>
      </c>
      <c r="C385" t="s">
        <v>1006</v>
      </c>
      <c r="D385" t="s">
        <v>1007</v>
      </c>
      <c r="E385" t="s">
        <v>17</v>
      </c>
      <c r="F385" t="s">
        <v>1002</v>
      </c>
      <c r="G385" s="3">
        <v>12.49</v>
      </c>
      <c r="H385" s="3">
        <v>0</v>
      </c>
      <c r="I385" s="3">
        <v>12.49</v>
      </c>
      <c r="J385" s="3">
        <f>Table1[[#This Row],[قيمة الفاتورة]]*0.94-Table1[[#This Row],[قيمة المشاركة]]</f>
        <v>11.740599999999999</v>
      </c>
      <c r="L385" s="3" t="str">
        <f t="shared" si="5"/>
        <v/>
      </c>
      <c r="N385" t="s">
        <v>19</v>
      </c>
    </row>
    <row r="386" spans="1:14" x14ac:dyDescent="0.3">
      <c r="A386">
        <v>328</v>
      </c>
      <c r="B386" t="s">
        <v>1008</v>
      </c>
      <c r="C386" t="s">
        <v>354</v>
      </c>
      <c r="D386" t="s">
        <v>1009</v>
      </c>
      <c r="E386" t="s">
        <v>23</v>
      </c>
      <c r="F386" t="s">
        <v>1002</v>
      </c>
      <c r="G386" s="3">
        <v>12.38</v>
      </c>
      <c r="H386" s="3">
        <v>0</v>
      </c>
      <c r="I386" s="3">
        <v>12.38</v>
      </c>
      <c r="J386" s="3">
        <f>Table1[[#This Row],[قيمة الفاتورة]]*0.94-Table1[[#This Row],[قيمة المشاركة]]</f>
        <v>11.6372</v>
      </c>
      <c r="L386" s="3" t="str">
        <f t="shared" ref="L386:L449" si="6">IF(ISNUMBER(K386), J386-K386, "")</f>
        <v/>
      </c>
      <c r="N386" t="s">
        <v>19</v>
      </c>
    </row>
    <row r="387" spans="1:14" x14ac:dyDescent="0.3">
      <c r="A387">
        <v>329</v>
      </c>
      <c r="B387" t="s">
        <v>222</v>
      </c>
      <c r="C387" t="s">
        <v>223</v>
      </c>
      <c r="D387" t="s">
        <v>1010</v>
      </c>
      <c r="E387" t="s">
        <v>23</v>
      </c>
      <c r="F387" t="s">
        <v>1002</v>
      </c>
      <c r="G387" s="3">
        <v>14.12</v>
      </c>
      <c r="H387" s="3">
        <v>0</v>
      </c>
      <c r="I387" s="3">
        <v>14.12</v>
      </c>
      <c r="J387" s="3">
        <f>Table1[[#This Row],[قيمة الفاتورة]]*0.94-Table1[[#This Row],[قيمة المشاركة]]</f>
        <v>13.272799999999998</v>
      </c>
      <c r="L387" s="3" t="str">
        <f t="shared" si="6"/>
        <v/>
      </c>
      <c r="N387" t="s">
        <v>19</v>
      </c>
    </row>
    <row r="388" spans="1:14" x14ac:dyDescent="0.3">
      <c r="A388">
        <v>57</v>
      </c>
      <c r="B388" t="s">
        <v>1011</v>
      </c>
      <c r="C388" t="s">
        <v>1012</v>
      </c>
      <c r="D388" t="s">
        <v>1013</v>
      </c>
      <c r="E388" t="s">
        <v>17</v>
      </c>
      <c r="F388" t="s">
        <v>1002</v>
      </c>
      <c r="G388" s="3">
        <v>15.7</v>
      </c>
      <c r="H388" s="3">
        <v>0</v>
      </c>
      <c r="I388" s="3">
        <v>15.7</v>
      </c>
      <c r="J388" s="3">
        <f>Table1[[#This Row],[قيمة الفاتورة]]*0.94-Table1[[#This Row],[قيمة المشاركة]]</f>
        <v>14.757999999999999</v>
      </c>
      <c r="L388" s="3" t="str">
        <f t="shared" si="6"/>
        <v/>
      </c>
      <c r="N388" t="s">
        <v>19</v>
      </c>
    </row>
    <row r="389" spans="1:14" x14ac:dyDescent="0.3">
      <c r="A389">
        <v>58</v>
      </c>
      <c r="B389" t="s">
        <v>14</v>
      </c>
      <c r="C389" t="s">
        <v>15</v>
      </c>
      <c r="D389" t="s">
        <v>1014</v>
      </c>
      <c r="E389" t="s">
        <v>17</v>
      </c>
      <c r="F389" t="s">
        <v>1002</v>
      </c>
      <c r="G389" s="3">
        <v>11.82</v>
      </c>
      <c r="H389" s="3">
        <v>0</v>
      </c>
      <c r="I389" s="3">
        <v>11.82</v>
      </c>
      <c r="J389" s="3">
        <f>Table1[[#This Row],[قيمة الفاتورة]]*0.94-Table1[[#This Row],[قيمة المشاركة]]</f>
        <v>11.110799999999999</v>
      </c>
      <c r="L389" s="3" t="str">
        <f t="shared" si="6"/>
        <v/>
      </c>
      <c r="N389" t="s">
        <v>19</v>
      </c>
    </row>
    <row r="390" spans="1:14" x14ac:dyDescent="0.3">
      <c r="A390">
        <v>335</v>
      </c>
      <c r="B390" t="s">
        <v>800</v>
      </c>
      <c r="C390" t="s">
        <v>801</v>
      </c>
      <c r="D390" t="s">
        <v>1015</v>
      </c>
      <c r="E390" t="s">
        <v>17</v>
      </c>
      <c r="F390" t="s">
        <v>1016</v>
      </c>
      <c r="G390" s="3">
        <v>11.96</v>
      </c>
      <c r="H390" s="3">
        <v>0</v>
      </c>
      <c r="I390" s="3">
        <v>11.96</v>
      </c>
      <c r="J390" s="3">
        <f>Table1[[#This Row],[قيمة الفاتورة]]*0.94-Table1[[#This Row],[قيمة المشاركة]]</f>
        <v>11.2424</v>
      </c>
      <c r="L390" s="3" t="str">
        <f t="shared" si="6"/>
        <v/>
      </c>
      <c r="N390" t="s">
        <v>19</v>
      </c>
    </row>
    <row r="391" spans="1:14" x14ac:dyDescent="0.3">
      <c r="A391">
        <v>334</v>
      </c>
      <c r="B391" t="s">
        <v>1017</v>
      </c>
      <c r="C391" t="s">
        <v>1018</v>
      </c>
      <c r="D391" t="s">
        <v>1019</v>
      </c>
      <c r="E391" t="s">
        <v>23</v>
      </c>
      <c r="F391" t="s">
        <v>1016</v>
      </c>
      <c r="G391" s="3">
        <v>40.450000000000003</v>
      </c>
      <c r="H391" s="3">
        <v>0</v>
      </c>
      <c r="I391" s="3">
        <v>40.450000000000003</v>
      </c>
      <c r="J391" s="3">
        <f>Table1[[#This Row],[قيمة الفاتورة]]*0.94-Table1[[#This Row],[قيمة المشاركة]]</f>
        <v>38.023000000000003</v>
      </c>
      <c r="L391" s="3" t="str">
        <f t="shared" si="6"/>
        <v/>
      </c>
      <c r="N391" t="s">
        <v>19</v>
      </c>
    </row>
    <row r="392" spans="1:14" x14ac:dyDescent="0.3">
      <c r="A392">
        <v>332</v>
      </c>
      <c r="B392" t="s">
        <v>104</v>
      </c>
      <c r="C392" t="s">
        <v>1020</v>
      </c>
      <c r="D392" t="s">
        <v>1021</v>
      </c>
      <c r="E392" t="s">
        <v>23</v>
      </c>
      <c r="F392" t="s">
        <v>1016</v>
      </c>
      <c r="G392" s="3">
        <v>8.92</v>
      </c>
      <c r="H392" s="3">
        <v>0</v>
      </c>
      <c r="I392" s="3">
        <v>8.92</v>
      </c>
      <c r="J392" s="3">
        <f>Table1[[#This Row],[قيمة الفاتورة]]*0.94-Table1[[#This Row],[قيمة المشاركة]]</f>
        <v>8.3848000000000003</v>
      </c>
      <c r="L392" s="3" t="str">
        <f t="shared" si="6"/>
        <v/>
      </c>
      <c r="N392" t="s">
        <v>19</v>
      </c>
    </row>
    <row r="393" spans="1:14" x14ac:dyDescent="0.3">
      <c r="A393">
        <v>333</v>
      </c>
      <c r="B393" t="s">
        <v>1022</v>
      </c>
      <c r="C393" t="s">
        <v>1023</v>
      </c>
      <c r="D393" t="s">
        <v>1024</v>
      </c>
      <c r="E393" t="s">
        <v>23</v>
      </c>
      <c r="F393" t="s">
        <v>1016</v>
      </c>
      <c r="G393" s="3">
        <v>4.99</v>
      </c>
      <c r="H393" s="3">
        <v>0</v>
      </c>
      <c r="I393" s="3">
        <v>4.99</v>
      </c>
      <c r="J393" s="3">
        <f>Table1[[#This Row],[قيمة الفاتورة]]*0.94-Table1[[#This Row],[قيمة المشاركة]]</f>
        <v>4.6905999999999999</v>
      </c>
      <c r="L393" s="3" t="str">
        <f t="shared" si="6"/>
        <v/>
      </c>
      <c r="N393" t="s">
        <v>19</v>
      </c>
    </row>
    <row r="394" spans="1:14" x14ac:dyDescent="0.3">
      <c r="A394">
        <v>331</v>
      </c>
      <c r="B394" t="s">
        <v>1025</v>
      </c>
      <c r="C394" t="s">
        <v>306</v>
      </c>
      <c r="D394" t="s">
        <v>1026</v>
      </c>
      <c r="E394" t="s">
        <v>23</v>
      </c>
      <c r="F394" t="s">
        <v>1016</v>
      </c>
      <c r="G394" s="3">
        <v>29.84</v>
      </c>
      <c r="H394" s="3">
        <v>0</v>
      </c>
      <c r="I394" s="3">
        <v>29.84</v>
      </c>
      <c r="J394" s="3">
        <f>Table1[[#This Row],[قيمة الفاتورة]]*0.94-Table1[[#This Row],[قيمة المشاركة]]</f>
        <v>28.049599999999998</v>
      </c>
      <c r="L394" s="3" t="str">
        <f t="shared" si="6"/>
        <v/>
      </c>
      <c r="N394" t="s">
        <v>19</v>
      </c>
    </row>
    <row r="395" spans="1:14" x14ac:dyDescent="0.3">
      <c r="A395">
        <v>338</v>
      </c>
      <c r="B395" t="s">
        <v>1027</v>
      </c>
      <c r="C395" t="s">
        <v>1028</v>
      </c>
      <c r="D395" t="s">
        <v>1029</v>
      </c>
      <c r="E395" t="s">
        <v>23</v>
      </c>
      <c r="F395" t="s">
        <v>1030</v>
      </c>
      <c r="G395" s="3">
        <v>14.17</v>
      </c>
      <c r="H395" s="3">
        <v>0</v>
      </c>
      <c r="I395" s="3">
        <v>14.17</v>
      </c>
      <c r="J395" s="3">
        <f>Table1[[#This Row],[قيمة الفاتورة]]*0.94-Table1[[#This Row],[قيمة المشاركة]]</f>
        <v>13.319799999999999</v>
      </c>
      <c r="L395" s="3" t="str">
        <f t="shared" si="6"/>
        <v/>
      </c>
      <c r="N395" t="s">
        <v>19</v>
      </c>
    </row>
    <row r="396" spans="1:14" x14ac:dyDescent="0.3">
      <c r="A396">
        <v>336</v>
      </c>
      <c r="B396" t="s">
        <v>748</v>
      </c>
      <c r="C396" t="s">
        <v>1031</v>
      </c>
      <c r="D396" t="s">
        <v>1032</v>
      </c>
      <c r="E396" t="s">
        <v>23</v>
      </c>
      <c r="F396" t="s">
        <v>1030</v>
      </c>
      <c r="G396" s="3">
        <v>3.69</v>
      </c>
      <c r="H396" s="3">
        <v>0</v>
      </c>
      <c r="I396" s="3">
        <v>3.69</v>
      </c>
      <c r="J396" s="3">
        <f>Table1[[#This Row],[قيمة الفاتورة]]*0.94-Table1[[#This Row],[قيمة المشاركة]]</f>
        <v>3.4685999999999999</v>
      </c>
      <c r="L396" s="3" t="str">
        <f t="shared" si="6"/>
        <v/>
      </c>
      <c r="N396" t="s">
        <v>19</v>
      </c>
    </row>
    <row r="397" spans="1:14" x14ac:dyDescent="0.3">
      <c r="A397">
        <v>337</v>
      </c>
      <c r="B397" t="s">
        <v>748</v>
      </c>
      <c r="C397" t="s">
        <v>749</v>
      </c>
      <c r="D397" t="s">
        <v>1033</v>
      </c>
      <c r="E397" t="s">
        <v>23</v>
      </c>
      <c r="F397" t="s">
        <v>1030</v>
      </c>
      <c r="G397" s="3">
        <v>6.52</v>
      </c>
      <c r="H397" s="3">
        <v>0</v>
      </c>
      <c r="I397" s="3">
        <v>6.52</v>
      </c>
      <c r="J397" s="3">
        <f>Table1[[#This Row],[قيمة الفاتورة]]*0.94-Table1[[#This Row],[قيمة المشاركة]]</f>
        <v>6.1287999999999991</v>
      </c>
      <c r="L397" s="3" t="str">
        <f t="shared" si="6"/>
        <v/>
      </c>
      <c r="N397" t="s">
        <v>19</v>
      </c>
    </row>
    <row r="398" spans="1:14" x14ac:dyDescent="0.3">
      <c r="A398">
        <v>339</v>
      </c>
      <c r="B398" t="s">
        <v>1034</v>
      </c>
      <c r="C398" t="s">
        <v>148</v>
      </c>
      <c r="D398" t="s">
        <v>1035</v>
      </c>
      <c r="E398" t="s">
        <v>17</v>
      </c>
      <c r="F398" t="s">
        <v>1030</v>
      </c>
      <c r="G398" s="3">
        <v>17.71</v>
      </c>
      <c r="H398" s="3">
        <v>0</v>
      </c>
      <c r="I398" s="3">
        <v>17.71</v>
      </c>
      <c r="J398" s="3">
        <f>Table1[[#This Row],[قيمة الفاتورة]]*0.94-Table1[[#This Row],[قيمة المشاركة]]</f>
        <v>16.647400000000001</v>
      </c>
      <c r="L398" s="3" t="str">
        <f t="shared" si="6"/>
        <v/>
      </c>
      <c r="N398" t="s">
        <v>19</v>
      </c>
    </row>
    <row r="399" spans="1:14" x14ac:dyDescent="0.3">
      <c r="A399">
        <v>342</v>
      </c>
      <c r="B399" t="s">
        <v>315</v>
      </c>
      <c r="C399" t="s">
        <v>316</v>
      </c>
      <c r="D399" t="s">
        <v>1036</v>
      </c>
      <c r="E399" t="s">
        <v>17</v>
      </c>
      <c r="F399" t="s">
        <v>1037</v>
      </c>
      <c r="G399" s="3">
        <v>26.39</v>
      </c>
      <c r="H399" s="3">
        <v>0</v>
      </c>
      <c r="I399" s="3">
        <v>26.39</v>
      </c>
      <c r="J399" s="3">
        <f>Table1[[#This Row],[قيمة الفاتورة]]*0.94-Table1[[#This Row],[قيمة المشاركة]]</f>
        <v>24.8066</v>
      </c>
      <c r="L399" s="3" t="str">
        <f t="shared" si="6"/>
        <v/>
      </c>
      <c r="N399" t="s">
        <v>19</v>
      </c>
    </row>
    <row r="400" spans="1:14" x14ac:dyDescent="0.3">
      <c r="A400">
        <v>341</v>
      </c>
      <c r="B400" t="s">
        <v>1038</v>
      </c>
      <c r="C400" t="s">
        <v>1039</v>
      </c>
      <c r="D400" t="s">
        <v>1040</v>
      </c>
      <c r="E400" t="s">
        <v>17</v>
      </c>
      <c r="F400" t="s">
        <v>1037</v>
      </c>
      <c r="G400" s="3">
        <v>13.98</v>
      </c>
      <c r="H400" s="3">
        <v>0</v>
      </c>
      <c r="I400" s="3">
        <v>13.98</v>
      </c>
      <c r="J400" s="3">
        <f>Table1[[#This Row],[قيمة الفاتورة]]*0.94-Table1[[#This Row],[قيمة المشاركة]]</f>
        <v>13.1412</v>
      </c>
      <c r="L400" s="3" t="str">
        <f t="shared" si="6"/>
        <v/>
      </c>
      <c r="N400" t="s">
        <v>19</v>
      </c>
    </row>
    <row r="401" spans="1:14" x14ac:dyDescent="0.3">
      <c r="A401">
        <v>340</v>
      </c>
      <c r="B401" t="s">
        <v>1041</v>
      </c>
      <c r="C401" t="s">
        <v>279</v>
      </c>
      <c r="D401" t="s">
        <v>1042</v>
      </c>
      <c r="E401" t="s">
        <v>23</v>
      </c>
      <c r="F401" t="s">
        <v>1037</v>
      </c>
      <c r="G401" s="3">
        <v>42.38</v>
      </c>
      <c r="H401" s="3">
        <v>0</v>
      </c>
      <c r="I401" s="3">
        <v>42.38</v>
      </c>
      <c r="J401" s="3">
        <f>Table1[[#This Row],[قيمة الفاتورة]]*0.94-Table1[[#This Row],[قيمة المشاركة]]</f>
        <v>39.837200000000003</v>
      </c>
      <c r="L401" s="3" t="str">
        <f t="shared" si="6"/>
        <v/>
      </c>
      <c r="N401" t="s">
        <v>19</v>
      </c>
    </row>
    <row r="402" spans="1:14" x14ac:dyDescent="0.3">
      <c r="A402">
        <v>344</v>
      </c>
      <c r="B402" t="s">
        <v>549</v>
      </c>
      <c r="C402" t="s">
        <v>1043</v>
      </c>
      <c r="D402" t="s">
        <v>1044</v>
      </c>
      <c r="E402" t="s">
        <v>23</v>
      </c>
      <c r="F402" t="s">
        <v>1045</v>
      </c>
      <c r="G402" s="3">
        <v>37.299999999999997</v>
      </c>
      <c r="H402" s="3">
        <v>0</v>
      </c>
      <c r="I402" s="3">
        <v>37.299999999999997</v>
      </c>
      <c r="J402" s="3">
        <f>Table1[[#This Row],[قيمة الفاتورة]]*0.94-Table1[[#This Row],[قيمة المشاركة]]</f>
        <v>35.061999999999998</v>
      </c>
      <c r="L402" s="3" t="str">
        <f t="shared" si="6"/>
        <v/>
      </c>
      <c r="N402" t="s">
        <v>19</v>
      </c>
    </row>
    <row r="403" spans="1:14" x14ac:dyDescent="0.3">
      <c r="A403">
        <v>348</v>
      </c>
      <c r="B403" t="s">
        <v>1046</v>
      </c>
      <c r="C403" t="s">
        <v>1047</v>
      </c>
      <c r="D403" t="s">
        <v>1048</v>
      </c>
      <c r="E403" t="s">
        <v>23</v>
      </c>
      <c r="F403" t="s">
        <v>1045</v>
      </c>
      <c r="G403" s="3">
        <v>23.46</v>
      </c>
      <c r="H403" s="3">
        <v>0</v>
      </c>
      <c r="I403" s="3">
        <v>23.46</v>
      </c>
      <c r="J403" s="3">
        <f>Table1[[#This Row],[قيمة الفاتورة]]*0.94-Table1[[#This Row],[قيمة المشاركة]]</f>
        <v>22.052399999999999</v>
      </c>
      <c r="L403" s="3" t="str">
        <f t="shared" si="6"/>
        <v/>
      </c>
      <c r="N403" t="s">
        <v>19</v>
      </c>
    </row>
    <row r="404" spans="1:14" x14ac:dyDescent="0.3">
      <c r="A404">
        <v>349</v>
      </c>
      <c r="B404" t="s">
        <v>1049</v>
      </c>
      <c r="C404" t="s">
        <v>140</v>
      </c>
      <c r="D404" t="s">
        <v>1050</v>
      </c>
      <c r="E404" t="s">
        <v>17</v>
      </c>
      <c r="F404" t="s">
        <v>1045</v>
      </c>
      <c r="G404" s="3">
        <v>38.26</v>
      </c>
      <c r="H404" s="3">
        <v>0</v>
      </c>
      <c r="I404" s="3">
        <v>38.26</v>
      </c>
      <c r="J404" s="3">
        <f>Table1[[#This Row],[قيمة الفاتورة]]*0.94-Table1[[#This Row],[قيمة المشاركة]]</f>
        <v>35.964399999999998</v>
      </c>
      <c r="L404" s="3" t="str">
        <f t="shared" si="6"/>
        <v/>
      </c>
      <c r="N404" t="s">
        <v>19</v>
      </c>
    </row>
    <row r="405" spans="1:14" x14ac:dyDescent="0.3">
      <c r="A405">
        <v>343</v>
      </c>
      <c r="B405" t="s">
        <v>1051</v>
      </c>
      <c r="C405" t="s">
        <v>377</v>
      </c>
      <c r="D405" t="s">
        <v>1052</v>
      </c>
      <c r="E405" t="s">
        <v>17</v>
      </c>
      <c r="F405" t="s">
        <v>1045</v>
      </c>
      <c r="G405" s="3">
        <v>5.63</v>
      </c>
      <c r="H405" s="3">
        <v>0</v>
      </c>
      <c r="I405" s="3">
        <v>5.63</v>
      </c>
      <c r="J405" s="3">
        <f>Table1[[#This Row],[قيمة الفاتورة]]*0.94-Table1[[#This Row],[قيمة المشاركة]]</f>
        <v>5.2921999999999993</v>
      </c>
      <c r="L405" s="3" t="str">
        <f t="shared" si="6"/>
        <v/>
      </c>
      <c r="N405" t="s">
        <v>19</v>
      </c>
    </row>
    <row r="406" spans="1:14" x14ac:dyDescent="0.3">
      <c r="A406">
        <v>347</v>
      </c>
      <c r="B406" t="s">
        <v>1053</v>
      </c>
      <c r="C406" t="s">
        <v>1054</v>
      </c>
      <c r="D406" t="s">
        <v>1055</v>
      </c>
      <c r="E406" t="s">
        <v>23</v>
      </c>
      <c r="F406" t="s">
        <v>1045</v>
      </c>
      <c r="G406" s="3">
        <v>9.66</v>
      </c>
      <c r="H406" s="3">
        <v>0</v>
      </c>
      <c r="I406" s="3">
        <v>9.66</v>
      </c>
      <c r="J406" s="3">
        <f>Table1[[#This Row],[قيمة الفاتورة]]*0.94-Table1[[#This Row],[قيمة المشاركة]]</f>
        <v>9.0803999999999991</v>
      </c>
      <c r="L406" s="3" t="str">
        <f t="shared" si="6"/>
        <v/>
      </c>
      <c r="N406" t="s">
        <v>19</v>
      </c>
    </row>
    <row r="407" spans="1:14" x14ac:dyDescent="0.3">
      <c r="A407">
        <v>351</v>
      </c>
      <c r="B407" t="s">
        <v>1053</v>
      </c>
      <c r="C407" t="s">
        <v>1054</v>
      </c>
      <c r="D407" t="s">
        <v>1056</v>
      </c>
      <c r="E407" t="s">
        <v>23</v>
      </c>
      <c r="F407" t="s">
        <v>1045</v>
      </c>
      <c r="G407" s="3">
        <v>10.1</v>
      </c>
      <c r="H407" s="3">
        <v>0</v>
      </c>
      <c r="I407" s="3">
        <v>10.1</v>
      </c>
      <c r="J407" s="3">
        <f>Table1[[#This Row],[قيمة الفاتورة]]*0.94-Table1[[#This Row],[قيمة المشاركة]]</f>
        <v>9.4939999999999998</v>
      </c>
      <c r="L407" s="3" t="str">
        <f t="shared" si="6"/>
        <v/>
      </c>
      <c r="N407" t="s">
        <v>19</v>
      </c>
    </row>
    <row r="408" spans="1:14" x14ac:dyDescent="0.3">
      <c r="A408">
        <v>346</v>
      </c>
      <c r="B408" t="s">
        <v>1057</v>
      </c>
      <c r="C408" t="s">
        <v>1058</v>
      </c>
      <c r="D408" t="s">
        <v>1059</v>
      </c>
      <c r="E408" t="s">
        <v>23</v>
      </c>
      <c r="F408" t="s">
        <v>1045</v>
      </c>
      <c r="G408" s="3">
        <v>41.51</v>
      </c>
      <c r="H408" s="3">
        <v>0</v>
      </c>
      <c r="I408" s="3">
        <v>41.51</v>
      </c>
      <c r="J408" s="3">
        <f>Table1[[#This Row],[قيمة الفاتورة]]*0.94-Table1[[#This Row],[قيمة المشاركة]]</f>
        <v>39.019399999999997</v>
      </c>
      <c r="L408" s="3" t="str">
        <f t="shared" si="6"/>
        <v/>
      </c>
      <c r="N408" t="s">
        <v>19</v>
      </c>
    </row>
    <row r="409" spans="1:14" x14ac:dyDescent="0.3">
      <c r="A409">
        <v>352</v>
      </c>
      <c r="B409" t="s">
        <v>1060</v>
      </c>
      <c r="C409" t="s">
        <v>173</v>
      </c>
      <c r="D409" t="s">
        <v>1061</v>
      </c>
      <c r="E409" t="s">
        <v>23</v>
      </c>
      <c r="F409" t="s">
        <v>1045</v>
      </c>
      <c r="G409" s="3">
        <v>27.02</v>
      </c>
      <c r="H409" s="3">
        <v>0</v>
      </c>
      <c r="I409" s="3">
        <v>27.02</v>
      </c>
      <c r="J409" s="3">
        <f>Table1[[#This Row],[قيمة الفاتورة]]*0.94-Table1[[#This Row],[قيمة المشاركة]]</f>
        <v>25.398799999999998</v>
      </c>
      <c r="L409" s="3" t="str">
        <f t="shared" si="6"/>
        <v/>
      </c>
      <c r="N409" t="s">
        <v>19</v>
      </c>
    </row>
    <row r="410" spans="1:14" x14ac:dyDescent="0.3">
      <c r="A410">
        <v>353</v>
      </c>
      <c r="B410" t="s">
        <v>1062</v>
      </c>
      <c r="C410" t="s">
        <v>1063</v>
      </c>
      <c r="D410" t="s">
        <v>1064</v>
      </c>
      <c r="E410" t="s">
        <v>23</v>
      </c>
      <c r="F410" t="s">
        <v>1045</v>
      </c>
      <c r="G410" s="3">
        <v>11.51</v>
      </c>
      <c r="H410" s="3">
        <v>0</v>
      </c>
      <c r="I410" s="3">
        <v>11.51</v>
      </c>
      <c r="J410" s="3">
        <f>Table1[[#This Row],[قيمة الفاتورة]]*0.94-Table1[[#This Row],[قيمة المشاركة]]</f>
        <v>10.8194</v>
      </c>
      <c r="L410" s="3" t="str">
        <f t="shared" si="6"/>
        <v/>
      </c>
      <c r="N410" t="s">
        <v>19</v>
      </c>
    </row>
    <row r="411" spans="1:14" x14ac:dyDescent="0.3">
      <c r="A411">
        <v>345</v>
      </c>
      <c r="B411" t="s">
        <v>1065</v>
      </c>
      <c r="C411" t="s">
        <v>1012</v>
      </c>
      <c r="D411" t="s">
        <v>1066</v>
      </c>
      <c r="E411" t="s">
        <v>17</v>
      </c>
      <c r="F411" t="s">
        <v>1045</v>
      </c>
      <c r="G411" s="3">
        <v>11.34</v>
      </c>
      <c r="H411" s="3">
        <v>0</v>
      </c>
      <c r="I411" s="3">
        <v>11.34</v>
      </c>
      <c r="J411" s="3">
        <f>Table1[[#This Row],[قيمة الفاتورة]]*0.94-Table1[[#This Row],[قيمة المشاركة]]</f>
        <v>10.659599999999999</v>
      </c>
      <c r="L411" s="3" t="str">
        <f t="shared" si="6"/>
        <v/>
      </c>
      <c r="N411" t="s">
        <v>19</v>
      </c>
    </row>
    <row r="412" spans="1:14" x14ac:dyDescent="0.3">
      <c r="A412">
        <v>350</v>
      </c>
      <c r="B412" t="s">
        <v>1067</v>
      </c>
      <c r="C412" t="s">
        <v>412</v>
      </c>
      <c r="D412" t="s">
        <v>1068</v>
      </c>
      <c r="E412" t="s">
        <v>23</v>
      </c>
      <c r="F412" t="s">
        <v>1045</v>
      </c>
      <c r="G412" s="3">
        <v>33.130000000000003</v>
      </c>
      <c r="H412" s="3">
        <v>0</v>
      </c>
      <c r="I412" s="3">
        <v>33.130000000000003</v>
      </c>
      <c r="J412" s="3">
        <f>Table1[[#This Row],[قيمة الفاتورة]]*0.94-Table1[[#This Row],[قيمة المشاركة]]</f>
        <v>31.142199999999999</v>
      </c>
      <c r="L412" s="3" t="str">
        <f t="shared" si="6"/>
        <v/>
      </c>
      <c r="N412" t="s">
        <v>19</v>
      </c>
    </row>
    <row r="413" spans="1:14" x14ac:dyDescent="0.3">
      <c r="A413">
        <v>354</v>
      </c>
      <c r="B413" t="s">
        <v>237</v>
      </c>
      <c r="C413" t="s">
        <v>238</v>
      </c>
      <c r="D413" t="s">
        <v>1069</v>
      </c>
      <c r="E413" t="s">
        <v>17</v>
      </c>
      <c r="F413" t="s">
        <v>1070</v>
      </c>
      <c r="G413" s="3">
        <v>13.5</v>
      </c>
      <c r="H413" s="3">
        <v>2.0249999999999999</v>
      </c>
      <c r="I413" s="3">
        <v>11.475</v>
      </c>
      <c r="J413" s="3">
        <f>Table1[[#This Row],[قيمة الفاتورة]]*0.94-Table1[[#This Row],[قيمة المشاركة]]</f>
        <v>10.664999999999999</v>
      </c>
      <c r="K413">
        <v>10.664</v>
      </c>
      <c r="L413" s="3">
        <f t="shared" si="6"/>
        <v>9.9999999999944578E-4</v>
      </c>
      <c r="M413" t="s">
        <v>1071</v>
      </c>
      <c r="N413" t="s">
        <v>19</v>
      </c>
    </row>
    <row r="414" spans="1:14" x14ac:dyDescent="0.3">
      <c r="A414">
        <v>355</v>
      </c>
      <c r="B414" t="s">
        <v>1072</v>
      </c>
      <c r="C414" t="s">
        <v>1073</v>
      </c>
      <c r="D414" t="s">
        <v>1074</v>
      </c>
      <c r="E414" t="s">
        <v>17</v>
      </c>
      <c r="F414" t="s">
        <v>1070</v>
      </c>
      <c r="G414" s="3">
        <v>28.41</v>
      </c>
      <c r="H414" s="3">
        <v>4.2610000000000001</v>
      </c>
      <c r="I414" s="3">
        <v>24.149000000000001</v>
      </c>
      <c r="J414" s="3">
        <f>Table1[[#This Row],[قيمة الفاتورة]]*0.94-Table1[[#This Row],[قيمة المشاركة]]</f>
        <v>22.444399999999998</v>
      </c>
      <c r="L414" s="3" t="str">
        <f t="shared" si="6"/>
        <v/>
      </c>
      <c r="N414" t="s">
        <v>19</v>
      </c>
    </row>
    <row r="415" spans="1:14" x14ac:dyDescent="0.3">
      <c r="A415">
        <v>356</v>
      </c>
      <c r="B415" t="s">
        <v>385</v>
      </c>
      <c r="C415" t="s">
        <v>743</v>
      </c>
      <c r="D415" t="s">
        <v>1075</v>
      </c>
      <c r="E415" t="s">
        <v>23</v>
      </c>
      <c r="F415" t="s">
        <v>1070</v>
      </c>
      <c r="G415" s="3">
        <v>30.38</v>
      </c>
      <c r="H415" s="3">
        <v>0</v>
      </c>
      <c r="I415" s="3">
        <v>30.38</v>
      </c>
      <c r="J415" s="3">
        <f>Table1[[#This Row],[قيمة الفاتورة]]*0.94-Table1[[#This Row],[قيمة المشاركة]]</f>
        <v>28.557199999999998</v>
      </c>
      <c r="L415" s="3" t="str">
        <f t="shared" si="6"/>
        <v/>
      </c>
      <c r="N415" t="s">
        <v>19</v>
      </c>
    </row>
    <row r="416" spans="1:14" x14ac:dyDescent="0.3">
      <c r="A416">
        <v>358</v>
      </c>
      <c r="B416" t="s">
        <v>1076</v>
      </c>
      <c r="C416" t="s">
        <v>1077</v>
      </c>
      <c r="D416" t="s">
        <v>1078</v>
      </c>
      <c r="E416" t="s">
        <v>23</v>
      </c>
      <c r="F416" t="s">
        <v>1070</v>
      </c>
      <c r="G416" s="3">
        <v>16.940000000000001</v>
      </c>
      <c r="H416" s="3">
        <v>0</v>
      </c>
      <c r="I416" s="3">
        <v>16.940000000000001</v>
      </c>
      <c r="J416" s="3">
        <f>Table1[[#This Row],[قيمة الفاتورة]]*0.94-Table1[[#This Row],[قيمة المشاركة]]</f>
        <v>15.9236</v>
      </c>
      <c r="L416" s="3" t="str">
        <f t="shared" si="6"/>
        <v/>
      </c>
      <c r="N416" t="s">
        <v>19</v>
      </c>
    </row>
    <row r="417" spans="1:14" x14ac:dyDescent="0.3">
      <c r="A417">
        <v>359</v>
      </c>
      <c r="B417" t="s">
        <v>1079</v>
      </c>
      <c r="C417" t="s">
        <v>1080</v>
      </c>
      <c r="D417" t="s">
        <v>1081</v>
      </c>
      <c r="E417" t="s">
        <v>23</v>
      </c>
      <c r="F417" t="s">
        <v>1070</v>
      </c>
      <c r="G417" s="3">
        <v>19.89</v>
      </c>
      <c r="H417" s="3">
        <v>0</v>
      </c>
      <c r="I417" s="3">
        <v>19.89</v>
      </c>
      <c r="J417" s="3">
        <f>Table1[[#This Row],[قيمة الفاتورة]]*0.94-Table1[[#This Row],[قيمة المشاركة]]</f>
        <v>18.6966</v>
      </c>
      <c r="L417" s="3" t="str">
        <f t="shared" si="6"/>
        <v/>
      </c>
      <c r="N417" t="s">
        <v>19</v>
      </c>
    </row>
    <row r="418" spans="1:14" x14ac:dyDescent="0.3">
      <c r="A418">
        <v>357</v>
      </c>
      <c r="B418" t="s">
        <v>1082</v>
      </c>
      <c r="C418" t="s">
        <v>1083</v>
      </c>
      <c r="D418" t="s">
        <v>1084</v>
      </c>
      <c r="E418" t="s">
        <v>23</v>
      </c>
      <c r="F418" t="s">
        <v>1070</v>
      </c>
      <c r="G418" s="3">
        <v>17.170000000000002</v>
      </c>
      <c r="H418" s="3">
        <v>0</v>
      </c>
      <c r="I418" s="3">
        <v>17.170000000000002</v>
      </c>
      <c r="J418" s="3">
        <f>Table1[[#This Row],[قيمة الفاتورة]]*0.94-Table1[[#This Row],[قيمة المشاركة]]</f>
        <v>16.139800000000001</v>
      </c>
      <c r="L418" s="3" t="str">
        <f t="shared" si="6"/>
        <v/>
      </c>
      <c r="N418" t="s">
        <v>19</v>
      </c>
    </row>
    <row r="419" spans="1:14" x14ac:dyDescent="0.3">
      <c r="A419">
        <v>59</v>
      </c>
      <c r="B419" t="s">
        <v>1057</v>
      </c>
      <c r="C419" t="s">
        <v>1058</v>
      </c>
      <c r="D419" t="s">
        <v>1085</v>
      </c>
      <c r="E419" t="s">
        <v>17</v>
      </c>
      <c r="F419" t="s">
        <v>1070</v>
      </c>
      <c r="G419" s="3">
        <v>12.62</v>
      </c>
      <c r="H419" s="3">
        <v>0</v>
      </c>
      <c r="I419" s="3">
        <v>12.62</v>
      </c>
      <c r="J419" s="3">
        <f>Table1[[#This Row],[قيمة الفاتورة]]*0.94-Table1[[#This Row],[قيمة المشاركة]]</f>
        <v>11.862799999999998</v>
      </c>
      <c r="L419" s="3" t="str">
        <f t="shared" si="6"/>
        <v/>
      </c>
      <c r="N419" t="s">
        <v>19</v>
      </c>
    </row>
    <row r="420" spans="1:14" x14ac:dyDescent="0.3">
      <c r="A420">
        <v>60</v>
      </c>
      <c r="B420" t="s">
        <v>704</v>
      </c>
      <c r="C420" t="s">
        <v>705</v>
      </c>
      <c r="D420" t="s">
        <v>1086</v>
      </c>
      <c r="E420" t="s">
        <v>23</v>
      </c>
      <c r="F420" t="s">
        <v>1070</v>
      </c>
      <c r="G420" s="3">
        <v>28.33</v>
      </c>
      <c r="H420" s="3">
        <v>0</v>
      </c>
      <c r="I420" s="3">
        <v>28.33</v>
      </c>
      <c r="J420" s="3">
        <f>Table1[[#This Row],[قيمة الفاتورة]]*0.94-Table1[[#This Row],[قيمة المشاركة]]</f>
        <v>26.630199999999999</v>
      </c>
      <c r="L420" s="3" t="str">
        <f t="shared" si="6"/>
        <v/>
      </c>
      <c r="N420" t="s">
        <v>19</v>
      </c>
    </row>
    <row r="421" spans="1:14" x14ac:dyDescent="0.3">
      <c r="A421">
        <v>61</v>
      </c>
      <c r="B421" t="s">
        <v>578</v>
      </c>
      <c r="C421" t="s">
        <v>1087</v>
      </c>
      <c r="D421" t="s">
        <v>1088</v>
      </c>
      <c r="E421" t="s">
        <v>23</v>
      </c>
      <c r="F421" t="s">
        <v>1089</v>
      </c>
      <c r="G421" s="3">
        <v>9.5299999999999994</v>
      </c>
      <c r="H421" s="3">
        <v>0</v>
      </c>
      <c r="I421" s="3">
        <v>9.5299999999999994</v>
      </c>
      <c r="J421" s="3">
        <f>Table1[[#This Row],[قيمة الفاتورة]]*0.94-Table1[[#This Row],[قيمة المشاركة]]</f>
        <v>8.9581999999999997</v>
      </c>
      <c r="L421" s="3" t="str">
        <f t="shared" si="6"/>
        <v/>
      </c>
      <c r="N421" t="s">
        <v>19</v>
      </c>
    </row>
    <row r="422" spans="1:14" x14ac:dyDescent="0.3">
      <c r="A422">
        <v>361</v>
      </c>
      <c r="B422" t="s">
        <v>1090</v>
      </c>
      <c r="C422" t="s">
        <v>1091</v>
      </c>
      <c r="D422" t="s">
        <v>1092</v>
      </c>
      <c r="E422" t="s">
        <v>23</v>
      </c>
      <c r="F422" t="s">
        <v>1093</v>
      </c>
      <c r="G422" s="3">
        <v>7.77</v>
      </c>
      <c r="H422" s="3">
        <v>1.165</v>
      </c>
      <c r="I422" s="3">
        <v>6.6050000000000004</v>
      </c>
      <c r="J422" s="3">
        <f>Table1[[#This Row],[قيمة الفاتورة]]*0.94-Table1[[#This Row],[قيمة المشاركة]]</f>
        <v>6.1387999999999989</v>
      </c>
      <c r="L422" s="3" t="str">
        <f t="shared" si="6"/>
        <v/>
      </c>
      <c r="N422" t="s">
        <v>19</v>
      </c>
    </row>
    <row r="423" spans="1:14" x14ac:dyDescent="0.3">
      <c r="A423">
        <v>360</v>
      </c>
      <c r="B423" t="s">
        <v>1094</v>
      </c>
      <c r="C423" t="s">
        <v>1095</v>
      </c>
      <c r="D423" t="s">
        <v>1096</v>
      </c>
      <c r="E423" t="s">
        <v>23</v>
      </c>
      <c r="F423" t="s">
        <v>1093</v>
      </c>
      <c r="G423" s="3">
        <v>4.13</v>
      </c>
      <c r="H423" s="3">
        <v>0.61899999999999999</v>
      </c>
      <c r="I423" s="3">
        <v>3.5110000000000001</v>
      </c>
      <c r="J423" s="3">
        <f>Table1[[#This Row],[قيمة الفاتورة]]*0.94-Table1[[#This Row],[قيمة المشاركة]]</f>
        <v>3.2631999999999994</v>
      </c>
      <c r="L423" s="3" t="str">
        <f t="shared" si="6"/>
        <v/>
      </c>
      <c r="N423" t="s">
        <v>19</v>
      </c>
    </row>
    <row r="424" spans="1:14" x14ac:dyDescent="0.3">
      <c r="A424">
        <v>362</v>
      </c>
      <c r="B424" t="s">
        <v>172</v>
      </c>
      <c r="C424" t="s">
        <v>173</v>
      </c>
      <c r="D424" t="s">
        <v>1097</v>
      </c>
      <c r="E424" t="s">
        <v>23</v>
      </c>
      <c r="F424" t="s">
        <v>1093</v>
      </c>
      <c r="G424" s="3">
        <v>22.17</v>
      </c>
      <c r="H424" s="3">
        <v>0</v>
      </c>
      <c r="I424" s="3">
        <v>22.17</v>
      </c>
      <c r="J424" s="3">
        <f>Table1[[#This Row],[قيمة الفاتورة]]*0.94-Table1[[#This Row],[قيمة المشاركة]]</f>
        <v>20.8398</v>
      </c>
      <c r="L424" s="3" t="str">
        <f t="shared" si="6"/>
        <v/>
      </c>
      <c r="N424" t="s">
        <v>19</v>
      </c>
    </row>
    <row r="425" spans="1:14" x14ac:dyDescent="0.3">
      <c r="A425">
        <v>62</v>
      </c>
      <c r="B425" t="s">
        <v>104</v>
      </c>
      <c r="C425" t="s">
        <v>105</v>
      </c>
      <c r="D425" t="s">
        <v>1098</v>
      </c>
      <c r="E425" t="s">
        <v>17</v>
      </c>
      <c r="F425" t="s">
        <v>1093</v>
      </c>
      <c r="G425" s="3">
        <v>24.2</v>
      </c>
      <c r="H425" s="3">
        <v>0</v>
      </c>
      <c r="I425" s="3">
        <v>24.2</v>
      </c>
      <c r="J425" s="3">
        <f>Table1[[#This Row],[قيمة الفاتورة]]*0.94-Table1[[#This Row],[قيمة المشاركة]]</f>
        <v>22.747999999999998</v>
      </c>
      <c r="L425" s="3" t="str">
        <f t="shared" si="6"/>
        <v/>
      </c>
      <c r="N425" t="s">
        <v>19</v>
      </c>
    </row>
    <row r="426" spans="1:14" x14ac:dyDescent="0.3">
      <c r="A426">
        <v>63</v>
      </c>
      <c r="B426" t="s">
        <v>1099</v>
      </c>
      <c r="C426" t="s">
        <v>1100</v>
      </c>
      <c r="D426" t="s">
        <v>1101</v>
      </c>
      <c r="E426" t="s">
        <v>17</v>
      </c>
      <c r="F426" t="s">
        <v>1093</v>
      </c>
      <c r="G426" s="3">
        <v>21.42</v>
      </c>
      <c r="H426" s="3">
        <v>0</v>
      </c>
      <c r="I426" s="3">
        <v>21.42</v>
      </c>
      <c r="J426" s="3">
        <f>Table1[[#This Row],[قيمة الفاتورة]]*0.94-Table1[[#This Row],[قيمة المشاركة]]</f>
        <v>20.134800000000002</v>
      </c>
      <c r="L426" s="3" t="str">
        <f t="shared" si="6"/>
        <v/>
      </c>
      <c r="N426" t="s">
        <v>19</v>
      </c>
    </row>
    <row r="427" spans="1:14" x14ac:dyDescent="0.3">
      <c r="A427">
        <v>64</v>
      </c>
      <c r="B427" t="s">
        <v>800</v>
      </c>
      <c r="C427" t="s">
        <v>1102</v>
      </c>
      <c r="D427" t="s">
        <v>1103</v>
      </c>
      <c r="E427" t="s">
        <v>23</v>
      </c>
      <c r="F427" t="s">
        <v>1093</v>
      </c>
      <c r="G427" s="3">
        <v>6.62</v>
      </c>
      <c r="H427" s="3">
        <v>0</v>
      </c>
      <c r="I427" s="3">
        <v>6.62</v>
      </c>
      <c r="J427" s="3">
        <f>Table1[[#This Row],[قيمة الفاتورة]]*0.94-Table1[[#This Row],[قيمة المشاركة]]</f>
        <v>6.2227999999999994</v>
      </c>
      <c r="L427" s="3" t="str">
        <f t="shared" si="6"/>
        <v/>
      </c>
      <c r="N427" t="s">
        <v>19</v>
      </c>
    </row>
    <row r="428" spans="1:14" x14ac:dyDescent="0.3">
      <c r="A428">
        <v>363</v>
      </c>
      <c r="B428" t="s">
        <v>1104</v>
      </c>
      <c r="C428" t="s">
        <v>1105</v>
      </c>
      <c r="D428" t="s">
        <v>1106</v>
      </c>
      <c r="E428" t="s">
        <v>17</v>
      </c>
      <c r="F428" t="s">
        <v>1107</v>
      </c>
      <c r="G428" s="3">
        <v>20.88</v>
      </c>
      <c r="H428" s="3">
        <v>0</v>
      </c>
      <c r="I428" s="3">
        <v>20.88</v>
      </c>
      <c r="J428" s="3">
        <f>Table1[[#This Row],[قيمة الفاتورة]]*0.94-Table1[[#This Row],[قيمة المشاركة]]</f>
        <v>19.627199999999998</v>
      </c>
      <c r="L428" s="3" t="str">
        <f t="shared" si="6"/>
        <v/>
      </c>
      <c r="N428" t="s">
        <v>19</v>
      </c>
    </row>
    <row r="429" spans="1:14" x14ac:dyDescent="0.3">
      <c r="A429">
        <v>364</v>
      </c>
      <c r="B429" t="s">
        <v>411</v>
      </c>
      <c r="C429" t="s">
        <v>412</v>
      </c>
      <c r="D429" t="s">
        <v>1108</v>
      </c>
      <c r="E429" t="s">
        <v>23</v>
      </c>
      <c r="F429" t="s">
        <v>1107</v>
      </c>
      <c r="G429" s="3">
        <v>4.7699999999999996</v>
      </c>
      <c r="H429" s="3">
        <v>0</v>
      </c>
      <c r="I429" s="3">
        <v>4.7699999999999996</v>
      </c>
      <c r="J429" s="3">
        <f>Table1[[#This Row],[قيمة الفاتورة]]*0.94-Table1[[#This Row],[قيمة المشاركة]]</f>
        <v>4.4837999999999996</v>
      </c>
      <c r="L429" s="3" t="str">
        <f t="shared" si="6"/>
        <v/>
      </c>
      <c r="N429" t="s">
        <v>19</v>
      </c>
    </row>
    <row r="430" spans="1:14" x14ac:dyDescent="0.3">
      <c r="A430">
        <v>366</v>
      </c>
      <c r="B430" t="s">
        <v>411</v>
      </c>
      <c r="C430" t="s">
        <v>412</v>
      </c>
      <c r="D430" t="s">
        <v>1109</v>
      </c>
      <c r="E430" t="s">
        <v>23</v>
      </c>
      <c r="F430" t="s">
        <v>1107</v>
      </c>
      <c r="G430" s="3">
        <v>17.77</v>
      </c>
      <c r="H430" s="3">
        <v>0</v>
      </c>
      <c r="I430" s="3">
        <v>17.77</v>
      </c>
      <c r="J430" s="3">
        <f>Table1[[#This Row],[قيمة الفاتورة]]*0.94-Table1[[#This Row],[قيمة المشاركة]]</f>
        <v>16.703799999999998</v>
      </c>
      <c r="L430" s="3" t="str">
        <f t="shared" si="6"/>
        <v/>
      </c>
      <c r="N430" t="s">
        <v>19</v>
      </c>
    </row>
    <row r="431" spans="1:14" x14ac:dyDescent="0.3">
      <c r="A431">
        <v>365</v>
      </c>
      <c r="B431" t="s">
        <v>1110</v>
      </c>
      <c r="C431" t="s">
        <v>1111</v>
      </c>
      <c r="D431" t="s">
        <v>1112</v>
      </c>
      <c r="E431" t="s">
        <v>23</v>
      </c>
      <c r="F431" t="s">
        <v>1107</v>
      </c>
      <c r="G431" s="3">
        <v>24.33</v>
      </c>
      <c r="H431" s="3">
        <v>0</v>
      </c>
      <c r="I431" s="3">
        <v>24.33</v>
      </c>
      <c r="J431" s="3">
        <f>Table1[[#This Row],[قيمة الفاتورة]]*0.94-Table1[[#This Row],[قيمة المشاركة]]</f>
        <v>22.870199999999997</v>
      </c>
      <c r="L431" s="3" t="str">
        <f t="shared" si="6"/>
        <v/>
      </c>
      <c r="N431" t="s">
        <v>19</v>
      </c>
    </row>
    <row r="432" spans="1:14" x14ac:dyDescent="0.3">
      <c r="A432">
        <v>65</v>
      </c>
      <c r="B432" t="s">
        <v>1113</v>
      </c>
      <c r="C432" t="s">
        <v>1114</v>
      </c>
      <c r="D432" t="s">
        <v>1115</v>
      </c>
      <c r="E432" t="s">
        <v>23</v>
      </c>
      <c r="F432" t="s">
        <v>1107</v>
      </c>
      <c r="G432" s="3">
        <v>6.08</v>
      </c>
      <c r="H432" s="3">
        <v>0</v>
      </c>
      <c r="I432" s="3">
        <v>6.08</v>
      </c>
      <c r="J432" s="3">
        <f>Table1[[#This Row],[قيمة الفاتورة]]*0.94-Table1[[#This Row],[قيمة المشاركة]]</f>
        <v>5.7151999999999994</v>
      </c>
      <c r="L432" s="3" t="str">
        <f t="shared" si="6"/>
        <v/>
      </c>
      <c r="N432" t="s">
        <v>19</v>
      </c>
    </row>
    <row r="433" spans="1:14" x14ac:dyDescent="0.3">
      <c r="A433">
        <v>367</v>
      </c>
      <c r="B433" t="s">
        <v>45</v>
      </c>
      <c r="C433" t="s">
        <v>46</v>
      </c>
      <c r="D433" t="s">
        <v>1116</v>
      </c>
      <c r="E433" t="s">
        <v>17</v>
      </c>
      <c r="F433" t="s">
        <v>1117</v>
      </c>
      <c r="G433" s="3">
        <v>8.33</v>
      </c>
      <c r="H433" s="3">
        <v>0</v>
      </c>
      <c r="I433" s="3">
        <v>8.33</v>
      </c>
      <c r="J433" s="3">
        <f>Table1[[#This Row],[قيمة الفاتورة]]*0.94-Table1[[#This Row],[قيمة المشاركة]]</f>
        <v>7.8301999999999996</v>
      </c>
      <c r="K433">
        <v>7.83</v>
      </c>
      <c r="L433" s="3">
        <f t="shared" si="6"/>
        <v>1.9999999999953388E-4</v>
      </c>
      <c r="M433" t="s">
        <v>1071</v>
      </c>
      <c r="N433" t="s">
        <v>19</v>
      </c>
    </row>
    <row r="434" spans="1:14" x14ac:dyDescent="0.3">
      <c r="A434">
        <v>368</v>
      </c>
      <c r="B434" t="s">
        <v>793</v>
      </c>
      <c r="C434" t="s">
        <v>1118</v>
      </c>
      <c r="D434" t="s">
        <v>1119</v>
      </c>
      <c r="E434" t="s">
        <v>23</v>
      </c>
      <c r="F434" t="s">
        <v>1117</v>
      </c>
      <c r="G434" s="3">
        <v>32.909999999999997</v>
      </c>
      <c r="H434" s="3">
        <v>0</v>
      </c>
      <c r="I434" s="3">
        <v>32.909999999999997</v>
      </c>
      <c r="J434" s="3">
        <f>Table1[[#This Row],[قيمة الفاتورة]]*0.94-Table1[[#This Row],[قيمة المشاركة]]</f>
        <v>30.935399999999994</v>
      </c>
      <c r="K434">
        <v>30.934999999999999</v>
      </c>
      <c r="L434" s="3">
        <f t="shared" si="6"/>
        <v>3.9999999999551505E-4</v>
      </c>
      <c r="M434" t="s">
        <v>1071</v>
      </c>
      <c r="N434" t="s">
        <v>19</v>
      </c>
    </row>
    <row r="435" spans="1:14" x14ac:dyDescent="0.3">
      <c r="A435">
        <v>369</v>
      </c>
      <c r="B435" t="s">
        <v>710</v>
      </c>
      <c r="C435" t="s">
        <v>1120</v>
      </c>
      <c r="D435" t="s">
        <v>1121</v>
      </c>
      <c r="E435" t="s">
        <v>23</v>
      </c>
      <c r="F435" t="s">
        <v>1122</v>
      </c>
      <c r="G435" s="3">
        <v>55.51</v>
      </c>
      <c r="H435" s="3">
        <v>5.5510000000000002</v>
      </c>
      <c r="I435" s="3">
        <v>49.959000000000003</v>
      </c>
      <c r="J435" s="3">
        <f>Table1[[#This Row],[قيمة الفاتورة]]*0.94-Table1[[#This Row],[قيمة المشاركة]]</f>
        <v>46.628399999999992</v>
      </c>
      <c r="L435" s="3" t="str">
        <f t="shared" si="6"/>
        <v/>
      </c>
      <c r="N435" t="s">
        <v>328</v>
      </c>
    </row>
    <row r="436" spans="1:14" x14ac:dyDescent="0.3">
      <c r="A436">
        <v>373</v>
      </c>
      <c r="B436" t="s">
        <v>447</v>
      </c>
      <c r="C436" t="s">
        <v>448</v>
      </c>
      <c r="D436" t="s">
        <v>1123</v>
      </c>
      <c r="E436" t="s">
        <v>23</v>
      </c>
      <c r="F436" t="s">
        <v>1124</v>
      </c>
      <c r="G436" s="3">
        <v>13.605</v>
      </c>
      <c r="H436" s="3">
        <v>0</v>
      </c>
      <c r="I436" s="3">
        <v>13.605</v>
      </c>
      <c r="J436" s="3">
        <f>Table1[[#This Row],[قيمة الفاتورة]]*0.94-Table1[[#This Row],[قيمة المشاركة]]</f>
        <v>12.7887</v>
      </c>
      <c r="K436">
        <v>12.99</v>
      </c>
      <c r="L436" s="3">
        <f t="shared" si="6"/>
        <v>-0.20129999999999981</v>
      </c>
      <c r="M436" t="s">
        <v>1071</v>
      </c>
      <c r="N436" t="s">
        <v>19</v>
      </c>
    </row>
    <row r="437" spans="1:14" x14ac:dyDescent="0.3">
      <c r="A437">
        <v>372</v>
      </c>
      <c r="B437" t="s">
        <v>1125</v>
      </c>
      <c r="C437" t="s">
        <v>620</v>
      </c>
      <c r="D437" t="s">
        <v>1126</v>
      </c>
      <c r="E437" t="s">
        <v>23</v>
      </c>
      <c r="F437" t="s">
        <v>1124</v>
      </c>
      <c r="G437" s="3">
        <v>9.56</v>
      </c>
      <c r="H437" s="3">
        <v>0</v>
      </c>
      <c r="I437" s="3">
        <v>9.56</v>
      </c>
      <c r="J437" s="3">
        <f>Table1[[#This Row],[قيمة الفاتورة]]*0.94-Table1[[#This Row],[قيمة المشاركة]]</f>
        <v>8.9863999999999997</v>
      </c>
      <c r="K437">
        <v>8.9870000000000001</v>
      </c>
      <c r="L437" s="3">
        <f t="shared" si="6"/>
        <v>-6.0000000000037801E-4</v>
      </c>
      <c r="M437" t="s">
        <v>1071</v>
      </c>
      <c r="N437" t="s">
        <v>19</v>
      </c>
    </row>
    <row r="438" spans="1:14" x14ac:dyDescent="0.3">
      <c r="A438">
        <v>371</v>
      </c>
      <c r="B438" t="s">
        <v>1127</v>
      </c>
      <c r="C438" t="s">
        <v>1128</v>
      </c>
      <c r="D438" t="s">
        <v>1129</v>
      </c>
      <c r="E438" t="s">
        <v>23</v>
      </c>
      <c r="F438" t="s">
        <v>1124</v>
      </c>
      <c r="G438" s="3">
        <v>5.05</v>
      </c>
      <c r="H438" s="3">
        <v>0</v>
      </c>
      <c r="I438" s="3">
        <v>5.05</v>
      </c>
      <c r="J438" s="3">
        <f>Table1[[#This Row],[قيمة الفاتورة]]*0.94-Table1[[#This Row],[قيمة المشاركة]]</f>
        <v>4.7469999999999999</v>
      </c>
      <c r="K438">
        <v>4.7469999999999999</v>
      </c>
      <c r="L438" s="3">
        <f t="shared" si="6"/>
        <v>0</v>
      </c>
      <c r="M438" t="s">
        <v>1071</v>
      </c>
      <c r="N438" t="s">
        <v>19</v>
      </c>
    </row>
    <row r="439" spans="1:14" x14ac:dyDescent="0.3">
      <c r="A439">
        <v>370</v>
      </c>
      <c r="B439" t="s">
        <v>98</v>
      </c>
      <c r="C439" t="s">
        <v>99</v>
      </c>
      <c r="D439" t="s">
        <v>1130</v>
      </c>
      <c r="E439" t="s">
        <v>17</v>
      </c>
      <c r="F439" t="s">
        <v>1124</v>
      </c>
      <c r="G439" s="3">
        <v>37.450000000000003</v>
      </c>
      <c r="H439" s="3">
        <v>0</v>
      </c>
      <c r="I439" s="3">
        <v>37.450000000000003</v>
      </c>
      <c r="J439" s="3">
        <f>Table1[[#This Row],[قيمة الفاتورة]]*0.94-Table1[[#This Row],[قيمة المشاركة]]</f>
        <v>35.203000000000003</v>
      </c>
      <c r="K439">
        <v>34.188000000000002</v>
      </c>
      <c r="L439" s="3">
        <f t="shared" si="6"/>
        <v>1.0150000000000006</v>
      </c>
      <c r="M439" t="s">
        <v>1071</v>
      </c>
      <c r="N439" t="s">
        <v>19</v>
      </c>
    </row>
    <row r="440" spans="1:14" x14ac:dyDescent="0.3">
      <c r="A440">
        <v>374</v>
      </c>
      <c r="B440" t="s">
        <v>1131</v>
      </c>
      <c r="C440" t="s">
        <v>1132</v>
      </c>
      <c r="D440" t="s">
        <v>1133</v>
      </c>
      <c r="E440" t="s">
        <v>23</v>
      </c>
      <c r="F440" t="s">
        <v>1124</v>
      </c>
      <c r="G440" s="3">
        <v>21.75</v>
      </c>
      <c r="H440" s="3">
        <v>2.1749999999999998</v>
      </c>
      <c r="I440" s="3">
        <v>19.574999999999999</v>
      </c>
      <c r="J440" s="3">
        <f>Table1[[#This Row],[قيمة الفاتورة]]*0.94-Table1[[#This Row],[قيمة المشاركة]]</f>
        <v>18.27</v>
      </c>
      <c r="L440" s="3" t="str">
        <f t="shared" si="6"/>
        <v/>
      </c>
      <c r="N440" t="s">
        <v>328</v>
      </c>
    </row>
    <row r="441" spans="1:14" x14ac:dyDescent="0.3">
      <c r="A441">
        <v>375</v>
      </c>
      <c r="B441" t="s">
        <v>1134</v>
      </c>
      <c r="C441" t="s">
        <v>1135</v>
      </c>
      <c r="D441" t="s">
        <v>1136</v>
      </c>
      <c r="E441" t="s">
        <v>23</v>
      </c>
      <c r="F441" t="s">
        <v>1124</v>
      </c>
      <c r="G441" s="3">
        <v>34.090000000000003</v>
      </c>
      <c r="H441" s="3">
        <v>3.4089999999999998</v>
      </c>
      <c r="I441" s="3">
        <v>30.681000000000001</v>
      </c>
      <c r="J441" s="3">
        <f>Table1[[#This Row],[قيمة الفاتورة]]*0.94-Table1[[#This Row],[قيمة المشاركة]]</f>
        <v>28.635600000000004</v>
      </c>
      <c r="L441" s="3" t="str">
        <f t="shared" si="6"/>
        <v/>
      </c>
    </row>
    <row r="442" spans="1:14" x14ac:dyDescent="0.3">
      <c r="A442">
        <v>376</v>
      </c>
      <c r="B442" t="s">
        <v>1137</v>
      </c>
      <c r="C442" t="s">
        <v>804</v>
      </c>
      <c r="D442" t="s">
        <v>1138</v>
      </c>
      <c r="E442" t="s">
        <v>23</v>
      </c>
      <c r="F442" t="s">
        <v>1139</v>
      </c>
      <c r="G442" s="3">
        <v>2.89</v>
      </c>
      <c r="H442" s="3">
        <v>0</v>
      </c>
      <c r="I442" s="3">
        <v>2.89</v>
      </c>
      <c r="J442" s="3">
        <f>Table1[[#This Row],[قيمة الفاتورة]]*0.94-Table1[[#This Row],[قيمة المشاركة]]</f>
        <v>2.7166000000000001</v>
      </c>
      <c r="K442">
        <v>2.7170000000000001</v>
      </c>
      <c r="L442" s="3">
        <f t="shared" si="6"/>
        <v>-3.9999999999995595E-4</v>
      </c>
      <c r="M442" t="s">
        <v>1071</v>
      </c>
      <c r="N442" t="s">
        <v>19</v>
      </c>
    </row>
    <row r="443" spans="1:14" x14ac:dyDescent="0.3">
      <c r="A443">
        <v>380</v>
      </c>
      <c r="B443" t="s">
        <v>563</v>
      </c>
      <c r="C443" t="s">
        <v>1140</v>
      </c>
      <c r="D443" t="s">
        <v>1141</v>
      </c>
      <c r="E443" t="s">
        <v>23</v>
      </c>
      <c r="F443" t="s">
        <v>1142</v>
      </c>
      <c r="G443" s="3">
        <v>23.39</v>
      </c>
      <c r="H443" s="3">
        <v>0</v>
      </c>
      <c r="I443" s="3">
        <v>23.39</v>
      </c>
      <c r="J443" s="3">
        <f>Table1[[#This Row],[قيمة الفاتورة]]*0.94-Table1[[#This Row],[قيمة المشاركة]]</f>
        <v>21.986599999999999</v>
      </c>
      <c r="K443">
        <v>23.039000000000001</v>
      </c>
      <c r="L443" s="3">
        <f t="shared" si="6"/>
        <v>-1.0524000000000022</v>
      </c>
      <c r="M443" t="s">
        <v>1071</v>
      </c>
      <c r="N443" t="s">
        <v>19</v>
      </c>
    </row>
    <row r="444" spans="1:14" x14ac:dyDescent="0.3">
      <c r="A444">
        <v>379</v>
      </c>
      <c r="B444" t="s">
        <v>1143</v>
      </c>
      <c r="C444" t="s">
        <v>1144</v>
      </c>
      <c r="D444" t="s">
        <v>1145</v>
      </c>
      <c r="E444" t="s">
        <v>23</v>
      </c>
      <c r="F444" t="s">
        <v>1142</v>
      </c>
      <c r="G444" s="3">
        <v>11.85</v>
      </c>
      <c r="H444" s="3">
        <v>0</v>
      </c>
      <c r="I444" s="3">
        <v>11.85</v>
      </c>
      <c r="J444" s="3">
        <f>Table1[[#This Row],[قيمة الفاتورة]]*0.94-Table1[[#This Row],[قيمة المشاركة]]</f>
        <v>11.138999999999999</v>
      </c>
      <c r="K444">
        <v>11.14</v>
      </c>
      <c r="L444" s="3">
        <f t="shared" si="6"/>
        <v>-1.0000000000012221E-3</v>
      </c>
      <c r="M444" t="s">
        <v>1071</v>
      </c>
      <c r="N444" t="s">
        <v>19</v>
      </c>
    </row>
    <row r="445" spans="1:14" x14ac:dyDescent="0.3">
      <c r="A445">
        <v>382</v>
      </c>
      <c r="B445" t="s">
        <v>1146</v>
      </c>
      <c r="C445" t="s">
        <v>433</v>
      </c>
      <c r="D445" t="s">
        <v>1147</v>
      </c>
      <c r="E445" t="s">
        <v>23</v>
      </c>
      <c r="F445" t="s">
        <v>1142</v>
      </c>
      <c r="G445" s="3">
        <v>9.3000000000000007</v>
      </c>
      <c r="H445" s="3">
        <v>0</v>
      </c>
      <c r="I445" s="3">
        <v>9.3000000000000007</v>
      </c>
      <c r="J445" s="3">
        <f>Table1[[#This Row],[قيمة الفاتورة]]*0.94-Table1[[#This Row],[قيمة المشاركة]]</f>
        <v>8.7420000000000009</v>
      </c>
      <c r="K445">
        <v>8.7420000000000009</v>
      </c>
      <c r="L445" s="3">
        <f t="shared" si="6"/>
        <v>0</v>
      </c>
      <c r="M445" t="s">
        <v>1071</v>
      </c>
      <c r="N445" t="s">
        <v>19</v>
      </c>
    </row>
    <row r="446" spans="1:14" x14ac:dyDescent="0.3">
      <c r="A446">
        <v>377</v>
      </c>
      <c r="B446" t="s">
        <v>1148</v>
      </c>
      <c r="C446" t="s">
        <v>1149</v>
      </c>
      <c r="D446" t="s">
        <v>1150</v>
      </c>
      <c r="E446" t="s">
        <v>17</v>
      </c>
      <c r="F446" t="s">
        <v>1142</v>
      </c>
      <c r="G446" s="3">
        <v>20.949000000000002</v>
      </c>
      <c r="H446" s="3">
        <v>0</v>
      </c>
      <c r="I446" s="3">
        <v>20.949000000000002</v>
      </c>
      <c r="J446" s="3">
        <f>Table1[[#This Row],[قيمة الفاتورة]]*0.94-Table1[[#This Row],[قيمة المشاركة]]</f>
        <v>19.692060000000001</v>
      </c>
      <c r="K446">
        <v>19.692</v>
      </c>
      <c r="L446" s="3">
        <f t="shared" si="6"/>
        <v>6.0000000001281251E-5</v>
      </c>
      <c r="M446" t="s">
        <v>1071</v>
      </c>
      <c r="N446" t="s">
        <v>19</v>
      </c>
    </row>
    <row r="447" spans="1:14" x14ac:dyDescent="0.3">
      <c r="A447">
        <v>381</v>
      </c>
      <c r="B447" t="s">
        <v>1151</v>
      </c>
      <c r="C447" t="s">
        <v>1152</v>
      </c>
      <c r="D447" t="s">
        <v>1153</v>
      </c>
      <c r="E447" t="s">
        <v>23</v>
      </c>
      <c r="F447" t="s">
        <v>1142</v>
      </c>
      <c r="G447" s="3">
        <v>25.48</v>
      </c>
      <c r="H447" s="3">
        <v>0</v>
      </c>
      <c r="I447" s="3">
        <v>25.48</v>
      </c>
      <c r="J447" s="3">
        <f>Table1[[#This Row],[قيمة الفاتورة]]*0.94-Table1[[#This Row],[قيمة المشاركة]]</f>
        <v>23.9512</v>
      </c>
      <c r="K447">
        <v>23.951000000000001</v>
      </c>
      <c r="L447" s="3">
        <f t="shared" si="6"/>
        <v>1.9999999999953388E-4</v>
      </c>
      <c r="M447" t="s">
        <v>1071</v>
      </c>
      <c r="N447" t="s">
        <v>19</v>
      </c>
    </row>
    <row r="448" spans="1:14" x14ac:dyDescent="0.3">
      <c r="A448">
        <v>378</v>
      </c>
      <c r="B448" t="s">
        <v>1154</v>
      </c>
      <c r="C448" t="s">
        <v>1155</v>
      </c>
      <c r="D448" t="s">
        <v>1156</v>
      </c>
      <c r="E448" t="s">
        <v>17</v>
      </c>
      <c r="F448" t="s">
        <v>1142</v>
      </c>
      <c r="G448" s="3">
        <v>21.48</v>
      </c>
      <c r="H448" s="3">
        <v>0</v>
      </c>
      <c r="I448" s="3">
        <v>21.48</v>
      </c>
      <c r="J448" s="3">
        <f>Table1[[#This Row],[قيمة الفاتورة]]*0.94-Table1[[#This Row],[قيمة المشاركة]]</f>
        <v>20.191199999999998</v>
      </c>
      <c r="K448">
        <v>18.902999999999999</v>
      </c>
      <c r="L448" s="3">
        <f t="shared" si="6"/>
        <v>1.2881999999999998</v>
      </c>
      <c r="M448" t="s">
        <v>1071</v>
      </c>
      <c r="N448" t="s">
        <v>19</v>
      </c>
    </row>
    <row r="449" spans="1:14" x14ac:dyDescent="0.3">
      <c r="A449">
        <v>383</v>
      </c>
      <c r="B449" t="s">
        <v>343</v>
      </c>
      <c r="C449" t="s">
        <v>344</v>
      </c>
      <c r="D449" t="s">
        <v>1157</v>
      </c>
      <c r="E449" t="s">
        <v>17</v>
      </c>
      <c r="F449" t="s">
        <v>1142</v>
      </c>
      <c r="G449" s="3">
        <v>32.6</v>
      </c>
      <c r="H449" s="3">
        <v>0</v>
      </c>
      <c r="I449" s="3">
        <v>32.6</v>
      </c>
      <c r="J449" s="3">
        <f>Table1[[#This Row],[قيمة الفاتورة]]*0.94-Table1[[#This Row],[قيمة المشاركة]]</f>
        <v>30.643999999999998</v>
      </c>
      <c r="L449" s="3" t="str">
        <f t="shared" si="6"/>
        <v/>
      </c>
      <c r="N449" t="s">
        <v>19</v>
      </c>
    </row>
    <row r="450" spans="1:14" x14ac:dyDescent="0.3">
      <c r="A450">
        <v>386</v>
      </c>
      <c r="B450" t="s">
        <v>678</v>
      </c>
      <c r="C450" t="s">
        <v>679</v>
      </c>
      <c r="D450" t="s">
        <v>1158</v>
      </c>
      <c r="E450" t="s">
        <v>23</v>
      </c>
      <c r="F450" t="s">
        <v>1159</v>
      </c>
      <c r="G450" s="3">
        <v>24.24</v>
      </c>
      <c r="H450" s="3">
        <v>0</v>
      </c>
      <c r="I450" s="3">
        <v>24.24</v>
      </c>
      <c r="J450" s="3">
        <f>Table1[[#This Row],[قيمة الفاتورة]]*0.94-Table1[[#This Row],[قيمة المشاركة]]</f>
        <v>22.785599999999999</v>
      </c>
      <c r="K450">
        <v>22.786000000000001</v>
      </c>
      <c r="L450" s="3">
        <f t="shared" ref="L450:L513" si="7">IF(ISNUMBER(K450), J450-K450, "")</f>
        <v>-4.0000000000262048E-4</v>
      </c>
      <c r="M450" t="s">
        <v>1071</v>
      </c>
      <c r="N450" t="s">
        <v>19</v>
      </c>
    </row>
    <row r="451" spans="1:14" x14ac:dyDescent="0.3">
      <c r="A451">
        <v>67</v>
      </c>
      <c r="B451" t="s">
        <v>1160</v>
      </c>
      <c r="C451" t="s">
        <v>1161</v>
      </c>
      <c r="D451" t="s">
        <v>1162</v>
      </c>
      <c r="E451" t="s">
        <v>17</v>
      </c>
      <c r="F451" t="s">
        <v>1159</v>
      </c>
      <c r="G451" s="3">
        <v>8.0399999999999991</v>
      </c>
      <c r="H451" s="3">
        <v>1.206</v>
      </c>
      <c r="I451" s="3">
        <v>6.8339999999999996</v>
      </c>
      <c r="J451" s="3">
        <f>Table1[[#This Row],[قيمة الفاتورة]]*0.94-Table1[[#This Row],[قيمة المشاركة]]</f>
        <v>6.3515999999999995</v>
      </c>
      <c r="K451">
        <v>6.3520000000000003</v>
      </c>
      <c r="L451" s="3">
        <f t="shared" si="7"/>
        <v>-4.0000000000084412E-4</v>
      </c>
      <c r="M451" t="s">
        <v>1071</v>
      </c>
      <c r="N451" t="s">
        <v>19</v>
      </c>
    </row>
    <row r="452" spans="1:14" x14ac:dyDescent="0.3">
      <c r="A452">
        <v>385</v>
      </c>
      <c r="B452" t="s">
        <v>1163</v>
      </c>
      <c r="C452" t="s">
        <v>1164</v>
      </c>
      <c r="D452" t="s">
        <v>1165</v>
      </c>
      <c r="E452" t="s">
        <v>17</v>
      </c>
      <c r="F452" t="s">
        <v>1159</v>
      </c>
      <c r="G452" s="3">
        <v>8.34</v>
      </c>
      <c r="H452" s="3">
        <v>0</v>
      </c>
      <c r="I452" s="3">
        <v>8.34</v>
      </c>
      <c r="J452" s="3">
        <f>Table1[[#This Row],[قيمة الفاتورة]]*0.94-Table1[[#This Row],[قيمة المشاركة]]</f>
        <v>7.839599999999999</v>
      </c>
      <c r="K452">
        <v>7.84</v>
      </c>
      <c r="L452" s="3">
        <f t="shared" si="7"/>
        <v>-4.0000000000084412E-4</v>
      </c>
      <c r="M452" t="s">
        <v>1071</v>
      </c>
      <c r="N452" t="s">
        <v>19</v>
      </c>
    </row>
    <row r="453" spans="1:14" x14ac:dyDescent="0.3">
      <c r="A453">
        <v>388</v>
      </c>
      <c r="B453" t="s">
        <v>1166</v>
      </c>
      <c r="C453" t="s">
        <v>1167</v>
      </c>
      <c r="D453" t="s">
        <v>1168</v>
      </c>
      <c r="E453" t="s">
        <v>23</v>
      </c>
      <c r="F453" t="s">
        <v>1159</v>
      </c>
      <c r="G453" s="3">
        <v>14.31</v>
      </c>
      <c r="H453" s="3">
        <v>0</v>
      </c>
      <c r="I453" s="3">
        <v>14.31</v>
      </c>
      <c r="J453" s="3">
        <f>Table1[[#This Row],[قيمة الفاتورة]]*0.94-Table1[[#This Row],[قيمة المشاركة]]</f>
        <v>13.4514</v>
      </c>
      <c r="K453">
        <v>13.451000000000001</v>
      </c>
      <c r="L453" s="3">
        <f t="shared" si="7"/>
        <v>3.9999999999906777E-4</v>
      </c>
      <c r="M453" t="s">
        <v>1071</v>
      </c>
      <c r="N453" t="s">
        <v>19</v>
      </c>
    </row>
    <row r="454" spans="1:14" x14ac:dyDescent="0.3">
      <c r="A454">
        <v>66</v>
      </c>
      <c r="B454" t="s">
        <v>1169</v>
      </c>
      <c r="C454" t="s">
        <v>1170</v>
      </c>
      <c r="D454" t="s">
        <v>1171</v>
      </c>
      <c r="E454" t="s">
        <v>17</v>
      </c>
      <c r="F454" t="s">
        <v>1159</v>
      </c>
      <c r="G454" s="3">
        <v>28.26</v>
      </c>
      <c r="H454" s="3">
        <v>0</v>
      </c>
      <c r="I454" s="3">
        <v>28.26</v>
      </c>
      <c r="J454" s="3">
        <f>Table1[[#This Row],[قيمة الفاتورة]]*0.94-Table1[[#This Row],[قيمة المشاركة]]</f>
        <v>26.564399999999999</v>
      </c>
      <c r="K454">
        <v>26.564</v>
      </c>
      <c r="L454" s="3">
        <f t="shared" si="7"/>
        <v>3.9999999999906777E-4</v>
      </c>
      <c r="M454" t="s">
        <v>1071</v>
      </c>
      <c r="N454" t="s">
        <v>19</v>
      </c>
    </row>
    <row r="455" spans="1:14" x14ac:dyDescent="0.3">
      <c r="A455">
        <v>384</v>
      </c>
      <c r="B455" t="s">
        <v>65</v>
      </c>
      <c r="C455" t="s">
        <v>1172</v>
      </c>
      <c r="D455" t="s">
        <v>1173</v>
      </c>
      <c r="E455" t="s">
        <v>17</v>
      </c>
      <c r="F455" t="s">
        <v>1159</v>
      </c>
      <c r="G455" s="3">
        <v>1.52</v>
      </c>
      <c r="H455" s="3">
        <v>0</v>
      </c>
      <c r="I455" s="3">
        <v>1.52</v>
      </c>
      <c r="J455" s="3">
        <f>Table1[[#This Row],[قيمة الفاتورة]]*0.94-Table1[[#This Row],[قيمة المشاركة]]</f>
        <v>1.4287999999999998</v>
      </c>
      <c r="K455">
        <v>1.419</v>
      </c>
      <c r="L455" s="3">
        <f t="shared" si="7"/>
        <v>9.7999999999998089E-3</v>
      </c>
      <c r="M455" t="s">
        <v>1071</v>
      </c>
      <c r="N455" t="s">
        <v>19</v>
      </c>
    </row>
    <row r="456" spans="1:14" x14ac:dyDescent="0.3">
      <c r="A456">
        <v>387</v>
      </c>
      <c r="B456" t="s">
        <v>1174</v>
      </c>
      <c r="C456" t="s">
        <v>405</v>
      </c>
      <c r="D456" t="s">
        <v>1175</v>
      </c>
      <c r="E456" t="s">
        <v>23</v>
      </c>
      <c r="F456" t="s">
        <v>1159</v>
      </c>
      <c r="G456" s="3">
        <v>18.86</v>
      </c>
      <c r="H456" s="3">
        <v>0</v>
      </c>
      <c r="I456" s="3">
        <v>18.86</v>
      </c>
      <c r="J456" s="3">
        <f>Table1[[#This Row],[قيمة الفاتورة]]*0.94-Table1[[#This Row],[قيمة المشاركة]]</f>
        <v>17.728399999999997</v>
      </c>
      <c r="K456">
        <v>17.7</v>
      </c>
      <c r="L456" s="3">
        <f t="shared" si="7"/>
        <v>2.839999999999776E-2</v>
      </c>
      <c r="M456" t="s">
        <v>1071</v>
      </c>
      <c r="N456" t="s">
        <v>19</v>
      </c>
    </row>
    <row r="457" spans="1:14" x14ac:dyDescent="0.3">
      <c r="A457">
        <v>389</v>
      </c>
      <c r="B457" t="s">
        <v>1176</v>
      </c>
      <c r="C457" t="s">
        <v>1177</v>
      </c>
      <c r="D457" t="s">
        <v>1178</v>
      </c>
      <c r="E457" t="s">
        <v>23</v>
      </c>
      <c r="F457" t="s">
        <v>1159</v>
      </c>
      <c r="G457" s="3">
        <v>5.63</v>
      </c>
      <c r="H457" s="3">
        <v>0</v>
      </c>
      <c r="I457" s="3">
        <v>5.63</v>
      </c>
      <c r="J457" s="3">
        <f>Table1[[#This Row],[قيمة الفاتورة]]*0.94-Table1[[#This Row],[قيمة المشاركة]]</f>
        <v>5.2921999999999993</v>
      </c>
      <c r="K457">
        <v>5.0659999999999998</v>
      </c>
      <c r="L457" s="3">
        <f t="shared" si="7"/>
        <v>0.22619999999999951</v>
      </c>
      <c r="M457" t="s">
        <v>1071</v>
      </c>
      <c r="N457" t="s">
        <v>19</v>
      </c>
    </row>
    <row r="458" spans="1:14" x14ac:dyDescent="0.3">
      <c r="A458">
        <v>393</v>
      </c>
      <c r="B458" t="s">
        <v>938</v>
      </c>
      <c r="C458" t="s">
        <v>939</v>
      </c>
      <c r="D458" t="s">
        <v>1179</v>
      </c>
      <c r="E458" t="s">
        <v>17</v>
      </c>
      <c r="F458" t="s">
        <v>1180</v>
      </c>
      <c r="G458" s="3">
        <v>50.44</v>
      </c>
      <c r="H458" s="3">
        <v>0</v>
      </c>
      <c r="I458" s="3">
        <v>50.44</v>
      </c>
      <c r="J458" s="3">
        <f>Table1[[#This Row],[قيمة الفاتورة]]*0.94-Table1[[#This Row],[قيمة المشاركة]]</f>
        <v>47.413599999999995</v>
      </c>
      <c r="K458">
        <v>47.63</v>
      </c>
      <c r="L458" s="3">
        <f t="shared" si="7"/>
        <v>-0.21640000000000725</v>
      </c>
      <c r="M458" t="s">
        <v>1071</v>
      </c>
      <c r="N458" t="s">
        <v>19</v>
      </c>
    </row>
    <row r="459" spans="1:14" x14ac:dyDescent="0.3">
      <c r="A459">
        <v>390</v>
      </c>
      <c r="B459" t="s">
        <v>500</v>
      </c>
      <c r="C459" t="s">
        <v>501</v>
      </c>
      <c r="D459" t="s">
        <v>1181</v>
      </c>
      <c r="E459" t="s">
        <v>17</v>
      </c>
      <c r="F459" t="s">
        <v>1180</v>
      </c>
      <c r="G459" s="3">
        <v>30.55</v>
      </c>
      <c r="H459" s="3">
        <v>0</v>
      </c>
      <c r="I459" s="3">
        <v>30.55</v>
      </c>
      <c r="J459" s="3">
        <f>Table1[[#This Row],[قيمة الفاتورة]]*0.94-Table1[[#This Row],[قيمة المشاركة]]</f>
        <v>28.716999999999999</v>
      </c>
      <c r="K459">
        <v>28.716999999999999</v>
      </c>
      <c r="L459" s="3">
        <f t="shared" si="7"/>
        <v>0</v>
      </c>
      <c r="M459" t="s">
        <v>1071</v>
      </c>
      <c r="N459" t="s">
        <v>19</v>
      </c>
    </row>
    <row r="460" spans="1:14" x14ac:dyDescent="0.3">
      <c r="A460">
        <v>392</v>
      </c>
      <c r="B460" t="s">
        <v>272</v>
      </c>
      <c r="C460" t="s">
        <v>1182</v>
      </c>
      <c r="D460" t="s">
        <v>1183</v>
      </c>
      <c r="E460" t="s">
        <v>17</v>
      </c>
      <c r="F460" t="s">
        <v>1180</v>
      </c>
      <c r="G460" s="3">
        <v>33.64</v>
      </c>
      <c r="H460" s="3">
        <v>0</v>
      </c>
      <c r="I460" s="3">
        <v>33.64</v>
      </c>
      <c r="J460" s="3">
        <f>Table1[[#This Row],[قيمة الفاتورة]]*0.94-Table1[[#This Row],[قيمة المشاركة]]</f>
        <v>31.621599999999997</v>
      </c>
      <c r="K460">
        <v>31.199000000000002</v>
      </c>
      <c r="L460" s="3">
        <f t="shared" si="7"/>
        <v>0.42259999999999565</v>
      </c>
      <c r="M460" t="s">
        <v>1071</v>
      </c>
      <c r="N460" t="s">
        <v>19</v>
      </c>
    </row>
    <row r="461" spans="1:14" x14ac:dyDescent="0.3">
      <c r="A461">
        <v>391</v>
      </c>
      <c r="B461" t="s">
        <v>1184</v>
      </c>
      <c r="C461" t="s">
        <v>1185</v>
      </c>
      <c r="D461" t="s">
        <v>1186</v>
      </c>
      <c r="E461" t="s">
        <v>17</v>
      </c>
      <c r="F461" t="s">
        <v>1180</v>
      </c>
      <c r="G461" s="3">
        <v>32.655000000000001</v>
      </c>
      <c r="H461" s="3">
        <v>0</v>
      </c>
      <c r="I461" s="3">
        <v>32.655000000000001</v>
      </c>
      <c r="J461" s="3">
        <f>Table1[[#This Row],[قيمة الفاتورة]]*0.94-Table1[[#This Row],[قيمة المشاركة]]</f>
        <v>30.695699999999999</v>
      </c>
      <c r="K461">
        <v>29.681000000000001</v>
      </c>
      <c r="L461" s="3">
        <f t="shared" si="7"/>
        <v>1.0146999999999977</v>
      </c>
      <c r="M461" t="s">
        <v>1071</v>
      </c>
      <c r="N461" t="s">
        <v>19</v>
      </c>
    </row>
    <row r="462" spans="1:14" x14ac:dyDescent="0.3">
      <c r="A462">
        <v>394</v>
      </c>
      <c r="B462" t="s">
        <v>268</v>
      </c>
      <c r="C462" t="s">
        <v>173</v>
      </c>
      <c r="D462" t="s">
        <v>1187</v>
      </c>
      <c r="E462" t="s">
        <v>17</v>
      </c>
      <c r="F462" t="s">
        <v>1188</v>
      </c>
      <c r="G462" s="3">
        <v>16.21</v>
      </c>
      <c r="H462" s="3">
        <v>0</v>
      </c>
      <c r="I462" s="3">
        <v>16.21</v>
      </c>
      <c r="J462" s="3">
        <f>Table1[[#This Row],[قيمة الفاتورة]]*0.94-Table1[[#This Row],[قيمة المشاركة]]</f>
        <v>15.237399999999999</v>
      </c>
      <c r="K462">
        <v>15.237</v>
      </c>
      <c r="L462" s="3">
        <f t="shared" si="7"/>
        <v>3.9999999999906777E-4</v>
      </c>
      <c r="M462" t="s">
        <v>1071</v>
      </c>
      <c r="N462" t="s">
        <v>19</v>
      </c>
    </row>
    <row r="463" spans="1:14" x14ac:dyDescent="0.3">
      <c r="A463">
        <v>68</v>
      </c>
      <c r="B463" t="s">
        <v>85</v>
      </c>
      <c r="C463" t="s">
        <v>86</v>
      </c>
      <c r="D463" t="s">
        <v>1189</v>
      </c>
      <c r="E463" t="s">
        <v>23</v>
      </c>
      <c r="F463" t="s">
        <v>1188</v>
      </c>
      <c r="G463" s="3">
        <v>26.46</v>
      </c>
      <c r="H463" s="3">
        <v>0</v>
      </c>
      <c r="I463" s="3">
        <v>26.46</v>
      </c>
      <c r="J463" s="3">
        <f>Table1[[#This Row],[قيمة الفاتورة]]*0.94-Table1[[#This Row],[قيمة المشاركة]]</f>
        <v>24.872399999999999</v>
      </c>
      <c r="K463">
        <v>24.872</v>
      </c>
      <c r="L463" s="3">
        <f t="shared" si="7"/>
        <v>3.9999999999906777E-4</v>
      </c>
      <c r="M463" t="s">
        <v>1071</v>
      </c>
      <c r="N463" t="s">
        <v>19</v>
      </c>
    </row>
    <row r="464" spans="1:14" x14ac:dyDescent="0.3">
      <c r="A464">
        <v>397</v>
      </c>
      <c r="B464" t="s">
        <v>1190</v>
      </c>
      <c r="C464" t="s">
        <v>1191</v>
      </c>
      <c r="D464" t="s">
        <v>1192</v>
      </c>
      <c r="E464" t="s">
        <v>23</v>
      </c>
      <c r="F464" t="s">
        <v>1188</v>
      </c>
      <c r="G464" s="3">
        <v>23.37</v>
      </c>
      <c r="H464" s="3">
        <v>0</v>
      </c>
      <c r="I464" s="3">
        <v>23.37</v>
      </c>
      <c r="J464" s="3">
        <f>Table1[[#This Row],[قيمة الفاتورة]]*0.94-Table1[[#This Row],[قيمة المشاركة]]</f>
        <v>21.9678</v>
      </c>
      <c r="K464">
        <v>21.966999999999999</v>
      </c>
      <c r="L464" s="3">
        <f t="shared" si="7"/>
        <v>8.0000000000168825E-4</v>
      </c>
      <c r="M464" t="s">
        <v>1071</v>
      </c>
      <c r="N464" t="s">
        <v>19</v>
      </c>
    </row>
    <row r="465" spans="1:14" x14ac:dyDescent="0.3">
      <c r="A465">
        <v>395</v>
      </c>
      <c r="B465" t="s">
        <v>669</v>
      </c>
      <c r="C465" t="s">
        <v>670</v>
      </c>
      <c r="D465" t="s">
        <v>1193</v>
      </c>
      <c r="E465" t="s">
        <v>23</v>
      </c>
      <c r="F465" t="s">
        <v>1188</v>
      </c>
      <c r="G465" s="3">
        <v>24.25</v>
      </c>
      <c r="H465" s="3">
        <v>0</v>
      </c>
      <c r="I465" s="3">
        <v>24.25</v>
      </c>
      <c r="J465" s="3">
        <f>Table1[[#This Row],[قيمة الفاتورة]]*0.94-Table1[[#This Row],[قيمة المشاركة]]</f>
        <v>22.794999999999998</v>
      </c>
      <c r="K465">
        <v>22.786000000000001</v>
      </c>
      <c r="L465" s="3">
        <f t="shared" si="7"/>
        <v>8.9999999999967883E-3</v>
      </c>
      <c r="M465" t="s">
        <v>1071</v>
      </c>
      <c r="N465" t="s">
        <v>19</v>
      </c>
    </row>
    <row r="466" spans="1:14" x14ac:dyDescent="0.3">
      <c r="A466">
        <v>396</v>
      </c>
      <c r="B466" t="s">
        <v>1194</v>
      </c>
      <c r="C466" t="s">
        <v>1195</v>
      </c>
      <c r="D466" t="s">
        <v>1196</v>
      </c>
      <c r="E466" t="s">
        <v>23</v>
      </c>
      <c r="F466" t="s">
        <v>1188</v>
      </c>
      <c r="G466" s="3">
        <v>31.8</v>
      </c>
      <c r="H466" s="3">
        <v>0</v>
      </c>
      <c r="I466" s="3">
        <v>31.8</v>
      </c>
      <c r="J466" s="3">
        <f>Table1[[#This Row],[قيمة الفاتورة]]*0.94-Table1[[#This Row],[قيمة المشاركة]]</f>
        <v>29.891999999999999</v>
      </c>
      <c r="L466" s="3" t="str">
        <f t="shared" si="7"/>
        <v/>
      </c>
      <c r="N466" t="s">
        <v>19</v>
      </c>
    </row>
    <row r="467" spans="1:14" x14ac:dyDescent="0.3">
      <c r="A467">
        <v>71</v>
      </c>
      <c r="B467" t="s">
        <v>1197</v>
      </c>
      <c r="C467" t="s">
        <v>1198</v>
      </c>
      <c r="D467" t="s">
        <v>1199</v>
      </c>
      <c r="E467" t="s">
        <v>23</v>
      </c>
      <c r="F467" t="s">
        <v>1200</v>
      </c>
      <c r="G467" s="3">
        <v>15.2</v>
      </c>
      <c r="H467" s="3">
        <v>0</v>
      </c>
      <c r="I467" s="3">
        <v>15.2</v>
      </c>
      <c r="J467" s="3">
        <f>Table1[[#This Row],[قيمة الفاتورة]]*0.94-Table1[[#This Row],[قيمة المشاركة]]</f>
        <v>14.287999999999998</v>
      </c>
      <c r="K467">
        <v>14.289</v>
      </c>
      <c r="L467" s="3">
        <f t="shared" si="7"/>
        <v>-1.0000000000012221E-3</v>
      </c>
      <c r="M467" t="s">
        <v>1071</v>
      </c>
      <c r="N467" t="s">
        <v>19</v>
      </c>
    </row>
    <row r="468" spans="1:14" x14ac:dyDescent="0.3">
      <c r="A468">
        <v>74</v>
      </c>
      <c r="B468" t="s">
        <v>1201</v>
      </c>
      <c r="C468" t="s">
        <v>1202</v>
      </c>
      <c r="D468" t="s">
        <v>1203</v>
      </c>
      <c r="E468" t="s">
        <v>23</v>
      </c>
      <c r="F468" t="s">
        <v>1200</v>
      </c>
      <c r="G468" s="3">
        <v>19.04</v>
      </c>
      <c r="H468" s="3">
        <v>0</v>
      </c>
      <c r="I468" s="3">
        <v>19.04</v>
      </c>
      <c r="J468" s="3">
        <f>Table1[[#This Row],[قيمة الفاتورة]]*0.94-Table1[[#This Row],[قيمة المشاركة]]</f>
        <v>17.897599999999997</v>
      </c>
      <c r="K468">
        <v>17.898</v>
      </c>
      <c r="L468" s="3">
        <f t="shared" si="7"/>
        <v>-4.0000000000262048E-4</v>
      </c>
      <c r="M468" t="s">
        <v>1071</v>
      </c>
      <c r="N468" t="s">
        <v>19</v>
      </c>
    </row>
    <row r="469" spans="1:14" x14ac:dyDescent="0.3">
      <c r="A469">
        <v>70</v>
      </c>
      <c r="B469" t="s">
        <v>1204</v>
      </c>
      <c r="C469" t="s">
        <v>1205</v>
      </c>
      <c r="D469" t="s">
        <v>1206</v>
      </c>
      <c r="E469" t="s">
        <v>23</v>
      </c>
      <c r="F469" t="s">
        <v>1200</v>
      </c>
      <c r="G469" s="3">
        <v>7.29</v>
      </c>
      <c r="H469" s="3">
        <v>0</v>
      </c>
      <c r="I469" s="3">
        <v>7.29</v>
      </c>
      <c r="J469" s="3">
        <f>Table1[[#This Row],[قيمة الفاتورة]]*0.94-Table1[[#This Row],[قيمة المشاركة]]</f>
        <v>6.8525999999999998</v>
      </c>
      <c r="K469">
        <v>6.8529999999999998</v>
      </c>
      <c r="L469" s="3">
        <f t="shared" si="7"/>
        <v>-3.9999999999995595E-4</v>
      </c>
      <c r="M469" t="s">
        <v>1071</v>
      </c>
      <c r="N469" t="s">
        <v>19</v>
      </c>
    </row>
    <row r="470" spans="1:14" x14ac:dyDescent="0.3">
      <c r="A470">
        <v>399</v>
      </c>
      <c r="B470" t="s">
        <v>1207</v>
      </c>
      <c r="C470" t="s">
        <v>1208</v>
      </c>
      <c r="D470" t="s">
        <v>1209</v>
      </c>
      <c r="E470" t="s">
        <v>23</v>
      </c>
      <c r="F470" t="s">
        <v>1200</v>
      </c>
      <c r="G470" s="3">
        <v>21.55</v>
      </c>
      <c r="H470" s="3">
        <v>0</v>
      </c>
      <c r="I470" s="3">
        <v>21.55</v>
      </c>
      <c r="J470" s="3">
        <f>Table1[[#This Row],[قيمة الفاتورة]]*0.94-Table1[[#This Row],[قيمة المشاركة]]</f>
        <v>20.256999999999998</v>
      </c>
      <c r="K470">
        <v>20.257000000000001</v>
      </c>
      <c r="L470" s="3">
        <f t="shared" si="7"/>
        <v>-3.5527136788005009E-15</v>
      </c>
      <c r="M470" t="s">
        <v>1071</v>
      </c>
      <c r="N470" t="s">
        <v>19</v>
      </c>
    </row>
    <row r="471" spans="1:14" x14ac:dyDescent="0.3">
      <c r="A471">
        <v>69</v>
      </c>
      <c r="B471" t="s">
        <v>1210</v>
      </c>
      <c r="C471" t="s">
        <v>1211</v>
      </c>
      <c r="D471" t="s">
        <v>1212</v>
      </c>
      <c r="E471" t="s">
        <v>17</v>
      </c>
      <c r="F471" t="s">
        <v>1200</v>
      </c>
      <c r="G471" s="3">
        <v>35.51</v>
      </c>
      <c r="H471" s="3">
        <v>0</v>
      </c>
      <c r="I471" s="3">
        <v>35.51</v>
      </c>
      <c r="J471" s="3">
        <f>Table1[[#This Row],[قيمة الفاتورة]]*0.94-Table1[[#This Row],[قيمة المشاركة]]</f>
        <v>33.379399999999997</v>
      </c>
      <c r="K471">
        <v>33.378999999999998</v>
      </c>
      <c r="L471" s="3">
        <f t="shared" si="7"/>
        <v>3.9999999999906777E-4</v>
      </c>
      <c r="M471" t="s">
        <v>1071</v>
      </c>
      <c r="N471" t="s">
        <v>19</v>
      </c>
    </row>
    <row r="472" spans="1:14" x14ac:dyDescent="0.3">
      <c r="A472">
        <v>73</v>
      </c>
      <c r="B472" t="s">
        <v>1213</v>
      </c>
      <c r="C472" t="s">
        <v>1214</v>
      </c>
      <c r="D472" t="s">
        <v>1215</v>
      </c>
      <c r="E472" t="s">
        <v>23</v>
      </c>
      <c r="F472" t="s">
        <v>1200</v>
      </c>
      <c r="G472" s="3">
        <v>30.24</v>
      </c>
      <c r="H472" s="3">
        <v>0</v>
      </c>
      <c r="I472" s="3">
        <v>30.24</v>
      </c>
      <c r="J472" s="3">
        <f>Table1[[#This Row],[قيمة الفاتورة]]*0.94-Table1[[#This Row],[قيمة المشاركة]]</f>
        <v>28.425599999999996</v>
      </c>
      <c r="K472">
        <v>28.425000000000001</v>
      </c>
      <c r="L472" s="3">
        <f t="shared" si="7"/>
        <v>5.9999999999504894E-4</v>
      </c>
      <c r="M472" t="s">
        <v>1071</v>
      </c>
      <c r="N472" t="s">
        <v>19</v>
      </c>
    </row>
    <row r="473" spans="1:14" x14ac:dyDescent="0.3">
      <c r="A473">
        <v>72</v>
      </c>
      <c r="B473" t="s">
        <v>927</v>
      </c>
      <c r="C473" t="s">
        <v>1216</v>
      </c>
      <c r="D473" t="s">
        <v>1217</v>
      </c>
      <c r="E473" t="s">
        <v>23</v>
      </c>
      <c r="F473" t="s">
        <v>1200</v>
      </c>
      <c r="G473" s="3">
        <v>19.100000000000001</v>
      </c>
      <c r="H473" s="3">
        <v>0</v>
      </c>
      <c r="I473" s="3">
        <v>19.100000000000001</v>
      </c>
      <c r="J473" s="3">
        <f>Table1[[#This Row],[قيمة الفاتورة]]*0.94-Table1[[#This Row],[قيمة المشاركة]]</f>
        <v>17.954000000000001</v>
      </c>
      <c r="K473">
        <v>17.945</v>
      </c>
      <c r="L473" s="3">
        <f t="shared" si="7"/>
        <v>9.0000000000003411E-3</v>
      </c>
      <c r="M473" t="s">
        <v>1071</v>
      </c>
      <c r="N473" t="s">
        <v>19</v>
      </c>
    </row>
    <row r="474" spans="1:14" x14ac:dyDescent="0.3">
      <c r="A474">
        <v>400</v>
      </c>
      <c r="B474" t="s">
        <v>1218</v>
      </c>
      <c r="C474" t="s">
        <v>1219</v>
      </c>
      <c r="D474" t="s">
        <v>1220</v>
      </c>
      <c r="E474" t="s">
        <v>23</v>
      </c>
      <c r="F474" t="s">
        <v>1200</v>
      </c>
      <c r="G474" s="3">
        <v>8.84</v>
      </c>
      <c r="H474" s="3">
        <v>0</v>
      </c>
      <c r="I474" s="3">
        <v>8.84</v>
      </c>
      <c r="J474" s="3">
        <f>Table1[[#This Row],[قيمة الفاتورة]]*0.94-Table1[[#This Row],[قيمة المشاركة]]</f>
        <v>8.3095999999999997</v>
      </c>
      <c r="K474">
        <v>8.2899999999999991</v>
      </c>
      <c r="L474" s="3">
        <f t="shared" si="7"/>
        <v>1.9600000000000506E-2</v>
      </c>
      <c r="M474" t="s">
        <v>1071</v>
      </c>
      <c r="N474" t="s">
        <v>19</v>
      </c>
    </row>
    <row r="475" spans="1:14" x14ac:dyDescent="0.3">
      <c r="A475">
        <v>398</v>
      </c>
      <c r="B475" t="s">
        <v>1221</v>
      </c>
      <c r="C475" t="s">
        <v>1222</v>
      </c>
      <c r="D475" t="s">
        <v>1223</v>
      </c>
      <c r="E475" t="s">
        <v>17</v>
      </c>
      <c r="F475" t="s">
        <v>1200</v>
      </c>
      <c r="G475" s="3">
        <v>11.73</v>
      </c>
      <c r="H475" s="3">
        <v>0</v>
      </c>
      <c r="I475" s="3">
        <v>11.73</v>
      </c>
      <c r="J475" s="3">
        <f>Table1[[#This Row],[قيمة الفاتورة]]*0.94-Table1[[#This Row],[قيمة المشاركة]]</f>
        <v>11.026199999999999</v>
      </c>
      <c r="K475">
        <v>10.621</v>
      </c>
      <c r="L475" s="3">
        <f t="shared" si="7"/>
        <v>0.40519999999999889</v>
      </c>
      <c r="M475" t="s">
        <v>1071</v>
      </c>
      <c r="N475" t="s">
        <v>19</v>
      </c>
    </row>
    <row r="476" spans="1:14" x14ac:dyDescent="0.3">
      <c r="A476">
        <v>401</v>
      </c>
      <c r="B476" t="s">
        <v>65</v>
      </c>
      <c r="C476" t="s">
        <v>66</v>
      </c>
      <c r="D476" t="s">
        <v>1224</v>
      </c>
      <c r="E476" t="s">
        <v>17</v>
      </c>
      <c r="F476" t="s">
        <v>1225</v>
      </c>
      <c r="G476" s="3">
        <v>20.43</v>
      </c>
      <c r="H476" s="3">
        <v>0</v>
      </c>
      <c r="I476" s="3">
        <v>20.43</v>
      </c>
      <c r="J476" s="3">
        <f>Table1[[#This Row],[قيمة الفاتورة]]*0.94-Table1[[#This Row],[قيمة المشاركة]]</f>
        <v>19.2042</v>
      </c>
      <c r="K476">
        <v>19.073</v>
      </c>
      <c r="L476" s="3">
        <f t="shared" si="7"/>
        <v>0.13119999999999976</v>
      </c>
      <c r="M476" t="s">
        <v>1071</v>
      </c>
      <c r="N476" t="s">
        <v>19</v>
      </c>
    </row>
    <row r="477" spans="1:14" x14ac:dyDescent="0.3">
      <c r="A477">
        <v>75</v>
      </c>
      <c r="B477" t="s">
        <v>401</v>
      </c>
      <c r="C477" t="s">
        <v>1226</v>
      </c>
      <c r="D477" t="s">
        <v>1227</v>
      </c>
      <c r="E477" t="s">
        <v>17</v>
      </c>
      <c r="F477" t="s">
        <v>1225</v>
      </c>
      <c r="G477" s="3">
        <v>54.8</v>
      </c>
      <c r="H477" s="3">
        <v>0</v>
      </c>
      <c r="I477" s="3">
        <v>54.8</v>
      </c>
      <c r="J477" s="3">
        <f>Table1[[#This Row],[قيمة الفاتورة]]*0.94-Table1[[#This Row],[قيمة المشاركة]]</f>
        <v>51.511999999999993</v>
      </c>
      <c r="K477">
        <v>50.911000000000001</v>
      </c>
      <c r="L477" s="3">
        <f t="shared" si="7"/>
        <v>0.60099999999999199</v>
      </c>
      <c r="M477" t="s">
        <v>1071</v>
      </c>
      <c r="N477" t="s">
        <v>19</v>
      </c>
    </row>
    <row r="478" spans="1:14" x14ac:dyDescent="0.3">
      <c r="A478">
        <v>402</v>
      </c>
      <c r="B478" t="s">
        <v>240</v>
      </c>
      <c r="C478" t="s">
        <v>241</v>
      </c>
      <c r="D478" t="s">
        <v>1228</v>
      </c>
      <c r="E478" t="s">
        <v>17</v>
      </c>
      <c r="F478" t="s">
        <v>1229</v>
      </c>
      <c r="G478" s="3">
        <v>2.69</v>
      </c>
      <c r="H478" s="3">
        <v>0</v>
      </c>
      <c r="I478" s="3">
        <v>2.69</v>
      </c>
      <c r="J478" s="3">
        <f>Table1[[#This Row],[قيمة الفاتورة]]*0.94-Table1[[#This Row],[قيمة المشاركة]]</f>
        <v>2.5286</v>
      </c>
      <c r="K478">
        <v>2.5289999999999999</v>
      </c>
      <c r="L478" s="3">
        <f t="shared" si="7"/>
        <v>-3.9999999999995595E-4</v>
      </c>
      <c r="M478" t="s">
        <v>1071</v>
      </c>
      <c r="N478" t="s">
        <v>19</v>
      </c>
    </row>
    <row r="479" spans="1:14" x14ac:dyDescent="0.3">
      <c r="A479">
        <v>403</v>
      </c>
      <c r="B479" t="s">
        <v>1230</v>
      </c>
      <c r="C479" t="s">
        <v>523</v>
      </c>
      <c r="D479" t="s">
        <v>1231</v>
      </c>
      <c r="E479" t="s">
        <v>23</v>
      </c>
      <c r="F479" t="s">
        <v>1229</v>
      </c>
      <c r="G479" s="3">
        <v>67.98</v>
      </c>
      <c r="H479" s="3">
        <v>0</v>
      </c>
      <c r="I479" s="3">
        <v>67.98</v>
      </c>
      <c r="J479" s="3">
        <f>Table1[[#This Row],[قيمة الفاتورة]]*0.94-Table1[[#This Row],[قيمة المشاركة]]</f>
        <v>63.901200000000003</v>
      </c>
      <c r="K479">
        <v>63.901000000000003</v>
      </c>
      <c r="L479" s="3">
        <f t="shared" si="7"/>
        <v>1.9999999999953388E-4</v>
      </c>
      <c r="M479" t="s">
        <v>1071</v>
      </c>
      <c r="N479" t="s">
        <v>19</v>
      </c>
    </row>
    <row r="480" spans="1:14" x14ac:dyDescent="0.3">
      <c r="A480">
        <v>412</v>
      </c>
      <c r="B480" t="s">
        <v>1232</v>
      </c>
      <c r="C480" t="s">
        <v>1233</v>
      </c>
      <c r="D480" t="s">
        <v>1234</v>
      </c>
      <c r="E480" t="s">
        <v>17</v>
      </c>
      <c r="F480" t="s">
        <v>1235</v>
      </c>
      <c r="G480" s="3">
        <v>47.4</v>
      </c>
      <c r="H480" s="3">
        <v>0</v>
      </c>
      <c r="I480" s="3">
        <v>47.4</v>
      </c>
      <c r="J480" s="3">
        <f>Table1[[#This Row],[قيمة الفاتورة]]*0.94-Table1[[#This Row],[قيمة المشاركة]]</f>
        <v>44.555999999999997</v>
      </c>
      <c r="K480">
        <v>47.460999999999999</v>
      </c>
      <c r="L480" s="3">
        <f t="shared" si="7"/>
        <v>-2.9050000000000011</v>
      </c>
      <c r="M480" t="s">
        <v>1071</v>
      </c>
      <c r="N480" t="s">
        <v>19</v>
      </c>
    </row>
    <row r="481" spans="1:14" x14ac:dyDescent="0.3">
      <c r="A481">
        <v>411</v>
      </c>
      <c r="B481" t="s">
        <v>346</v>
      </c>
      <c r="C481" t="s">
        <v>347</v>
      </c>
      <c r="D481" t="s">
        <v>1236</v>
      </c>
      <c r="E481" t="s">
        <v>23</v>
      </c>
      <c r="F481" t="s">
        <v>1235</v>
      </c>
      <c r="G481" s="3">
        <v>46.11</v>
      </c>
      <c r="H481" s="3">
        <v>0</v>
      </c>
      <c r="I481" s="3">
        <v>46.11</v>
      </c>
      <c r="J481" s="3">
        <f>Table1[[#This Row],[قيمة الفاتورة]]*0.94-Table1[[#This Row],[قيمة المشاركة]]</f>
        <v>43.343399999999995</v>
      </c>
      <c r="K481">
        <v>46.201000000000001</v>
      </c>
      <c r="L481" s="3">
        <f t="shared" si="7"/>
        <v>-2.857600000000005</v>
      </c>
      <c r="M481" t="s">
        <v>1071</v>
      </c>
      <c r="N481" t="s">
        <v>19</v>
      </c>
    </row>
    <row r="482" spans="1:14" x14ac:dyDescent="0.3">
      <c r="A482">
        <v>410</v>
      </c>
      <c r="B482" t="s">
        <v>693</v>
      </c>
      <c r="C482" t="s">
        <v>694</v>
      </c>
      <c r="D482" t="s">
        <v>1237</v>
      </c>
      <c r="E482" t="s">
        <v>23</v>
      </c>
      <c r="F482" t="s">
        <v>1235</v>
      </c>
      <c r="G482" s="3">
        <v>6.2</v>
      </c>
      <c r="H482" s="3">
        <v>0</v>
      </c>
      <c r="I482" s="3">
        <v>6.2</v>
      </c>
      <c r="J482" s="3">
        <f>Table1[[#This Row],[قيمة الفاتورة]]*0.94-Table1[[#This Row],[قيمة المشاركة]]</f>
        <v>5.8279999999999994</v>
      </c>
      <c r="K482">
        <v>6.016</v>
      </c>
      <c r="L482" s="3">
        <f t="shared" si="7"/>
        <v>-0.18800000000000061</v>
      </c>
      <c r="M482" t="s">
        <v>1071</v>
      </c>
      <c r="N482" t="s">
        <v>19</v>
      </c>
    </row>
    <row r="483" spans="1:14" x14ac:dyDescent="0.3">
      <c r="A483">
        <v>409</v>
      </c>
      <c r="B483" t="s">
        <v>234</v>
      </c>
      <c r="C483" t="s">
        <v>235</v>
      </c>
      <c r="D483" t="s">
        <v>1238</v>
      </c>
      <c r="E483" t="s">
        <v>23</v>
      </c>
      <c r="F483" t="s">
        <v>1235</v>
      </c>
      <c r="G483" s="3">
        <v>41.8</v>
      </c>
      <c r="H483" s="3">
        <v>0</v>
      </c>
      <c r="I483" s="3">
        <v>41.8</v>
      </c>
      <c r="J483" s="3">
        <f>Table1[[#This Row],[قيمة الفاتورة]]*0.94-Table1[[#This Row],[قيمة المشاركة]]</f>
        <v>39.291999999999994</v>
      </c>
      <c r="K483">
        <v>39.292999999999999</v>
      </c>
      <c r="L483" s="3">
        <f t="shared" si="7"/>
        <v>-1.0000000000047748E-3</v>
      </c>
      <c r="M483" t="s">
        <v>1071</v>
      </c>
      <c r="N483" t="s">
        <v>19</v>
      </c>
    </row>
    <row r="484" spans="1:14" x14ac:dyDescent="0.3">
      <c r="A484">
        <v>77</v>
      </c>
      <c r="B484" t="s">
        <v>942</v>
      </c>
      <c r="C484" t="s">
        <v>943</v>
      </c>
      <c r="D484" t="s">
        <v>1239</v>
      </c>
      <c r="E484" t="s">
        <v>17</v>
      </c>
      <c r="F484" t="s">
        <v>1235</v>
      </c>
      <c r="G484" s="3">
        <v>14.23</v>
      </c>
      <c r="H484" s="3">
        <v>0</v>
      </c>
      <c r="I484" s="3">
        <v>14.23</v>
      </c>
      <c r="J484" s="3">
        <f>Table1[[#This Row],[قيمة الفاتورة]]*0.94-Table1[[#This Row],[قيمة المشاركة]]</f>
        <v>13.376199999999999</v>
      </c>
      <c r="K484">
        <v>13.375999999999999</v>
      </c>
      <c r="L484" s="3">
        <f t="shared" si="7"/>
        <v>1.9999999999953388E-4</v>
      </c>
      <c r="M484" t="s">
        <v>1071</v>
      </c>
      <c r="N484" t="s">
        <v>19</v>
      </c>
    </row>
    <row r="485" spans="1:14" x14ac:dyDescent="0.3">
      <c r="A485">
        <v>76</v>
      </c>
      <c r="B485" t="s">
        <v>1057</v>
      </c>
      <c r="C485" t="s">
        <v>1058</v>
      </c>
      <c r="D485" t="s">
        <v>1240</v>
      </c>
      <c r="E485" t="s">
        <v>17</v>
      </c>
      <c r="F485" t="s">
        <v>1235</v>
      </c>
      <c r="G485" s="3">
        <v>24.49</v>
      </c>
      <c r="H485" s="3">
        <v>0</v>
      </c>
      <c r="I485" s="3">
        <v>24.49</v>
      </c>
      <c r="J485" s="3">
        <f>Table1[[#This Row],[قيمة الفاتورة]]*0.94-Table1[[#This Row],[قيمة المشاركة]]</f>
        <v>23.020599999999998</v>
      </c>
      <c r="K485">
        <v>23.02</v>
      </c>
      <c r="L485" s="3">
        <f t="shared" si="7"/>
        <v>5.9999999999860165E-4</v>
      </c>
      <c r="M485" t="s">
        <v>1071</v>
      </c>
      <c r="N485" t="s">
        <v>19</v>
      </c>
    </row>
    <row r="486" spans="1:14" x14ac:dyDescent="0.3">
      <c r="A486">
        <v>406</v>
      </c>
      <c r="B486" t="s">
        <v>1241</v>
      </c>
      <c r="C486" t="s">
        <v>1242</v>
      </c>
      <c r="D486" t="s">
        <v>1243</v>
      </c>
      <c r="E486" t="s">
        <v>17</v>
      </c>
      <c r="F486" t="s">
        <v>1235</v>
      </c>
      <c r="G486" s="3">
        <v>17.96</v>
      </c>
      <c r="H486" s="3">
        <v>0</v>
      </c>
      <c r="I486" s="3">
        <v>17.96</v>
      </c>
      <c r="J486" s="3">
        <f>Table1[[#This Row],[قيمة الفاتورة]]*0.94-Table1[[#This Row],[قيمة المشاركة]]</f>
        <v>16.882400000000001</v>
      </c>
      <c r="K486">
        <v>16.853999999999999</v>
      </c>
      <c r="L486" s="3">
        <f t="shared" si="7"/>
        <v>2.8400000000001313E-2</v>
      </c>
      <c r="M486" t="s">
        <v>1071</v>
      </c>
      <c r="N486" t="s">
        <v>19</v>
      </c>
    </row>
    <row r="487" spans="1:14" x14ac:dyDescent="0.3">
      <c r="A487">
        <v>407</v>
      </c>
      <c r="B487" t="s">
        <v>1057</v>
      </c>
      <c r="C487" t="s">
        <v>1244</v>
      </c>
      <c r="D487" t="s">
        <v>1240</v>
      </c>
      <c r="E487" t="s">
        <v>17</v>
      </c>
      <c r="F487" t="s">
        <v>1235</v>
      </c>
      <c r="G487" s="3">
        <v>1.4</v>
      </c>
      <c r="H487" s="3">
        <v>0</v>
      </c>
      <c r="I487" s="3">
        <v>1.4</v>
      </c>
      <c r="J487" s="3">
        <f>Table1[[#This Row],[قيمة الفاتورة]]*0.94-Table1[[#This Row],[قيمة المشاركة]]</f>
        <v>1.3159999999999998</v>
      </c>
      <c r="K487">
        <v>0.97799999999999998</v>
      </c>
      <c r="L487" s="3">
        <f t="shared" si="7"/>
        <v>0.33799999999999986</v>
      </c>
      <c r="M487" t="s">
        <v>1071</v>
      </c>
      <c r="N487" t="s">
        <v>19</v>
      </c>
    </row>
    <row r="488" spans="1:14" x14ac:dyDescent="0.3">
      <c r="A488">
        <v>405</v>
      </c>
      <c r="B488" t="s">
        <v>1245</v>
      </c>
      <c r="C488" t="s">
        <v>718</v>
      </c>
      <c r="D488" t="s">
        <v>1246</v>
      </c>
      <c r="E488" t="s">
        <v>17</v>
      </c>
      <c r="F488" t="s">
        <v>1235</v>
      </c>
      <c r="G488" s="3">
        <v>14.79</v>
      </c>
      <c r="H488" s="3">
        <v>0</v>
      </c>
      <c r="I488" s="3">
        <v>14.79</v>
      </c>
      <c r="J488" s="3">
        <f>Table1[[#This Row],[قيمة الفاتورة]]*0.94-Table1[[#This Row],[قيمة المشاركة]]</f>
        <v>13.902599999999998</v>
      </c>
      <c r="K488">
        <v>13.215999999999999</v>
      </c>
      <c r="L488" s="3">
        <f t="shared" si="7"/>
        <v>0.68659999999999854</v>
      </c>
      <c r="M488" t="s">
        <v>1071</v>
      </c>
      <c r="N488" t="s">
        <v>19</v>
      </c>
    </row>
    <row r="489" spans="1:14" x14ac:dyDescent="0.3">
      <c r="A489">
        <v>408</v>
      </c>
      <c r="B489" t="s">
        <v>1247</v>
      </c>
      <c r="C489" t="s">
        <v>312</v>
      </c>
      <c r="D489" t="s">
        <v>1248</v>
      </c>
      <c r="E489" t="s">
        <v>17</v>
      </c>
      <c r="F489" t="s">
        <v>1235</v>
      </c>
      <c r="G489" s="3">
        <v>49.8</v>
      </c>
      <c r="H489" s="3">
        <v>0</v>
      </c>
      <c r="I489" s="3">
        <v>49.8</v>
      </c>
      <c r="J489" s="3">
        <f>Table1[[#This Row],[قيمة الفاتورة]]*0.94-Table1[[#This Row],[قيمة المشاركة]]</f>
        <v>46.811999999999998</v>
      </c>
      <c r="L489" s="3" t="str">
        <f t="shared" si="7"/>
        <v/>
      </c>
      <c r="N489" t="s">
        <v>328</v>
      </c>
    </row>
    <row r="490" spans="1:14" x14ac:dyDescent="0.3">
      <c r="A490">
        <v>404</v>
      </c>
      <c r="B490" t="s">
        <v>1192</v>
      </c>
      <c r="C490" t="s">
        <v>1191</v>
      </c>
      <c r="D490" t="s">
        <v>1190</v>
      </c>
      <c r="E490" t="s">
        <v>17</v>
      </c>
      <c r="F490" t="s">
        <v>1235</v>
      </c>
      <c r="G490" s="3">
        <v>13.98</v>
      </c>
      <c r="H490" s="3">
        <v>0</v>
      </c>
      <c r="I490" s="3">
        <v>13.98</v>
      </c>
      <c r="J490" s="3">
        <f>Table1[[#This Row],[قيمة الفاتورة]]*0.94-Table1[[#This Row],[قيمة المشاركة]]</f>
        <v>13.1412</v>
      </c>
      <c r="L490" s="3" t="str">
        <f t="shared" si="7"/>
        <v/>
      </c>
      <c r="N490" t="s">
        <v>19</v>
      </c>
    </row>
    <row r="491" spans="1:14" x14ac:dyDescent="0.3">
      <c r="A491">
        <v>413</v>
      </c>
      <c r="B491" t="s">
        <v>1176</v>
      </c>
      <c r="C491" t="s">
        <v>1177</v>
      </c>
      <c r="D491" t="s">
        <v>1249</v>
      </c>
      <c r="E491" t="s">
        <v>23</v>
      </c>
      <c r="F491" t="s">
        <v>1235</v>
      </c>
      <c r="G491" s="3">
        <v>2.746</v>
      </c>
      <c r="H491" s="3">
        <v>0</v>
      </c>
      <c r="I491" s="3">
        <v>2.746</v>
      </c>
      <c r="J491" s="3">
        <f>Table1[[#This Row],[قيمة الفاتورة]]*0.94-Table1[[#This Row],[قيمة المشاركة]]</f>
        <v>2.5812399999999998</v>
      </c>
      <c r="L491" s="3" t="str">
        <f t="shared" si="7"/>
        <v/>
      </c>
      <c r="N491" t="s">
        <v>19</v>
      </c>
    </row>
    <row r="492" spans="1:14" x14ac:dyDescent="0.3">
      <c r="A492">
        <v>417</v>
      </c>
      <c r="B492" t="s">
        <v>867</v>
      </c>
      <c r="C492" t="s">
        <v>1250</v>
      </c>
      <c r="D492" t="s">
        <v>1251</v>
      </c>
      <c r="E492" t="s">
        <v>23</v>
      </c>
      <c r="F492" t="s">
        <v>1252</v>
      </c>
      <c r="G492" s="3">
        <v>31.83</v>
      </c>
      <c r="H492" s="3">
        <v>0</v>
      </c>
      <c r="I492" s="3">
        <v>31.83</v>
      </c>
      <c r="J492" s="3">
        <f>Table1[[#This Row],[قيمة الفاتورة]]*0.94-Table1[[#This Row],[قيمة المشاركة]]</f>
        <v>29.920199999999998</v>
      </c>
      <c r="K492">
        <v>31.856000000000002</v>
      </c>
      <c r="L492" s="3">
        <f t="shared" si="7"/>
        <v>-1.935800000000004</v>
      </c>
      <c r="M492" t="s">
        <v>1071</v>
      </c>
      <c r="N492" t="s">
        <v>19</v>
      </c>
    </row>
    <row r="493" spans="1:14" x14ac:dyDescent="0.3">
      <c r="A493">
        <v>415</v>
      </c>
      <c r="B493" t="s">
        <v>1253</v>
      </c>
      <c r="C493" t="s">
        <v>1254</v>
      </c>
      <c r="D493" t="s">
        <v>1255</v>
      </c>
      <c r="E493" t="s">
        <v>17</v>
      </c>
      <c r="F493" t="s">
        <v>1252</v>
      </c>
      <c r="G493" s="3">
        <v>20.6</v>
      </c>
      <c r="H493" s="3">
        <v>0</v>
      </c>
      <c r="I493" s="3">
        <v>20.6</v>
      </c>
      <c r="J493" s="3">
        <f>Table1[[#This Row],[قيمة الفاتورة]]*0.94-Table1[[#This Row],[قيمة المشاركة]]</f>
        <v>19.364000000000001</v>
      </c>
      <c r="K493">
        <v>19.420999999999999</v>
      </c>
      <c r="L493" s="3">
        <f t="shared" si="7"/>
        <v>-5.6999999999998607E-2</v>
      </c>
      <c r="M493" t="s">
        <v>1071</v>
      </c>
      <c r="N493" t="s">
        <v>19</v>
      </c>
    </row>
    <row r="494" spans="1:14" x14ac:dyDescent="0.3">
      <c r="A494">
        <v>414</v>
      </c>
      <c r="B494" t="s">
        <v>1256</v>
      </c>
      <c r="C494" t="s">
        <v>1257</v>
      </c>
      <c r="D494" t="s">
        <v>1258</v>
      </c>
      <c r="E494" t="s">
        <v>17</v>
      </c>
      <c r="F494" t="s">
        <v>1252</v>
      </c>
      <c r="G494" s="3">
        <v>13.28</v>
      </c>
      <c r="H494" s="3">
        <v>0</v>
      </c>
      <c r="I494" s="3">
        <v>13.28</v>
      </c>
      <c r="J494" s="3">
        <f>Table1[[#This Row],[قيمة الفاتورة]]*0.94-Table1[[#This Row],[قيمة المشاركة]]</f>
        <v>12.483199999999998</v>
      </c>
      <c r="K494">
        <v>12.484</v>
      </c>
      <c r="L494" s="3">
        <f t="shared" si="7"/>
        <v>-8.0000000000168825E-4</v>
      </c>
      <c r="M494" t="s">
        <v>1071</v>
      </c>
      <c r="N494" t="s">
        <v>19</v>
      </c>
    </row>
    <row r="495" spans="1:14" x14ac:dyDescent="0.3">
      <c r="A495">
        <v>416</v>
      </c>
      <c r="B495" t="s">
        <v>278</v>
      </c>
      <c r="C495" t="s">
        <v>279</v>
      </c>
      <c r="D495" t="s">
        <v>1259</v>
      </c>
      <c r="E495" t="s">
        <v>17</v>
      </c>
      <c r="F495" t="s">
        <v>1252</v>
      </c>
      <c r="G495" s="3">
        <v>19.88</v>
      </c>
      <c r="H495" s="3">
        <v>0</v>
      </c>
      <c r="I495" s="3">
        <v>19.88</v>
      </c>
      <c r="J495" s="3">
        <f>Table1[[#This Row],[قيمة الفاتورة]]*0.94-Table1[[#This Row],[قيمة المشاركة]]</f>
        <v>18.687199999999997</v>
      </c>
      <c r="K495">
        <v>18.687000000000001</v>
      </c>
      <c r="L495" s="3">
        <f t="shared" si="7"/>
        <v>1.9999999999598117E-4</v>
      </c>
      <c r="M495" t="s">
        <v>1071</v>
      </c>
      <c r="N495" t="s">
        <v>19</v>
      </c>
    </row>
    <row r="496" spans="1:14" x14ac:dyDescent="0.3">
      <c r="A496">
        <v>78</v>
      </c>
      <c r="B496" t="s">
        <v>942</v>
      </c>
      <c r="C496" t="s">
        <v>943</v>
      </c>
      <c r="D496" t="s">
        <v>1260</v>
      </c>
      <c r="E496" t="s">
        <v>17</v>
      </c>
      <c r="F496" t="s">
        <v>1252</v>
      </c>
      <c r="G496" s="3">
        <v>23.08</v>
      </c>
      <c r="H496" s="3">
        <v>0</v>
      </c>
      <c r="I496" s="3">
        <v>23.08</v>
      </c>
      <c r="J496" s="3">
        <f>Table1[[#This Row],[قيمة الفاتورة]]*0.94-Table1[[#This Row],[قيمة المشاركة]]</f>
        <v>21.695199999999996</v>
      </c>
      <c r="K496">
        <v>21.693999999999999</v>
      </c>
      <c r="L496" s="3">
        <f t="shared" si="7"/>
        <v>1.1999999999972033E-3</v>
      </c>
      <c r="M496" t="s">
        <v>1071</v>
      </c>
      <c r="N496" t="s">
        <v>19</v>
      </c>
    </row>
    <row r="497" spans="1:14" x14ac:dyDescent="0.3">
      <c r="A497">
        <v>418</v>
      </c>
      <c r="B497" t="s">
        <v>1261</v>
      </c>
      <c r="C497" t="s">
        <v>1262</v>
      </c>
      <c r="D497" t="s">
        <v>1263</v>
      </c>
      <c r="E497" t="s">
        <v>23</v>
      </c>
      <c r="F497" t="s">
        <v>1264</v>
      </c>
      <c r="G497" s="3">
        <v>7.03</v>
      </c>
      <c r="H497" s="3">
        <v>0</v>
      </c>
      <c r="I497" s="3">
        <v>7.03</v>
      </c>
      <c r="J497" s="3">
        <f>Table1[[#This Row],[قيمة الفاتورة]]*0.94-Table1[[#This Row],[قيمة المشاركة]]</f>
        <v>6.6082000000000001</v>
      </c>
      <c r="K497">
        <v>6.609</v>
      </c>
      <c r="L497" s="3">
        <f t="shared" si="7"/>
        <v>-7.9999999999991189E-4</v>
      </c>
      <c r="M497" t="s">
        <v>1071</v>
      </c>
      <c r="N497" t="s">
        <v>19</v>
      </c>
    </row>
    <row r="498" spans="1:14" x14ac:dyDescent="0.3">
      <c r="A498">
        <v>419</v>
      </c>
      <c r="B498" t="s">
        <v>1265</v>
      </c>
      <c r="C498" t="s">
        <v>1266</v>
      </c>
      <c r="D498" t="s">
        <v>1267</v>
      </c>
      <c r="E498" t="s">
        <v>23</v>
      </c>
      <c r="F498" t="s">
        <v>1264</v>
      </c>
      <c r="G498" s="3">
        <v>18.63</v>
      </c>
      <c r="H498" s="3">
        <v>2.794</v>
      </c>
      <c r="I498" s="3">
        <v>15.836</v>
      </c>
      <c r="J498" s="3">
        <f>Table1[[#This Row],[قيمة الفاتورة]]*0.94-Table1[[#This Row],[قيمة المشاركة]]</f>
        <v>14.718199999999996</v>
      </c>
      <c r="L498" s="3" t="str">
        <f t="shared" si="7"/>
        <v/>
      </c>
      <c r="N498" t="s">
        <v>19</v>
      </c>
    </row>
    <row r="499" spans="1:14" x14ac:dyDescent="0.3">
      <c r="A499">
        <v>80</v>
      </c>
      <c r="B499" t="s">
        <v>1268</v>
      </c>
      <c r="C499" t="s">
        <v>1269</v>
      </c>
      <c r="D499" t="s">
        <v>1270</v>
      </c>
      <c r="E499" t="s">
        <v>23</v>
      </c>
      <c r="F499" t="s">
        <v>1271</v>
      </c>
      <c r="G499" s="3">
        <v>25.63</v>
      </c>
      <c r="H499" s="3">
        <v>0</v>
      </c>
      <c r="I499" s="3">
        <v>25.63</v>
      </c>
      <c r="J499" s="3">
        <f>Table1[[#This Row],[قيمة الفاتورة]]*0.94-Table1[[#This Row],[قيمة المشاركة]]</f>
        <v>24.092199999999998</v>
      </c>
      <c r="K499">
        <v>24.093</v>
      </c>
      <c r="L499" s="3">
        <f t="shared" si="7"/>
        <v>-8.0000000000168825E-4</v>
      </c>
      <c r="M499" t="s">
        <v>1071</v>
      </c>
      <c r="N499" t="s">
        <v>19</v>
      </c>
    </row>
    <row r="500" spans="1:14" x14ac:dyDescent="0.3">
      <c r="A500">
        <v>420</v>
      </c>
      <c r="B500" t="s">
        <v>948</v>
      </c>
      <c r="C500" t="s">
        <v>949</v>
      </c>
      <c r="D500" t="s">
        <v>1272</v>
      </c>
      <c r="E500" t="s">
        <v>17</v>
      </c>
      <c r="F500" t="s">
        <v>1271</v>
      </c>
      <c r="G500" s="3">
        <v>25.05</v>
      </c>
      <c r="H500" s="3">
        <v>0</v>
      </c>
      <c r="I500" s="3">
        <v>25.05</v>
      </c>
      <c r="J500" s="3">
        <f>Table1[[#This Row],[قيمة الفاتورة]]*0.94-Table1[[#This Row],[قيمة المشاركة]]</f>
        <v>23.547000000000001</v>
      </c>
      <c r="K500">
        <v>23.547000000000001</v>
      </c>
      <c r="L500" s="3">
        <f t="shared" si="7"/>
        <v>0</v>
      </c>
      <c r="M500" t="s">
        <v>1071</v>
      </c>
      <c r="N500" t="s">
        <v>19</v>
      </c>
    </row>
    <row r="501" spans="1:14" x14ac:dyDescent="0.3">
      <c r="A501">
        <v>421</v>
      </c>
      <c r="B501" t="s">
        <v>1273</v>
      </c>
      <c r="C501" t="s">
        <v>1274</v>
      </c>
      <c r="D501" t="s">
        <v>1275</v>
      </c>
      <c r="E501" t="s">
        <v>23</v>
      </c>
      <c r="F501" t="s">
        <v>1271</v>
      </c>
      <c r="G501" s="3">
        <v>31.35</v>
      </c>
      <c r="H501" s="3">
        <v>0</v>
      </c>
      <c r="I501" s="3">
        <v>31.35</v>
      </c>
      <c r="J501" s="3">
        <f>Table1[[#This Row],[قيمة الفاتورة]]*0.94-Table1[[#This Row],[قيمة المشاركة]]</f>
        <v>29.469000000000001</v>
      </c>
      <c r="K501">
        <v>29.149000000000001</v>
      </c>
      <c r="L501" s="3">
        <f t="shared" si="7"/>
        <v>0.32000000000000028</v>
      </c>
      <c r="M501" t="s">
        <v>1071</v>
      </c>
      <c r="N501" t="s">
        <v>19</v>
      </c>
    </row>
    <row r="502" spans="1:14" x14ac:dyDescent="0.3">
      <c r="A502">
        <v>79</v>
      </c>
      <c r="B502" t="s">
        <v>1276</v>
      </c>
      <c r="C502" t="s">
        <v>1277</v>
      </c>
      <c r="D502" t="s">
        <v>1278</v>
      </c>
      <c r="E502" t="s">
        <v>17</v>
      </c>
      <c r="F502" t="s">
        <v>1271</v>
      </c>
      <c r="G502" s="3">
        <v>12.72</v>
      </c>
      <c r="H502" s="3">
        <v>0</v>
      </c>
      <c r="I502" s="3">
        <v>12.72</v>
      </c>
      <c r="J502" s="3">
        <f>Table1[[#This Row],[قيمة الفاتورة]]*0.94-Table1[[#This Row],[قيمة المشاركة]]</f>
        <v>11.956799999999999</v>
      </c>
      <c r="K502">
        <v>10.311999999999999</v>
      </c>
      <c r="L502" s="3">
        <f t="shared" si="7"/>
        <v>1.6448</v>
      </c>
      <c r="M502" t="s">
        <v>1071</v>
      </c>
      <c r="N502" t="s">
        <v>19</v>
      </c>
    </row>
    <row r="503" spans="1:14" x14ac:dyDescent="0.3">
      <c r="A503">
        <v>422</v>
      </c>
      <c r="B503" t="s">
        <v>1279</v>
      </c>
      <c r="C503" t="s">
        <v>1280</v>
      </c>
      <c r="D503" t="s">
        <v>1281</v>
      </c>
      <c r="E503" t="s">
        <v>23</v>
      </c>
      <c r="F503" t="s">
        <v>1282</v>
      </c>
      <c r="G503" s="3">
        <v>7.55</v>
      </c>
      <c r="H503" s="3">
        <v>0</v>
      </c>
      <c r="I503" s="3">
        <v>7.55</v>
      </c>
      <c r="J503" s="3">
        <f>Table1[[#This Row],[قيمة الفاتورة]]*0.94-Table1[[#This Row],[قيمة المشاركة]]</f>
        <v>7.0969999999999995</v>
      </c>
      <c r="K503">
        <v>7.0970000000000004</v>
      </c>
      <c r="L503" s="3">
        <f t="shared" si="7"/>
        <v>-8.8817841970012523E-16</v>
      </c>
      <c r="M503" t="s">
        <v>1071</v>
      </c>
      <c r="N503" t="s">
        <v>19</v>
      </c>
    </row>
    <row r="504" spans="1:14" x14ac:dyDescent="0.3">
      <c r="A504">
        <v>83</v>
      </c>
      <c r="B504" t="s">
        <v>1283</v>
      </c>
      <c r="C504" t="s">
        <v>1284</v>
      </c>
      <c r="D504" t="s">
        <v>1285</v>
      </c>
      <c r="E504" t="s">
        <v>23</v>
      </c>
      <c r="F504" t="s">
        <v>1282</v>
      </c>
      <c r="G504" s="3">
        <v>12.67</v>
      </c>
      <c r="H504" s="3">
        <v>0</v>
      </c>
      <c r="I504" s="3">
        <v>12.67</v>
      </c>
      <c r="J504" s="3">
        <f>Table1[[#This Row],[قيمة الفاتورة]]*0.94-Table1[[#This Row],[قيمة المشاركة]]</f>
        <v>11.909799999999999</v>
      </c>
      <c r="K504">
        <v>11.909000000000001</v>
      </c>
      <c r="L504" s="3">
        <f t="shared" si="7"/>
        <v>7.9999999999813554E-4</v>
      </c>
      <c r="M504" t="s">
        <v>1071</v>
      </c>
      <c r="N504" t="s">
        <v>19</v>
      </c>
    </row>
    <row r="505" spans="1:14" x14ac:dyDescent="0.3">
      <c r="A505">
        <v>81</v>
      </c>
      <c r="B505" t="s">
        <v>379</v>
      </c>
      <c r="C505" t="s">
        <v>380</v>
      </c>
      <c r="D505" t="s">
        <v>1286</v>
      </c>
      <c r="E505" t="s">
        <v>23</v>
      </c>
      <c r="F505" t="s">
        <v>1282</v>
      </c>
      <c r="G505" s="3">
        <v>27.34</v>
      </c>
      <c r="H505" s="3">
        <v>0</v>
      </c>
      <c r="I505" s="3">
        <v>27.34</v>
      </c>
      <c r="J505" s="3">
        <f>Table1[[#This Row],[قيمة الفاتورة]]*0.94-Table1[[#This Row],[قيمة المشاركة]]</f>
        <v>25.699599999999997</v>
      </c>
      <c r="K505">
        <v>25.69</v>
      </c>
      <c r="L505" s="3">
        <f t="shared" si="7"/>
        <v>9.59999999999539E-3</v>
      </c>
      <c r="M505" t="s">
        <v>1071</v>
      </c>
      <c r="N505" t="s">
        <v>19</v>
      </c>
    </row>
    <row r="506" spans="1:14" x14ac:dyDescent="0.3">
      <c r="A506">
        <v>82</v>
      </c>
      <c r="B506" t="s">
        <v>1287</v>
      </c>
      <c r="C506" t="s">
        <v>1288</v>
      </c>
      <c r="D506" t="s">
        <v>1289</v>
      </c>
      <c r="E506" t="s">
        <v>23</v>
      </c>
      <c r="F506" t="s">
        <v>1282</v>
      </c>
      <c r="G506" s="3">
        <v>19.59</v>
      </c>
      <c r="H506" s="3">
        <v>0</v>
      </c>
      <c r="I506" s="3">
        <v>19.59</v>
      </c>
      <c r="J506" s="3">
        <f>Table1[[#This Row],[قيمة الفاتورة]]*0.94-Table1[[#This Row],[قيمة المشاركة]]</f>
        <v>18.4146</v>
      </c>
      <c r="L506" s="3" t="str">
        <f t="shared" si="7"/>
        <v/>
      </c>
      <c r="N506" t="s">
        <v>19</v>
      </c>
    </row>
    <row r="507" spans="1:14" x14ac:dyDescent="0.3">
      <c r="A507">
        <v>424</v>
      </c>
      <c r="B507" t="s">
        <v>98</v>
      </c>
      <c r="C507" t="s">
        <v>99</v>
      </c>
      <c r="D507" t="s">
        <v>1290</v>
      </c>
      <c r="E507" t="s">
        <v>17</v>
      </c>
      <c r="F507" t="s">
        <v>1291</v>
      </c>
      <c r="G507" s="3">
        <v>36.82</v>
      </c>
      <c r="H507" s="3">
        <v>0</v>
      </c>
      <c r="I507" s="3">
        <v>36.82</v>
      </c>
      <c r="J507" s="3">
        <f>Table1[[#This Row],[قيمة الفاتورة]]*0.94-Table1[[#This Row],[قيمة المشاركة]]</f>
        <v>34.610799999999998</v>
      </c>
      <c r="K507">
        <v>34.61</v>
      </c>
      <c r="L507" s="3">
        <f t="shared" si="7"/>
        <v>7.9999999999813554E-4</v>
      </c>
      <c r="M507" t="s">
        <v>1071</v>
      </c>
      <c r="N507" t="s">
        <v>19</v>
      </c>
    </row>
    <row r="508" spans="1:14" x14ac:dyDescent="0.3">
      <c r="A508">
        <v>423</v>
      </c>
      <c r="B508" t="s">
        <v>1292</v>
      </c>
      <c r="C508" t="s">
        <v>1293</v>
      </c>
      <c r="D508" t="s">
        <v>1294</v>
      </c>
      <c r="E508" t="s">
        <v>17</v>
      </c>
      <c r="F508" t="s">
        <v>1291</v>
      </c>
      <c r="G508" s="3">
        <v>33.965000000000003</v>
      </c>
      <c r="H508" s="3">
        <v>0</v>
      </c>
      <c r="I508" s="3">
        <v>33.965000000000003</v>
      </c>
      <c r="J508" s="3">
        <f>Table1[[#This Row],[قيمة الفاتورة]]*0.94-Table1[[#This Row],[قيمة المشاركة]]</f>
        <v>31.927100000000003</v>
      </c>
      <c r="L508" s="3" t="str">
        <f t="shared" si="7"/>
        <v/>
      </c>
      <c r="N508" t="s">
        <v>19</v>
      </c>
    </row>
    <row r="509" spans="1:14" x14ac:dyDescent="0.3">
      <c r="A509">
        <v>84</v>
      </c>
      <c r="B509" t="s">
        <v>1295</v>
      </c>
      <c r="C509" t="s">
        <v>1296</v>
      </c>
      <c r="D509" t="s">
        <v>1297</v>
      </c>
      <c r="E509" t="s">
        <v>17</v>
      </c>
      <c r="F509" t="s">
        <v>1291</v>
      </c>
      <c r="G509" s="3">
        <v>9.99</v>
      </c>
      <c r="H509" s="3">
        <v>0</v>
      </c>
      <c r="I509" s="3">
        <v>9.99</v>
      </c>
      <c r="J509" s="3">
        <f>Table1[[#This Row],[قيمة الفاتورة]]*0.94-Table1[[#This Row],[قيمة المشاركة]]</f>
        <v>9.3905999999999992</v>
      </c>
      <c r="L509" s="3" t="str">
        <f t="shared" si="7"/>
        <v/>
      </c>
      <c r="N509" t="s">
        <v>19</v>
      </c>
    </row>
    <row r="510" spans="1:14" x14ac:dyDescent="0.3">
      <c r="A510">
        <v>428</v>
      </c>
      <c r="B510" t="s">
        <v>98</v>
      </c>
      <c r="C510" t="s">
        <v>99</v>
      </c>
      <c r="D510" t="s">
        <v>1298</v>
      </c>
      <c r="E510" t="s">
        <v>17</v>
      </c>
      <c r="F510" t="s">
        <v>1299</v>
      </c>
      <c r="G510" s="3">
        <v>45.16</v>
      </c>
      <c r="H510" s="3">
        <v>0</v>
      </c>
      <c r="I510" s="3">
        <v>45.16</v>
      </c>
      <c r="J510" s="3">
        <f>Table1[[#This Row],[قيمة الفاتورة]]*0.94-Table1[[#This Row],[قيمة المشاركة]]</f>
        <v>42.450399999999995</v>
      </c>
      <c r="K510">
        <v>43.372</v>
      </c>
      <c r="L510" s="3">
        <f t="shared" si="7"/>
        <v>-0.92160000000000508</v>
      </c>
      <c r="M510" t="s">
        <v>1071</v>
      </c>
      <c r="N510" t="s">
        <v>19</v>
      </c>
    </row>
    <row r="511" spans="1:14" x14ac:dyDescent="0.3">
      <c r="A511">
        <v>425</v>
      </c>
      <c r="B511" t="s">
        <v>1300</v>
      </c>
      <c r="C511" t="s">
        <v>1301</v>
      </c>
      <c r="D511" t="s">
        <v>1302</v>
      </c>
      <c r="E511" t="s">
        <v>17</v>
      </c>
      <c r="F511" t="s">
        <v>1299</v>
      </c>
      <c r="G511" s="3">
        <v>7.07</v>
      </c>
      <c r="H511" s="3">
        <v>1.06</v>
      </c>
      <c r="I511" s="3">
        <v>6.01</v>
      </c>
      <c r="J511" s="3">
        <f>Table1[[#This Row],[قيمة الفاتورة]]*0.94-Table1[[#This Row],[قيمة المشاركة]]</f>
        <v>5.585799999999999</v>
      </c>
      <c r="K511">
        <v>5.5860000000000003</v>
      </c>
      <c r="L511" s="3">
        <f t="shared" si="7"/>
        <v>-2.0000000000131024E-4</v>
      </c>
      <c r="M511" t="s">
        <v>1071</v>
      </c>
      <c r="N511" t="s">
        <v>19</v>
      </c>
    </row>
    <row r="512" spans="1:14" x14ac:dyDescent="0.3">
      <c r="A512">
        <v>426</v>
      </c>
      <c r="B512" t="s">
        <v>882</v>
      </c>
      <c r="C512" t="s">
        <v>523</v>
      </c>
      <c r="D512" t="s">
        <v>1303</v>
      </c>
      <c r="E512" t="s">
        <v>23</v>
      </c>
      <c r="F512" t="s">
        <v>1299</v>
      </c>
      <c r="G512" s="3">
        <v>11.65</v>
      </c>
      <c r="H512" s="3">
        <v>0</v>
      </c>
      <c r="I512" s="3">
        <v>11.65</v>
      </c>
      <c r="J512" s="3">
        <f>Table1[[#This Row],[قيمة الفاتورة]]*0.94-Table1[[#This Row],[قيمة المشاركة]]</f>
        <v>10.951000000000001</v>
      </c>
      <c r="K512">
        <v>10.951000000000001</v>
      </c>
      <c r="L512" s="3">
        <f t="shared" si="7"/>
        <v>0</v>
      </c>
      <c r="M512" t="s">
        <v>1071</v>
      </c>
      <c r="N512" t="s">
        <v>19</v>
      </c>
    </row>
    <row r="513" spans="1:14" x14ac:dyDescent="0.3">
      <c r="A513">
        <v>427</v>
      </c>
      <c r="B513" t="s">
        <v>1304</v>
      </c>
      <c r="C513" t="s">
        <v>1305</v>
      </c>
      <c r="D513" t="s">
        <v>1306</v>
      </c>
      <c r="E513" t="s">
        <v>23</v>
      </c>
      <c r="F513" t="s">
        <v>1299</v>
      </c>
      <c r="G513" s="3">
        <v>4.38</v>
      </c>
      <c r="H513" s="3">
        <v>0</v>
      </c>
      <c r="I513" s="3">
        <v>4.38</v>
      </c>
      <c r="J513" s="3">
        <f>Table1[[#This Row],[قيمة الفاتورة]]*0.94-Table1[[#This Row],[قيمة المشاركة]]</f>
        <v>4.1171999999999995</v>
      </c>
      <c r="K513">
        <v>4.117</v>
      </c>
      <c r="L513" s="3">
        <f t="shared" si="7"/>
        <v>1.9999999999953388E-4</v>
      </c>
      <c r="M513" t="s">
        <v>1071</v>
      </c>
      <c r="N513" t="s">
        <v>19</v>
      </c>
    </row>
    <row r="514" spans="1:14" x14ac:dyDescent="0.3">
      <c r="A514">
        <v>87</v>
      </c>
      <c r="B514" t="s">
        <v>379</v>
      </c>
      <c r="C514" t="s">
        <v>380</v>
      </c>
      <c r="D514" t="s">
        <v>1307</v>
      </c>
      <c r="E514" t="s">
        <v>23</v>
      </c>
      <c r="F514" t="s">
        <v>1308</v>
      </c>
      <c r="G514" s="3">
        <v>19.75</v>
      </c>
      <c r="H514" s="3">
        <v>0</v>
      </c>
      <c r="I514" s="3">
        <v>19.75</v>
      </c>
      <c r="J514" s="3">
        <f>Table1[[#This Row],[قيمة الفاتورة]]*0.94-Table1[[#This Row],[قيمة المشاركة]]</f>
        <v>18.564999999999998</v>
      </c>
      <c r="K514">
        <v>18.565000000000001</v>
      </c>
      <c r="L514" s="3">
        <f t="shared" ref="L514:L577" si="8">IF(ISNUMBER(K514), J514-K514, "")</f>
        <v>-3.5527136788005009E-15</v>
      </c>
      <c r="M514" t="s">
        <v>1071</v>
      </c>
      <c r="N514" t="s">
        <v>19</v>
      </c>
    </row>
    <row r="515" spans="1:14" x14ac:dyDescent="0.3">
      <c r="A515">
        <v>85</v>
      </c>
      <c r="B515" t="s">
        <v>578</v>
      </c>
      <c r="C515" t="s">
        <v>1309</v>
      </c>
      <c r="D515" t="s">
        <v>1310</v>
      </c>
      <c r="E515" t="s">
        <v>17</v>
      </c>
      <c r="F515" t="s">
        <v>1308</v>
      </c>
      <c r="G515" s="3">
        <v>21.43</v>
      </c>
      <c r="H515" s="3">
        <v>0</v>
      </c>
      <c r="I515" s="3">
        <v>21.43</v>
      </c>
      <c r="J515" s="3">
        <f>Table1[[#This Row],[قيمة الفاتورة]]*0.94-Table1[[#This Row],[قيمة المشاركة]]</f>
        <v>20.144199999999998</v>
      </c>
      <c r="K515">
        <v>20.143999999999998</v>
      </c>
      <c r="L515" s="3">
        <f t="shared" si="8"/>
        <v>1.9999999999953388E-4</v>
      </c>
      <c r="M515" t="s">
        <v>1071</v>
      </c>
      <c r="N515" t="s">
        <v>19</v>
      </c>
    </row>
    <row r="516" spans="1:14" x14ac:dyDescent="0.3">
      <c r="A516">
        <v>429</v>
      </c>
      <c r="B516" t="s">
        <v>1311</v>
      </c>
      <c r="C516" t="s">
        <v>1312</v>
      </c>
      <c r="D516" t="s">
        <v>1313</v>
      </c>
      <c r="E516" t="s">
        <v>17</v>
      </c>
      <c r="F516" t="s">
        <v>1308</v>
      </c>
      <c r="G516" s="3">
        <v>13.76</v>
      </c>
      <c r="H516" s="3">
        <v>0</v>
      </c>
      <c r="I516" s="3">
        <v>13.76</v>
      </c>
      <c r="J516" s="3">
        <f>Table1[[#This Row],[قيمة الفاتورة]]*0.94-Table1[[#This Row],[قيمة المشاركة]]</f>
        <v>12.934399999999998</v>
      </c>
      <c r="K516">
        <v>12.933999999999999</v>
      </c>
      <c r="L516" s="3">
        <f t="shared" si="8"/>
        <v>3.9999999999906777E-4</v>
      </c>
      <c r="M516" t="s">
        <v>1071</v>
      </c>
      <c r="N516" t="s">
        <v>19</v>
      </c>
    </row>
    <row r="517" spans="1:14" x14ac:dyDescent="0.3">
      <c r="A517">
        <v>86</v>
      </c>
      <c r="B517" t="s">
        <v>179</v>
      </c>
      <c r="C517" t="s">
        <v>180</v>
      </c>
      <c r="D517" t="s">
        <v>1314</v>
      </c>
      <c r="E517" t="s">
        <v>17</v>
      </c>
      <c r="F517" t="s">
        <v>1308</v>
      </c>
      <c r="G517" s="3">
        <v>8.3000000000000007</v>
      </c>
      <c r="H517" s="3">
        <v>0</v>
      </c>
      <c r="I517" s="3">
        <v>8.3000000000000007</v>
      </c>
      <c r="J517" s="3">
        <f>Table1[[#This Row],[قيمة الفاتورة]]*0.94-Table1[[#This Row],[قيمة المشاركة]]</f>
        <v>7.8020000000000005</v>
      </c>
      <c r="L517" s="3" t="str">
        <f t="shared" si="8"/>
        <v/>
      </c>
      <c r="N517" t="s">
        <v>19</v>
      </c>
    </row>
    <row r="518" spans="1:14" x14ac:dyDescent="0.3">
      <c r="A518">
        <v>430</v>
      </c>
      <c r="B518" t="s">
        <v>1315</v>
      </c>
      <c r="C518" t="s">
        <v>1316</v>
      </c>
      <c r="D518" t="s">
        <v>1317</v>
      </c>
      <c r="E518" t="s">
        <v>17</v>
      </c>
      <c r="F518" t="s">
        <v>1318</v>
      </c>
      <c r="G518" s="3">
        <v>44.72</v>
      </c>
      <c r="H518" s="3">
        <v>0</v>
      </c>
      <c r="I518" s="3">
        <v>44.72</v>
      </c>
      <c r="J518" s="3">
        <f>Table1[[#This Row],[قيمة الفاتورة]]*0.94-Table1[[#This Row],[قيمة المشاركة]]</f>
        <v>42.036799999999999</v>
      </c>
      <c r="L518" s="3" t="str">
        <f t="shared" si="8"/>
        <v/>
      </c>
      <c r="N518" t="s">
        <v>19</v>
      </c>
    </row>
    <row r="519" spans="1:14" x14ac:dyDescent="0.3">
      <c r="A519">
        <v>432</v>
      </c>
      <c r="B519" t="s">
        <v>120</v>
      </c>
      <c r="C519" t="s">
        <v>121</v>
      </c>
      <c r="D519" t="s">
        <v>1319</v>
      </c>
      <c r="E519" t="s">
        <v>17</v>
      </c>
      <c r="F519" t="s">
        <v>1320</v>
      </c>
      <c r="G519" s="3">
        <v>36.07</v>
      </c>
      <c r="H519" s="3">
        <v>0</v>
      </c>
      <c r="I519" s="3">
        <v>36.07</v>
      </c>
      <c r="J519" s="3">
        <f>Table1[[#This Row],[قيمة الفاتورة]]*0.94-Table1[[#This Row],[قيمة المشاركة]]</f>
        <v>33.905799999999999</v>
      </c>
      <c r="K519">
        <v>33.905999999999999</v>
      </c>
      <c r="L519" s="3">
        <f t="shared" si="8"/>
        <v>-1.9999999999953388E-4</v>
      </c>
      <c r="M519" t="s">
        <v>1071</v>
      </c>
      <c r="N519" t="s">
        <v>19</v>
      </c>
    </row>
    <row r="520" spans="1:14" x14ac:dyDescent="0.3">
      <c r="A520">
        <v>431</v>
      </c>
      <c r="B520" t="s">
        <v>385</v>
      </c>
      <c r="C520" t="s">
        <v>1321</v>
      </c>
      <c r="D520" t="s">
        <v>1322</v>
      </c>
      <c r="E520" t="s">
        <v>23</v>
      </c>
      <c r="F520" t="s">
        <v>1320</v>
      </c>
      <c r="G520" s="3">
        <v>34.9</v>
      </c>
      <c r="H520" s="3">
        <v>0</v>
      </c>
      <c r="I520" s="3">
        <v>34.9</v>
      </c>
      <c r="J520" s="3">
        <f>Table1[[#This Row],[قيمة الفاتورة]]*0.94-Table1[[#This Row],[قيمة المشاركة]]</f>
        <v>32.805999999999997</v>
      </c>
      <c r="K520">
        <v>32.805999999999997</v>
      </c>
      <c r="L520" s="3">
        <f t="shared" si="8"/>
        <v>0</v>
      </c>
      <c r="M520" t="s">
        <v>1071</v>
      </c>
      <c r="N520" t="s">
        <v>19</v>
      </c>
    </row>
    <row r="521" spans="1:14" x14ac:dyDescent="0.3">
      <c r="A521">
        <v>88</v>
      </c>
      <c r="B521" t="s">
        <v>503</v>
      </c>
      <c r="C521" t="s">
        <v>504</v>
      </c>
      <c r="D521" t="s">
        <v>1323</v>
      </c>
      <c r="E521" t="s">
        <v>17</v>
      </c>
      <c r="F521" t="s">
        <v>1320</v>
      </c>
      <c r="G521" s="3">
        <v>7.53</v>
      </c>
      <c r="H521" s="3">
        <v>0</v>
      </c>
      <c r="I521" s="3">
        <v>7.53</v>
      </c>
      <c r="J521" s="3">
        <f>Table1[[#This Row],[قيمة الفاتورة]]*0.94-Table1[[#This Row],[قيمة المشاركة]]</f>
        <v>7.0781999999999998</v>
      </c>
      <c r="K521">
        <v>7.0780000000000003</v>
      </c>
      <c r="L521" s="3">
        <f t="shared" si="8"/>
        <v>1.9999999999953388E-4</v>
      </c>
      <c r="M521" t="s">
        <v>1071</v>
      </c>
      <c r="N521" t="s">
        <v>19</v>
      </c>
    </row>
    <row r="522" spans="1:14" x14ac:dyDescent="0.3">
      <c r="A522">
        <v>89</v>
      </c>
      <c r="B522" t="s">
        <v>1017</v>
      </c>
      <c r="C522" t="s">
        <v>1324</v>
      </c>
      <c r="D522" t="s">
        <v>1325</v>
      </c>
      <c r="E522" t="s">
        <v>23</v>
      </c>
      <c r="F522" t="s">
        <v>1320</v>
      </c>
      <c r="G522" s="3">
        <v>8.9600000000000009</v>
      </c>
      <c r="H522" s="3">
        <v>0</v>
      </c>
      <c r="I522" s="3">
        <v>8.9600000000000009</v>
      </c>
      <c r="J522" s="3">
        <f>Table1[[#This Row],[قيمة الفاتورة]]*0.94-Table1[[#This Row],[قيمة المشاركة]]</f>
        <v>8.4223999999999997</v>
      </c>
      <c r="K522">
        <v>8.4220000000000006</v>
      </c>
      <c r="L522" s="3">
        <f t="shared" si="8"/>
        <v>3.9999999999906777E-4</v>
      </c>
      <c r="M522" t="s">
        <v>1071</v>
      </c>
      <c r="N522" t="s">
        <v>19</v>
      </c>
    </row>
    <row r="523" spans="1:14" x14ac:dyDescent="0.3">
      <c r="A523">
        <v>437</v>
      </c>
      <c r="B523" t="s">
        <v>349</v>
      </c>
      <c r="C523" t="s">
        <v>350</v>
      </c>
      <c r="D523" t="s">
        <v>1326</v>
      </c>
      <c r="E523" t="s">
        <v>23</v>
      </c>
      <c r="F523" t="s">
        <v>1327</v>
      </c>
      <c r="G523" s="3">
        <v>35.97</v>
      </c>
      <c r="H523" s="3">
        <v>0</v>
      </c>
      <c r="I523" s="3">
        <v>35.97</v>
      </c>
      <c r="J523" s="3">
        <f>Table1[[#This Row],[قيمة الفاتورة]]*0.94-Table1[[#This Row],[قيمة المشاركة]]</f>
        <v>33.811799999999998</v>
      </c>
      <c r="K523">
        <v>33.811999999999998</v>
      </c>
      <c r="L523" s="3">
        <f t="shared" si="8"/>
        <v>-1.9999999999953388E-4</v>
      </c>
      <c r="M523" t="s">
        <v>1071</v>
      </c>
      <c r="N523" t="s">
        <v>19</v>
      </c>
    </row>
    <row r="524" spans="1:14" x14ac:dyDescent="0.3">
      <c r="A524">
        <v>433</v>
      </c>
      <c r="B524" t="s">
        <v>630</v>
      </c>
      <c r="C524" t="s">
        <v>1328</v>
      </c>
      <c r="D524" t="s">
        <v>1329</v>
      </c>
      <c r="E524" t="s">
        <v>17</v>
      </c>
      <c r="F524" t="s">
        <v>1327</v>
      </c>
      <c r="G524" s="3">
        <v>6</v>
      </c>
      <c r="H524" s="3">
        <v>0</v>
      </c>
      <c r="I524" s="3">
        <v>6</v>
      </c>
      <c r="J524" s="3">
        <f>Table1[[#This Row],[قيمة الفاتورة]]*0.94-Table1[[#This Row],[قيمة المشاركة]]</f>
        <v>5.64</v>
      </c>
      <c r="K524">
        <v>5.64</v>
      </c>
      <c r="L524" s="3">
        <f t="shared" si="8"/>
        <v>0</v>
      </c>
      <c r="M524" t="s">
        <v>1071</v>
      </c>
      <c r="N524" t="s">
        <v>19</v>
      </c>
    </row>
    <row r="525" spans="1:14" x14ac:dyDescent="0.3">
      <c r="A525">
        <v>436</v>
      </c>
      <c r="B525" t="s">
        <v>366</v>
      </c>
      <c r="C525" t="s">
        <v>1330</v>
      </c>
      <c r="D525" t="s">
        <v>1331</v>
      </c>
      <c r="E525" t="s">
        <v>23</v>
      </c>
      <c r="F525" t="s">
        <v>1327</v>
      </c>
      <c r="G525" s="3">
        <v>26.88</v>
      </c>
      <c r="H525" s="3">
        <v>0</v>
      </c>
      <c r="I525" s="3">
        <v>26.88</v>
      </c>
      <c r="J525" s="3">
        <f>Table1[[#This Row],[قيمة الفاتورة]]*0.94-Table1[[#This Row],[قيمة المشاركة]]</f>
        <v>25.267199999999999</v>
      </c>
      <c r="K525">
        <v>25.266999999999999</v>
      </c>
      <c r="L525" s="3">
        <f t="shared" si="8"/>
        <v>1.9999999999953388E-4</v>
      </c>
      <c r="M525" t="s">
        <v>1071</v>
      </c>
      <c r="N525" t="s">
        <v>19</v>
      </c>
    </row>
    <row r="526" spans="1:14" x14ac:dyDescent="0.3">
      <c r="A526">
        <v>90</v>
      </c>
      <c r="B526" t="s">
        <v>659</v>
      </c>
      <c r="C526" t="s">
        <v>660</v>
      </c>
      <c r="D526" t="s">
        <v>1332</v>
      </c>
      <c r="E526" t="s">
        <v>17</v>
      </c>
      <c r="F526" t="s">
        <v>1327</v>
      </c>
      <c r="G526" s="3">
        <v>34.72</v>
      </c>
      <c r="H526" s="3">
        <v>0</v>
      </c>
      <c r="I526" s="3">
        <v>34.72</v>
      </c>
      <c r="J526" s="3">
        <f>Table1[[#This Row],[قيمة الفاتورة]]*0.94-Table1[[#This Row],[قيمة المشاركة]]</f>
        <v>32.636799999999994</v>
      </c>
      <c r="K526">
        <v>32.609000000000002</v>
      </c>
      <c r="L526" s="3">
        <f t="shared" si="8"/>
        <v>2.7799999999992053E-2</v>
      </c>
      <c r="M526" t="s">
        <v>1071</v>
      </c>
      <c r="N526" t="s">
        <v>19</v>
      </c>
    </row>
    <row r="527" spans="1:14" x14ac:dyDescent="0.3">
      <c r="A527">
        <v>434</v>
      </c>
      <c r="B527" t="s">
        <v>1333</v>
      </c>
      <c r="C527" t="s">
        <v>1334</v>
      </c>
      <c r="D527" t="s">
        <v>1335</v>
      </c>
      <c r="E527" t="s">
        <v>23</v>
      </c>
      <c r="F527" t="s">
        <v>1327</v>
      </c>
      <c r="G527" s="3">
        <v>13.36</v>
      </c>
      <c r="H527" s="3">
        <v>0</v>
      </c>
      <c r="I527" s="3">
        <v>13.36</v>
      </c>
      <c r="J527" s="3">
        <f>Table1[[#This Row],[قيمة الفاتورة]]*0.94-Table1[[#This Row],[قيمة المشاركة]]</f>
        <v>12.558399999999999</v>
      </c>
      <c r="K527">
        <v>12.342000000000001</v>
      </c>
      <c r="L527" s="3">
        <f t="shared" si="8"/>
        <v>0.21639999999999837</v>
      </c>
      <c r="M527" t="s">
        <v>1071</v>
      </c>
      <c r="N527" t="s">
        <v>19</v>
      </c>
    </row>
    <row r="528" spans="1:14" x14ac:dyDescent="0.3">
      <c r="A528">
        <v>438</v>
      </c>
      <c r="B528" t="s">
        <v>1113</v>
      </c>
      <c r="C528" t="s">
        <v>1336</v>
      </c>
      <c r="D528" t="s">
        <v>1337</v>
      </c>
      <c r="E528" t="s">
        <v>17</v>
      </c>
      <c r="F528" t="s">
        <v>1327</v>
      </c>
      <c r="G528" s="3">
        <v>49.89</v>
      </c>
      <c r="H528" s="3">
        <v>0</v>
      </c>
      <c r="I528" s="3">
        <v>49.89</v>
      </c>
      <c r="J528" s="3">
        <f>Table1[[#This Row],[قيمة الفاتورة]]*0.94-Table1[[#This Row],[قيمة المشاركة]]</f>
        <v>46.896599999999999</v>
      </c>
      <c r="L528" s="3" t="str">
        <f t="shared" si="8"/>
        <v/>
      </c>
      <c r="N528" t="s">
        <v>19</v>
      </c>
    </row>
    <row r="529" spans="1:14" x14ac:dyDescent="0.3">
      <c r="A529">
        <v>435</v>
      </c>
      <c r="B529" t="s">
        <v>1338</v>
      </c>
      <c r="C529" t="s">
        <v>1339</v>
      </c>
      <c r="D529" t="s">
        <v>1340</v>
      </c>
      <c r="E529" t="s">
        <v>23</v>
      </c>
      <c r="F529" t="s">
        <v>1327</v>
      </c>
      <c r="G529" s="3">
        <v>16.922999999999998</v>
      </c>
      <c r="H529" s="3">
        <v>0</v>
      </c>
      <c r="I529" s="3">
        <v>16.922999999999998</v>
      </c>
      <c r="J529" s="3">
        <f>Table1[[#This Row],[قيمة الفاتورة]]*0.94-Table1[[#This Row],[قيمة المشاركة]]</f>
        <v>15.907619999999998</v>
      </c>
      <c r="L529" s="3" t="str">
        <f t="shared" si="8"/>
        <v/>
      </c>
      <c r="N529" t="s">
        <v>19</v>
      </c>
    </row>
    <row r="530" spans="1:14" x14ac:dyDescent="0.3">
      <c r="A530">
        <v>439</v>
      </c>
      <c r="B530" t="s">
        <v>1341</v>
      </c>
      <c r="C530" t="s">
        <v>1342</v>
      </c>
      <c r="D530" t="s">
        <v>1343</v>
      </c>
      <c r="E530" t="s">
        <v>17</v>
      </c>
      <c r="F530" t="s">
        <v>1344</v>
      </c>
      <c r="G530" s="3">
        <v>7.32</v>
      </c>
      <c r="H530" s="3">
        <v>1.0980000000000001</v>
      </c>
      <c r="I530" s="3">
        <v>6.2220000000000004</v>
      </c>
      <c r="J530" s="3">
        <f>Table1[[#This Row],[قيمة الفاتورة]]*0.94-Table1[[#This Row],[قيمة المشاركة]]</f>
        <v>5.7827999999999999</v>
      </c>
      <c r="K530">
        <v>5.7839999999999998</v>
      </c>
      <c r="L530" s="3">
        <f t="shared" si="8"/>
        <v>-1.1999999999998678E-3</v>
      </c>
      <c r="M530" t="s">
        <v>1071</v>
      </c>
      <c r="N530" t="s">
        <v>19</v>
      </c>
    </row>
    <row r="531" spans="1:14" x14ac:dyDescent="0.3">
      <c r="A531">
        <v>91</v>
      </c>
      <c r="B531" t="s">
        <v>1345</v>
      </c>
      <c r="C531" t="s">
        <v>1346</v>
      </c>
      <c r="D531" t="s">
        <v>1347</v>
      </c>
      <c r="E531" t="s">
        <v>23</v>
      </c>
      <c r="F531" t="s">
        <v>1348</v>
      </c>
      <c r="G531" s="3">
        <v>25.21</v>
      </c>
      <c r="H531" s="3">
        <v>0</v>
      </c>
      <c r="I531" s="3">
        <v>25.21</v>
      </c>
      <c r="J531" s="3">
        <f>Table1[[#This Row],[قيمة الفاتورة]]*0.94-Table1[[#This Row],[قيمة المشاركة]]</f>
        <v>23.697399999999998</v>
      </c>
      <c r="L531" s="3" t="str">
        <f t="shared" si="8"/>
        <v/>
      </c>
      <c r="N531" t="s">
        <v>19</v>
      </c>
    </row>
    <row r="532" spans="1:14" x14ac:dyDescent="0.3">
      <c r="A532">
        <v>92</v>
      </c>
      <c r="B532" t="s">
        <v>992</v>
      </c>
      <c r="C532" t="s">
        <v>1349</v>
      </c>
      <c r="D532" t="s">
        <v>1350</v>
      </c>
      <c r="E532" t="s">
        <v>17</v>
      </c>
      <c r="F532" t="s">
        <v>1351</v>
      </c>
      <c r="G532" s="3">
        <v>19.57</v>
      </c>
      <c r="H532" s="3">
        <v>0</v>
      </c>
      <c r="I532" s="3">
        <v>19.57</v>
      </c>
      <c r="J532" s="3">
        <f>Table1[[#This Row],[قيمة الفاتورة]]*0.94-Table1[[#This Row],[قيمة المشاركة]]</f>
        <v>18.395799999999998</v>
      </c>
      <c r="K532">
        <v>18.396000000000001</v>
      </c>
      <c r="L532" s="3">
        <f t="shared" si="8"/>
        <v>-2.000000000030866E-4</v>
      </c>
      <c r="M532" t="s">
        <v>1071</v>
      </c>
      <c r="N532" t="s">
        <v>19</v>
      </c>
    </row>
    <row r="533" spans="1:14" x14ac:dyDescent="0.3">
      <c r="A533">
        <v>440</v>
      </c>
      <c r="B533" t="s">
        <v>681</v>
      </c>
      <c r="C533" t="s">
        <v>682</v>
      </c>
      <c r="D533" t="s">
        <v>1352</v>
      </c>
      <c r="E533" t="s">
        <v>17</v>
      </c>
      <c r="F533" t="s">
        <v>1351</v>
      </c>
      <c r="G533" s="3">
        <v>22.41</v>
      </c>
      <c r="H533" s="3">
        <v>0</v>
      </c>
      <c r="I533" s="3">
        <v>22.41</v>
      </c>
      <c r="J533" s="3">
        <f>Table1[[#This Row],[قيمة الفاتورة]]*0.94-Table1[[#This Row],[قيمة المشاركة]]</f>
        <v>21.0654</v>
      </c>
      <c r="K533">
        <v>19.43</v>
      </c>
      <c r="L533" s="3">
        <f t="shared" si="8"/>
        <v>1.6354000000000006</v>
      </c>
      <c r="M533" t="s">
        <v>1071</v>
      </c>
      <c r="N533" t="s">
        <v>19</v>
      </c>
    </row>
    <row r="534" spans="1:14" x14ac:dyDescent="0.3">
      <c r="A534">
        <v>441</v>
      </c>
      <c r="B534" t="s">
        <v>581</v>
      </c>
      <c r="C534" t="s">
        <v>582</v>
      </c>
      <c r="D534" t="s">
        <v>1353</v>
      </c>
      <c r="E534" t="s">
        <v>17</v>
      </c>
      <c r="F534" t="s">
        <v>1351</v>
      </c>
      <c r="G534" s="3">
        <v>14.026</v>
      </c>
      <c r="H534" s="3">
        <v>0</v>
      </c>
      <c r="I534" s="3">
        <v>14.026</v>
      </c>
      <c r="J534" s="3">
        <f>Table1[[#This Row],[قيمة الفاتورة]]*0.94-Table1[[#This Row],[قيمة المشاركة]]</f>
        <v>13.184439999999999</v>
      </c>
      <c r="L534" s="3" t="str">
        <f t="shared" si="8"/>
        <v/>
      </c>
      <c r="N534" t="s">
        <v>19</v>
      </c>
    </row>
    <row r="535" spans="1:14" x14ac:dyDescent="0.3">
      <c r="A535">
        <v>94</v>
      </c>
      <c r="B535" t="s">
        <v>1354</v>
      </c>
      <c r="C535" t="s">
        <v>1355</v>
      </c>
      <c r="D535" t="s">
        <v>1356</v>
      </c>
      <c r="E535" t="s">
        <v>23</v>
      </c>
      <c r="F535" t="s">
        <v>1357</v>
      </c>
      <c r="G535" s="3">
        <v>19.75</v>
      </c>
      <c r="H535" s="3">
        <v>0</v>
      </c>
      <c r="I535" s="3">
        <v>19.75</v>
      </c>
      <c r="J535" s="3">
        <f>Table1[[#This Row],[قيمة الفاتورة]]*0.94-Table1[[#This Row],[قيمة المشاركة]]</f>
        <v>18.564999999999998</v>
      </c>
      <c r="K535">
        <v>18.565000000000001</v>
      </c>
      <c r="L535" s="3">
        <f t="shared" si="8"/>
        <v>-3.5527136788005009E-15</v>
      </c>
      <c r="M535" t="s">
        <v>1071</v>
      </c>
      <c r="N535" t="s">
        <v>19</v>
      </c>
    </row>
    <row r="536" spans="1:14" x14ac:dyDescent="0.3">
      <c r="A536">
        <v>93</v>
      </c>
      <c r="B536" t="s">
        <v>1041</v>
      </c>
      <c r="C536" t="s">
        <v>279</v>
      </c>
      <c r="D536" t="s">
        <v>1358</v>
      </c>
      <c r="E536" t="s">
        <v>17</v>
      </c>
      <c r="F536" t="s">
        <v>1357</v>
      </c>
      <c r="G536" s="3">
        <v>31.08</v>
      </c>
      <c r="H536" s="3">
        <v>0</v>
      </c>
      <c r="I536" s="3">
        <v>31.08</v>
      </c>
      <c r="J536" s="3">
        <f>Table1[[#This Row],[قيمة الفاتورة]]*0.94-Table1[[#This Row],[قيمة المشاركة]]</f>
        <v>29.215199999999996</v>
      </c>
      <c r="K536">
        <v>29.213999999999999</v>
      </c>
      <c r="L536" s="3">
        <f t="shared" si="8"/>
        <v>1.1999999999972033E-3</v>
      </c>
      <c r="M536" t="s">
        <v>1071</v>
      </c>
      <c r="N536" t="s">
        <v>19</v>
      </c>
    </row>
    <row r="537" spans="1:14" x14ac:dyDescent="0.3">
      <c r="A537">
        <v>97</v>
      </c>
      <c r="B537" t="s">
        <v>990</v>
      </c>
      <c r="C537" t="s">
        <v>1359</v>
      </c>
      <c r="D537" t="s">
        <v>1360</v>
      </c>
      <c r="E537" t="s">
        <v>23</v>
      </c>
      <c r="F537" t="s">
        <v>1361</v>
      </c>
      <c r="G537" s="3">
        <v>2.2400000000000002</v>
      </c>
      <c r="H537" s="3">
        <v>0</v>
      </c>
      <c r="I537" s="3">
        <v>2.2400000000000002</v>
      </c>
      <c r="J537" s="3">
        <f>Table1[[#This Row],[قيمة الفاتورة]]*0.94-Table1[[#This Row],[قيمة المشاركة]]</f>
        <v>2.1055999999999999</v>
      </c>
      <c r="K537">
        <v>2.1059999999999999</v>
      </c>
      <c r="L537" s="3">
        <f t="shared" si="8"/>
        <v>-3.9999999999995595E-4</v>
      </c>
      <c r="M537" t="s">
        <v>1071</v>
      </c>
      <c r="N537" t="s">
        <v>19</v>
      </c>
    </row>
    <row r="538" spans="1:14" x14ac:dyDescent="0.3">
      <c r="A538">
        <v>95</v>
      </c>
      <c r="B538" t="s">
        <v>1003</v>
      </c>
      <c r="C538" t="s">
        <v>354</v>
      </c>
      <c r="D538" t="s">
        <v>1362</v>
      </c>
      <c r="E538" t="s">
        <v>17</v>
      </c>
      <c r="F538" t="s">
        <v>1361</v>
      </c>
      <c r="G538" s="3">
        <v>8.6999999999999993</v>
      </c>
      <c r="H538" s="3">
        <v>0</v>
      </c>
      <c r="I538" s="3">
        <v>8.6999999999999993</v>
      </c>
      <c r="J538" s="3">
        <f>Table1[[#This Row],[قيمة الفاتورة]]*0.94-Table1[[#This Row],[قيمة المشاركة]]</f>
        <v>8.177999999999999</v>
      </c>
      <c r="K538">
        <v>8.1780000000000008</v>
      </c>
      <c r="L538" s="3">
        <f t="shared" si="8"/>
        <v>-1.7763568394002505E-15</v>
      </c>
      <c r="M538" t="s">
        <v>1071</v>
      </c>
      <c r="N538" t="s">
        <v>19</v>
      </c>
    </row>
    <row r="539" spans="1:14" x14ac:dyDescent="0.3">
      <c r="A539">
        <v>98</v>
      </c>
      <c r="B539" t="s">
        <v>987</v>
      </c>
      <c r="C539" t="s">
        <v>1363</v>
      </c>
      <c r="D539" t="s">
        <v>1364</v>
      </c>
      <c r="E539" t="s">
        <v>17</v>
      </c>
      <c r="F539" t="s">
        <v>1361</v>
      </c>
      <c r="G539" s="3">
        <v>37.29</v>
      </c>
      <c r="H539" s="3">
        <v>0</v>
      </c>
      <c r="I539" s="3">
        <v>37.29</v>
      </c>
      <c r="J539" s="3">
        <f>Table1[[#This Row],[قيمة الفاتورة]]*0.94-Table1[[#This Row],[قيمة المشاركة]]</f>
        <v>35.052599999999998</v>
      </c>
      <c r="K539">
        <v>35.052</v>
      </c>
      <c r="L539" s="3">
        <f t="shared" si="8"/>
        <v>5.9999999999860165E-4</v>
      </c>
      <c r="M539" t="s">
        <v>1071</v>
      </c>
      <c r="N539" t="s">
        <v>19</v>
      </c>
    </row>
    <row r="540" spans="1:14" x14ac:dyDescent="0.3">
      <c r="A540">
        <v>96</v>
      </c>
      <c r="B540" t="s">
        <v>1365</v>
      </c>
      <c r="C540" t="s">
        <v>1366</v>
      </c>
      <c r="D540" t="s">
        <v>1367</v>
      </c>
      <c r="E540" t="s">
        <v>23</v>
      </c>
      <c r="F540" t="s">
        <v>1361</v>
      </c>
      <c r="G540" s="3">
        <v>5.72</v>
      </c>
      <c r="H540" s="3">
        <v>0</v>
      </c>
      <c r="I540" s="3">
        <v>5.72</v>
      </c>
      <c r="J540" s="3">
        <f>Table1[[#This Row],[قيمة الفاتورة]]*0.94-Table1[[#This Row],[قيمة المشاركة]]</f>
        <v>5.3767999999999994</v>
      </c>
      <c r="K540">
        <v>5.3760000000000003</v>
      </c>
      <c r="L540" s="3">
        <f t="shared" si="8"/>
        <v>7.9999999999902371E-4</v>
      </c>
      <c r="M540" t="s">
        <v>1071</v>
      </c>
      <c r="N540" t="s">
        <v>19</v>
      </c>
    </row>
    <row r="541" spans="1:14" x14ac:dyDescent="0.3">
      <c r="A541">
        <v>450</v>
      </c>
      <c r="B541" t="s">
        <v>1253</v>
      </c>
      <c r="C541" t="s">
        <v>1254</v>
      </c>
      <c r="D541" t="s">
        <v>1368</v>
      </c>
      <c r="E541" t="s">
        <v>23</v>
      </c>
      <c r="F541" t="s">
        <v>1369</v>
      </c>
      <c r="G541" s="3">
        <v>43.12</v>
      </c>
      <c r="H541" s="3">
        <v>0</v>
      </c>
      <c r="I541" s="3">
        <v>43.12</v>
      </c>
      <c r="J541" s="3">
        <f>Table1[[#This Row],[قيمة الفاتورة]]*0.94-Table1[[#This Row],[قيمة المشاركة]]</f>
        <v>40.532799999999995</v>
      </c>
      <c r="K541">
        <v>40.533000000000001</v>
      </c>
      <c r="L541" s="3">
        <f t="shared" si="8"/>
        <v>-2.0000000000663931E-4</v>
      </c>
      <c r="M541" t="s">
        <v>1071</v>
      </c>
      <c r="N541" t="s">
        <v>19</v>
      </c>
    </row>
    <row r="542" spans="1:14" x14ac:dyDescent="0.3">
      <c r="A542">
        <v>443</v>
      </c>
      <c r="B542" t="s">
        <v>1370</v>
      </c>
      <c r="C542" t="s">
        <v>1371</v>
      </c>
      <c r="D542" t="s">
        <v>1372</v>
      </c>
      <c r="E542" t="s">
        <v>17</v>
      </c>
      <c r="F542" t="s">
        <v>1369</v>
      </c>
      <c r="G542" s="3">
        <v>32.03</v>
      </c>
      <c r="H542" s="3">
        <v>0</v>
      </c>
      <c r="I542" s="3">
        <v>32.03</v>
      </c>
      <c r="J542" s="3">
        <f>Table1[[#This Row],[قيمة الفاتورة]]*0.94-Table1[[#This Row],[قيمة المشاركة]]</f>
        <v>30.1082</v>
      </c>
      <c r="K542">
        <v>30.108000000000001</v>
      </c>
      <c r="L542" s="3">
        <f t="shared" si="8"/>
        <v>1.9999999999953388E-4</v>
      </c>
      <c r="M542" t="s">
        <v>1071</v>
      </c>
      <c r="N542" t="s">
        <v>19</v>
      </c>
    </row>
    <row r="543" spans="1:14" x14ac:dyDescent="0.3">
      <c r="A543">
        <v>446</v>
      </c>
      <c r="B543" t="s">
        <v>1279</v>
      </c>
      <c r="C543" t="s">
        <v>1373</v>
      </c>
      <c r="D543" t="s">
        <v>1374</v>
      </c>
      <c r="E543" t="s">
        <v>17</v>
      </c>
      <c r="F543" t="s">
        <v>1369</v>
      </c>
      <c r="G543" s="3">
        <v>10.33</v>
      </c>
      <c r="H543" s="3">
        <v>0</v>
      </c>
      <c r="I543" s="3">
        <v>10.33</v>
      </c>
      <c r="J543" s="3">
        <f>Table1[[#This Row],[قيمة الفاتورة]]*0.94-Table1[[#This Row],[قيمة المشاركة]]</f>
        <v>9.7102000000000004</v>
      </c>
      <c r="K543">
        <v>9.7100000000000009</v>
      </c>
      <c r="L543" s="3">
        <f t="shared" si="8"/>
        <v>1.9999999999953388E-4</v>
      </c>
      <c r="M543" t="s">
        <v>1071</v>
      </c>
      <c r="N543" t="s">
        <v>19</v>
      </c>
    </row>
    <row r="544" spans="1:14" x14ac:dyDescent="0.3">
      <c r="A544">
        <v>447</v>
      </c>
      <c r="B544" t="s">
        <v>58</v>
      </c>
      <c r="C544" t="s">
        <v>59</v>
      </c>
      <c r="D544" t="s">
        <v>1375</v>
      </c>
      <c r="E544" t="s">
        <v>23</v>
      </c>
      <c r="F544" t="s">
        <v>1369</v>
      </c>
      <c r="G544" s="3">
        <v>14.16</v>
      </c>
      <c r="H544" s="3">
        <v>0</v>
      </c>
      <c r="I544" s="3">
        <v>14.16</v>
      </c>
      <c r="J544" s="3">
        <f>Table1[[#This Row],[قيمة الفاتورة]]*0.94-Table1[[#This Row],[قيمة المشاركة]]</f>
        <v>13.3104</v>
      </c>
      <c r="K544">
        <v>13.31</v>
      </c>
      <c r="L544" s="3">
        <f t="shared" si="8"/>
        <v>3.9999999999906777E-4</v>
      </c>
      <c r="M544" t="s">
        <v>1071</v>
      </c>
      <c r="N544" t="s">
        <v>19</v>
      </c>
    </row>
    <row r="545" spans="1:14" x14ac:dyDescent="0.3">
      <c r="A545">
        <v>442</v>
      </c>
      <c r="B545" t="s">
        <v>1376</v>
      </c>
      <c r="C545" t="s">
        <v>167</v>
      </c>
      <c r="D545" t="s">
        <v>1377</v>
      </c>
      <c r="E545" t="s">
        <v>17</v>
      </c>
      <c r="F545" t="s">
        <v>1369</v>
      </c>
      <c r="G545" s="3">
        <v>16.274999999999999</v>
      </c>
      <c r="H545" s="3">
        <v>0</v>
      </c>
      <c r="I545" s="3">
        <v>16.274999999999999</v>
      </c>
      <c r="J545" s="3">
        <f>Table1[[#This Row],[قيمة الفاتورة]]*0.94-Table1[[#This Row],[قيمة المشاركة]]</f>
        <v>15.298499999999997</v>
      </c>
      <c r="K545">
        <v>15.298</v>
      </c>
      <c r="L545" s="3">
        <f t="shared" si="8"/>
        <v>4.9999999999705835E-4</v>
      </c>
      <c r="M545" t="s">
        <v>1071</v>
      </c>
      <c r="N545" t="s">
        <v>19</v>
      </c>
    </row>
    <row r="546" spans="1:14" x14ac:dyDescent="0.3">
      <c r="A546">
        <v>445</v>
      </c>
      <c r="B546" t="s">
        <v>1378</v>
      </c>
      <c r="C546" t="s">
        <v>377</v>
      </c>
      <c r="D546" t="s">
        <v>1379</v>
      </c>
      <c r="E546" t="s">
        <v>17</v>
      </c>
      <c r="F546" t="s">
        <v>1369</v>
      </c>
      <c r="G546" s="3">
        <v>19.05</v>
      </c>
      <c r="H546" s="3">
        <v>0</v>
      </c>
      <c r="I546" s="3">
        <v>19.05</v>
      </c>
      <c r="J546" s="3">
        <f>Table1[[#This Row],[قيمة الفاتورة]]*0.94-Table1[[#This Row],[قيمة المشاركة]]</f>
        <v>17.907</v>
      </c>
      <c r="K546">
        <v>16.46</v>
      </c>
      <c r="L546" s="3">
        <f t="shared" si="8"/>
        <v>1.4469999999999992</v>
      </c>
      <c r="M546" t="s">
        <v>1071</v>
      </c>
      <c r="N546" t="s">
        <v>19</v>
      </c>
    </row>
    <row r="547" spans="1:14" x14ac:dyDescent="0.3">
      <c r="A547">
        <v>451</v>
      </c>
      <c r="B547" t="s">
        <v>1365</v>
      </c>
      <c r="C547" t="s">
        <v>1366</v>
      </c>
      <c r="D547" t="s">
        <v>1367</v>
      </c>
      <c r="E547" t="s">
        <v>17</v>
      </c>
      <c r="F547" t="s">
        <v>1369</v>
      </c>
      <c r="G547" s="3">
        <v>32.094999999999999</v>
      </c>
      <c r="H547" s="3">
        <v>0</v>
      </c>
      <c r="I547" s="3">
        <v>32.094999999999999</v>
      </c>
      <c r="J547" s="3">
        <f>Table1[[#This Row],[قيمة الفاتورة]]*0.94-Table1[[#This Row],[قيمة المشاركة]]</f>
        <v>30.169299999999996</v>
      </c>
      <c r="K547">
        <v>24.777999999999999</v>
      </c>
      <c r="L547" s="3">
        <f t="shared" si="8"/>
        <v>5.3912999999999975</v>
      </c>
      <c r="M547" t="s">
        <v>1071</v>
      </c>
      <c r="N547" t="s">
        <v>19</v>
      </c>
    </row>
    <row r="548" spans="1:14" x14ac:dyDescent="0.3">
      <c r="A548">
        <v>99</v>
      </c>
      <c r="B548" t="s">
        <v>172</v>
      </c>
      <c r="C548" t="s">
        <v>173</v>
      </c>
      <c r="D548" t="s">
        <v>539</v>
      </c>
      <c r="E548" t="s">
        <v>17</v>
      </c>
      <c r="F548" t="s">
        <v>1369</v>
      </c>
      <c r="G548" s="3">
        <v>17.95</v>
      </c>
      <c r="H548" s="3">
        <v>0</v>
      </c>
      <c r="I548" s="3">
        <v>17.95</v>
      </c>
      <c r="J548" s="3">
        <f>Table1[[#This Row],[قيمة الفاتورة]]*0.94-Table1[[#This Row],[قيمة المشاركة]]</f>
        <v>16.872999999999998</v>
      </c>
      <c r="L548" s="3" t="str">
        <f t="shared" si="8"/>
        <v/>
      </c>
      <c r="N548" t="s">
        <v>19</v>
      </c>
    </row>
    <row r="549" spans="1:14" x14ac:dyDescent="0.3">
      <c r="A549">
        <v>448</v>
      </c>
      <c r="B549" t="s">
        <v>1380</v>
      </c>
      <c r="C549" t="s">
        <v>1381</v>
      </c>
      <c r="D549" t="s">
        <v>1382</v>
      </c>
      <c r="E549" t="s">
        <v>23</v>
      </c>
      <c r="F549" t="s">
        <v>1369</v>
      </c>
      <c r="G549" s="3">
        <v>49.25</v>
      </c>
      <c r="H549" s="3">
        <v>4.9249999999999998</v>
      </c>
      <c r="I549" s="3">
        <v>44.325000000000003</v>
      </c>
      <c r="J549" s="3">
        <f>Table1[[#This Row],[قيمة الفاتورة]]*0.94-Table1[[#This Row],[قيمة المشاركة]]</f>
        <v>41.37</v>
      </c>
      <c r="L549" s="3" t="str">
        <f t="shared" si="8"/>
        <v/>
      </c>
      <c r="N549" t="s">
        <v>328</v>
      </c>
    </row>
    <row r="550" spans="1:14" x14ac:dyDescent="0.3">
      <c r="A550">
        <v>449</v>
      </c>
      <c r="B550" t="s">
        <v>898</v>
      </c>
      <c r="C550" t="s">
        <v>899</v>
      </c>
      <c r="D550" t="s">
        <v>1383</v>
      </c>
      <c r="E550" t="s">
        <v>17</v>
      </c>
      <c r="F550" t="s">
        <v>1369</v>
      </c>
      <c r="G550" s="3">
        <v>81.59</v>
      </c>
      <c r="H550" s="3">
        <v>8.1590000000000007</v>
      </c>
      <c r="I550" s="3">
        <v>73.430999999999997</v>
      </c>
      <c r="J550" s="3">
        <f>Table1[[#This Row],[قيمة الفاتورة]]*0.94-Table1[[#This Row],[قيمة المشاركة]]</f>
        <v>68.535599999999988</v>
      </c>
      <c r="L550" s="3" t="str">
        <f t="shared" si="8"/>
        <v/>
      </c>
      <c r="N550" t="s">
        <v>328</v>
      </c>
    </row>
    <row r="551" spans="1:14" x14ac:dyDescent="0.3">
      <c r="A551">
        <v>444</v>
      </c>
      <c r="B551" t="s">
        <v>1247</v>
      </c>
      <c r="C551" t="s">
        <v>312</v>
      </c>
      <c r="D551" t="s">
        <v>1384</v>
      </c>
      <c r="E551" t="s">
        <v>17</v>
      </c>
      <c r="F551" t="s">
        <v>1369</v>
      </c>
      <c r="G551" s="3">
        <v>63.54</v>
      </c>
      <c r="H551" s="3">
        <v>12.708</v>
      </c>
      <c r="I551" s="3">
        <v>50.832000000000001</v>
      </c>
      <c r="J551" s="3">
        <f>Table1[[#This Row],[قيمة الفاتورة]]*0.94-Table1[[#This Row],[قيمة المشاركة]]</f>
        <v>47.019599999999997</v>
      </c>
      <c r="L551" s="3" t="str">
        <f t="shared" si="8"/>
        <v/>
      </c>
      <c r="N551" t="s">
        <v>328</v>
      </c>
    </row>
    <row r="552" spans="1:14" x14ac:dyDescent="0.3">
      <c r="A552">
        <v>452</v>
      </c>
      <c r="B552" t="s">
        <v>123</v>
      </c>
      <c r="C552" t="s">
        <v>124</v>
      </c>
      <c r="D552" t="s">
        <v>1385</v>
      </c>
      <c r="E552" t="s">
        <v>17</v>
      </c>
      <c r="F552" t="s">
        <v>1386</v>
      </c>
      <c r="G552" s="3">
        <v>25.24</v>
      </c>
      <c r="H552" s="3">
        <v>0</v>
      </c>
      <c r="I552" s="3">
        <v>25.24</v>
      </c>
      <c r="J552" s="3">
        <f>Table1[[#This Row],[قيمة الفاتورة]]*0.94-Table1[[#This Row],[قيمة المشاركة]]</f>
        <v>23.725599999999996</v>
      </c>
      <c r="K552">
        <v>23.725999999999999</v>
      </c>
      <c r="L552" s="3">
        <f t="shared" si="8"/>
        <v>-4.0000000000262048E-4</v>
      </c>
      <c r="M552" t="s">
        <v>436</v>
      </c>
      <c r="N552" t="s">
        <v>126</v>
      </c>
    </row>
    <row r="553" spans="1:14" x14ac:dyDescent="0.3">
      <c r="A553">
        <v>455</v>
      </c>
      <c r="B553" t="s">
        <v>333</v>
      </c>
      <c r="C553" t="s">
        <v>334</v>
      </c>
      <c r="D553" t="s">
        <v>1387</v>
      </c>
      <c r="E553" t="s">
        <v>23</v>
      </c>
      <c r="F553" t="s">
        <v>1386</v>
      </c>
      <c r="G553" s="3">
        <v>18.309999999999999</v>
      </c>
      <c r="H553" s="3">
        <v>0</v>
      </c>
      <c r="I553" s="3">
        <v>18.309999999999999</v>
      </c>
      <c r="J553" s="3">
        <f>Table1[[#This Row],[قيمة الفاتورة]]*0.94-Table1[[#This Row],[قيمة المشاركة]]</f>
        <v>17.211399999999998</v>
      </c>
      <c r="K553">
        <v>17.210999999999999</v>
      </c>
      <c r="L553" s="3">
        <f t="shared" si="8"/>
        <v>3.9999999999906777E-4</v>
      </c>
      <c r="M553" t="s">
        <v>1071</v>
      </c>
      <c r="N553" t="s">
        <v>19</v>
      </c>
    </row>
    <row r="554" spans="1:14" x14ac:dyDescent="0.3">
      <c r="A554">
        <v>454</v>
      </c>
      <c r="B554" t="s">
        <v>720</v>
      </c>
      <c r="C554" t="s">
        <v>721</v>
      </c>
      <c r="D554" t="s">
        <v>1388</v>
      </c>
      <c r="E554" t="s">
        <v>17</v>
      </c>
      <c r="F554" t="s">
        <v>1386</v>
      </c>
      <c r="G554" s="3">
        <v>23.03</v>
      </c>
      <c r="H554" s="3">
        <v>0</v>
      </c>
      <c r="I554" s="3">
        <v>23.03</v>
      </c>
      <c r="J554" s="3">
        <f>Table1[[#This Row],[قيمة الفاتورة]]*0.94-Table1[[#This Row],[قيمة المشاركة]]</f>
        <v>21.648199999999999</v>
      </c>
      <c r="K554">
        <v>21.609000000000002</v>
      </c>
      <c r="L554" s="3">
        <f t="shared" si="8"/>
        <v>3.9199999999997459E-2</v>
      </c>
      <c r="M554" t="s">
        <v>1071</v>
      </c>
      <c r="N554" t="s">
        <v>19</v>
      </c>
    </row>
    <row r="555" spans="1:14" x14ac:dyDescent="0.3">
      <c r="A555">
        <v>453</v>
      </c>
      <c r="B555" t="s">
        <v>1389</v>
      </c>
      <c r="C555" t="s">
        <v>1390</v>
      </c>
      <c r="D555" t="s">
        <v>1391</v>
      </c>
      <c r="E555" t="s">
        <v>17</v>
      </c>
      <c r="F555" t="s">
        <v>1386</v>
      </c>
      <c r="G555" s="3">
        <v>14.39</v>
      </c>
      <c r="H555" s="3">
        <v>0</v>
      </c>
      <c r="I555" s="3">
        <v>14.39</v>
      </c>
      <c r="J555" s="3">
        <f>Table1[[#This Row],[قيمة الفاتورة]]*0.94-Table1[[#This Row],[قيمة المشاركة]]</f>
        <v>13.5266</v>
      </c>
      <c r="K555">
        <v>12.981</v>
      </c>
      <c r="L555" s="3">
        <f t="shared" si="8"/>
        <v>0.54560000000000031</v>
      </c>
      <c r="M555" t="s">
        <v>1071</v>
      </c>
      <c r="N555" t="s">
        <v>19</v>
      </c>
    </row>
    <row r="556" spans="1:14" x14ac:dyDescent="0.3">
      <c r="A556">
        <v>100</v>
      </c>
      <c r="B556" t="s">
        <v>1392</v>
      </c>
      <c r="C556" t="s">
        <v>1393</v>
      </c>
      <c r="D556" t="s">
        <v>1394</v>
      </c>
      <c r="E556" t="s">
        <v>23</v>
      </c>
      <c r="F556" t="s">
        <v>1386</v>
      </c>
      <c r="G556" s="3">
        <v>19.77</v>
      </c>
      <c r="H556" s="3">
        <v>0</v>
      </c>
      <c r="I556" s="3">
        <v>19.77</v>
      </c>
      <c r="J556" s="3">
        <f>Table1[[#This Row],[قيمة الفاتورة]]*0.94-Table1[[#This Row],[قيمة المشاركة]]</f>
        <v>18.5838</v>
      </c>
      <c r="L556" s="3" t="str">
        <f t="shared" si="8"/>
        <v/>
      </c>
      <c r="N556" t="s">
        <v>19</v>
      </c>
    </row>
    <row r="557" spans="1:14" x14ac:dyDescent="0.3">
      <c r="A557">
        <v>456</v>
      </c>
      <c r="B557" t="s">
        <v>376</v>
      </c>
      <c r="C557" t="s">
        <v>1395</v>
      </c>
      <c r="D557" t="s">
        <v>1396</v>
      </c>
      <c r="E557" t="s">
        <v>23</v>
      </c>
      <c r="F557" t="s">
        <v>1397</v>
      </c>
      <c r="G557" s="3">
        <v>21.72</v>
      </c>
      <c r="H557" s="3">
        <v>0</v>
      </c>
      <c r="I557" s="3">
        <v>21.72</v>
      </c>
      <c r="J557" s="3">
        <f>Table1[[#This Row],[قيمة الفاتورة]]*0.94-Table1[[#This Row],[قيمة المشاركة]]</f>
        <v>20.416799999999999</v>
      </c>
      <c r="K557">
        <v>20.417000000000002</v>
      </c>
      <c r="L557" s="3">
        <f t="shared" si="8"/>
        <v>-2.000000000030866E-4</v>
      </c>
      <c r="M557" t="s">
        <v>1398</v>
      </c>
      <c r="N557" t="s">
        <v>19</v>
      </c>
    </row>
    <row r="558" spans="1:14" x14ac:dyDescent="0.3">
      <c r="A558">
        <v>458</v>
      </c>
      <c r="B558" t="s">
        <v>272</v>
      </c>
      <c r="C558" t="s">
        <v>273</v>
      </c>
      <c r="D558" t="s">
        <v>1399</v>
      </c>
      <c r="E558" t="s">
        <v>23</v>
      </c>
      <c r="F558" t="s">
        <v>1400</v>
      </c>
      <c r="G558" s="3">
        <v>3.34</v>
      </c>
      <c r="H558" s="3">
        <v>0</v>
      </c>
      <c r="I558" s="3">
        <v>3.34</v>
      </c>
      <c r="J558" s="3">
        <f>Table1[[#This Row],[قيمة الفاتورة]]*0.94-Table1[[#This Row],[قيمة المشاركة]]</f>
        <v>3.1395999999999997</v>
      </c>
      <c r="K558">
        <v>3.14</v>
      </c>
      <c r="L558" s="3">
        <f t="shared" si="8"/>
        <v>-4.0000000000040004E-4</v>
      </c>
      <c r="M558" t="s">
        <v>1398</v>
      </c>
      <c r="N558" t="s">
        <v>19</v>
      </c>
    </row>
    <row r="559" spans="1:14" x14ac:dyDescent="0.3">
      <c r="A559">
        <v>457</v>
      </c>
      <c r="B559" t="s">
        <v>423</v>
      </c>
      <c r="C559" t="s">
        <v>1401</v>
      </c>
      <c r="D559" t="s">
        <v>1402</v>
      </c>
      <c r="E559" t="s">
        <v>23</v>
      </c>
      <c r="F559" t="s">
        <v>1400</v>
      </c>
      <c r="G559" s="3">
        <v>28.12</v>
      </c>
      <c r="H559" s="3">
        <v>0</v>
      </c>
      <c r="I559" s="3">
        <v>28.12</v>
      </c>
      <c r="J559" s="3">
        <f>Table1[[#This Row],[قيمة الفاتورة]]*0.94-Table1[[#This Row],[قيمة المشاركة]]</f>
        <v>26.4328</v>
      </c>
      <c r="K559">
        <v>26.431999999999999</v>
      </c>
      <c r="L559" s="3">
        <f t="shared" si="8"/>
        <v>8.0000000000168825E-4</v>
      </c>
      <c r="M559" t="s">
        <v>1398</v>
      </c>
      <c r="N559" t="s">
        <v>19</v>
      </c>
    </row>
    <row r="560" spans="1:14" x14ac:dyDescent="0.3">
      <c r="A560">
        <v>461</v>
      </c>
      <c r="B560" t="s">
        <v>1403</v>
      </c>
      <c r="C560" t="s">
        <v>1404</v>
      </c>
      <c r="D560" t="s">
        <v>1405</v>
      </c>
      <c r="E560" t="s">
        <v>17</v>
      </c>
      <c r="F560" t="s">
        <v>1406</v>
      </c>
      <c r="G560" s="3">
        <v>31.989000000000001</v>
      </c>
      <c r="H560" s="3">
        <v>0</v>
      </c>
      <c r="I560" s="3">
        <v>31.989000000000001</v>
      </c>
      <c r="J560" s="3">
        <f>Table1[[#This Row],[قيمة الفاتورة]]*0.94-Table1[[#This Row],[قيمة المشاركة]]</f>
        <v>30.069659999999999</v>
      </c>
      <c r="K560">
        <v>30.408000000000001</v>
      </c>
      <c r="L560" s="3">
        <f t="shared" si="8"/>
        <v>-0.33834000000000231</v>
      </c>
      <c r="M560" t="s">
        <v>1398</v>
      </c>
      <c r="N560" t="s">
        <v>19</v>
      </c>
    </row>
    <row r="561" spans="1:14" x14ac:dyDescent="0.3">
      <c r="A561">
        <v>101</v>
      </c>
      <c r="B561" t="s">
        <v>1407</v>
      </c>
      <c r="C561" t="s">
        <v>1408</v>
      </c>
      <c r="D561" t="s">
        <v>1409</v>
      </c>
      <c r="E561" t="s">
        <v>17</v>
      </c>
      <c r="F561" t="s">
        <v>1406</v>
      </c>
      <c r="G561" s="3">
        <v>28.44</v>
      </c>
      <c r="H561" s="3">
        <v>0</v>
      </c>
      <c r="I561" s="3">
        <v>28.44</v>
      </c>
      <c r="J561" s="3">
        <f>Table1[[#This Row],[قيمة الفاتورة]]*0.94-Table1[[#This Row],[قيمة المشاركة]]</f>
        <v>26.733599999999999</v>
      </c>
      <c r="K561">
        <v>26.734000000000002</v>
      </c>
      <c r="L561" s="3">
        <f t="shared" si="8"/>
        <v>-4.0000000000262048E-4</v>
      </c>
      <c r="M561" t="s">
        <v>1398</v>
      </c>
      <c r="N561" t="s">
        <v>19</v>
      </c>
    </row>
    <row r="562" spans="1:14" x14ac:dyDescent="0.3">
      <c r="A562">
        <v>460</v>
      </c>
      <c r="B562" t="s">
        <v>516</v>
      </c>
      <c r="C562" t="s">
        <v>517</v>
      </c>
      <c r="D562" t="s">
        <v>1410</v>
      </c>
      <c r="E562" t="s">
        <v>23</v>
      </c>
      <c r="F562" t="s">
        <v>1406</v>
      </c>
      <c r="G562" s="3">
        <v>10.32</v>
      </c>
      <c r="H562" s="3">
        <v>0</v>
      </c>
      <c r="I562" s="3">
        <v>10.32</v>
      </c>
      <c r="J562" s="3">
        <f>Table1[[#This Row],[قيمة الفاتورة]]*0.94-Table1[[#This Row],[قيمة المشاركة]]</f>
        <v>9.7007999999999992</v>
      </c>
      <c r="K562">
        <v>9.7010000000000005</v>
      </c>
      <c r="L562" s="3">
        <f t="shared" si="8"/>
        <v>-2.0000000000131024E-4</v>
      </c>
      <c r="M562" t="s">
        <v>1398</v>
      </c>
      <c r="N562" t="s">
        <v>19</v>
      </c>
    </row>
    <row r="563" spans="1:14" x14ac:dyDescent="0.3">
      <c r="A563">
        <v>463</v>
      </c>
      <c r="B563" t="s">
        <v>1411</v>
      </c>
      <c r="C563" t="s">
        <v>1412</v>
      </c>
      <c r="D563" t="s">
        <v>1413</v>
      </c>
      <c r="E563" t="s">
        <v>23</v>
      </c>
      <c r="F563" t="s">
        <v>1406</v>
      </c>
      <c r="G563" s="3">
        <v>41.45</v>
      </c>
      <c r="H563" s="3">
        <v>0</v>
      </c>
      <c r="I563" s="3">
        <v>41.45</v>
      </c>
      <c r="J563" s="3">
        <f>Table1[[#This Row],[قيمة الفاتورة]]*0.94-Table1[[#This Row],[قيمة المشاركة]]</f>
        <v>38.963000000000001</v>
      </c>
      <c r="K563">
        <v>38.963000000000001</v>
      </c>
      <c r="L563" s="3">
        <f t="shared" si="8"/>
        <v>0</v>
      </c>
      <c r="M563" t="s">
        <v>1398</v>
      </c>
      <c r="N563" t="s">
        <v>19</v>
      </c>
    </row>
    <row r="564" spans="1:14" x14ac:dyDescent="0.3">
      <c r="A564">
        <v>462</v>
      </c>
      <c r="B564" t="s">
        <v>1414</v>
      </c>
      <c r="C564" t="s">
        <v>354</v>
      </c>
      <c r="D564" t="s">
        <v>1415</v>
      </c>
      <c r="E564" t="s">
        <v>23</v>
      </c>
      <c r="F564" t="s">
        <v>1406</v>
      </c>
      <c r="G564" s="3">
        <v>2.5</v>
      </c>
      <c r="H564" s="3">
        <v>0</v>
      </c>
      <c r="I564" s="3">
        <v>2.5</v>
      </c>
      <c r="J564" s="3">
        <f>Table1[[#This Row],[قيمة الفاتورة]]*0.94-Table1[[#This Row],[قيمة المشاركة]]</f>
        <v>2.3499999999999996</v>
      </c>
      <c r="L564" s="3" t="str">
        <f t="shared" si="8"/>
        <v/>
      </c>
      <c r="N564" t="s">
        <v>19</v>
      </c>
    </row>
    <row r="565" spans="1:14" x14ac:dyDescent="0.3">
      <c r="A565">
        <v>459</v>
      </c>
      <c r="B565" t="s">
        <v>1416</v>
      </c>
      <c r="C565" t="s">
        <v>1417</v>
      </c>
      <c r="D565" t="s">
        <v>1418</v>
      </c>
      <c r="E565" t="s">
        <v>23</v>
      </c>
      <c r="F565" t="s">
        <v>1406</v>
      </c>
      <c r="G565" s="3">
        <v>44.33</v>
      </c>
      <c r="H565" s="3">
        <v>0</v>
      </c>
      <c r="I565" s="3">
        <v>44.33</v>
      </c>
      <c r="J565" s="3">
        <f>Table1[[#This Row],[قيمة الفاتورة]]*0.94-Table1[[#This Row],[قيمة المشاركة]]</f>
        <v>41.670199999999994</v>
      </c>
      <c r="L565" s="3" t="str">
        <f t="shared" si="8"/>
        <v/>
      </c>
      <c r="N565" t="s">
        <v>19</v>
      </c>
    </row>
    <row r="566" spans="1:14" x14ac:dyDescent="0.3">
      <c r="A566">
        <v>465</v>
      </c>
      <c r="B566" t="s">
        <v>1419</v>
      </c>
      <c r="C566" t="s">
        <v>1420</v>
      </c>
      <c r="D566" t="s">
        <v>1421</v>
      </c>
      <c r="E566" t="s">
        <v>23</v>
      </c>
      <c r="F566" t="s">
        <v>1422</v>
      </c>
      <c r="G566" s="3">
        <v>7.64</v>
      </c>
      <c r="H566" s="3">
        <v>0</v>
      </c>
      <c r="I566" s="3">
        <v>7.64</v>
      </c>
      <c r="J566" s="3">
        <f>Table1[[#This Row],[قيمة الفاتورة]]*0.94-Table1[[#This Row],[قيمة المشاركة]]</f>
        <v>7.1815999999999995</v>
      </c>
      <c r="K566">
        <v>7.1820000000000004</v>
      </c>
      <c r="L566" s="3">
        <f t="shared" si="8"/>
        <v>-4.0000000000084412E-4</v>
      </c>
      <c r="M566" t="s">
        <v>1398</v>
      </c>
      <c r="N566" t="s">
        <v>19</v>
      </c>
    </row>
    <row r="567" spans="1:14" x14ac:dyDescent="0.3">
      <c r="A567">
        <v>464</v>
      </c>
      <c r="B567" t="s">
        <v>1423</v>
      </c>
      <c r="C567" t="s">
        <v>1424</v>
      </c>
      <c r="D567" t="s">
        <v>1425</v>
      </c>
      <c r="E567" t="s">
        <v>23</v>
      </c>
      <c r="F567" t="s">
        <v>1422</v>
      </c>
      <c r="G567" s="3">
        <v>21.25</v>
      </c>
      <c r="H567" s="3">
        <v>0</v>
      </c>
      <c r="I567" s="3">
        <v>21.25</v>
      </c>
      <c r="J567" s="3">
        <f>Table1[[#This Row],[قيمة الفاتورة]]*0.94-Table1[[#This Row],[قيمة المشاركة]]</f>
        <v>19.974999999999998</v>
      </c>
      <c r="K567">
        <v>19.975000000000001</v>
      </c>
      <c r="L567" s="3">
        <f t="shared" si="8"/>
        <v>-3.5527136788005009E-15</v>
      </c>
      <c r="M567" t="s">
        <v>1398</v>
      </c>
      <c r="N567" t="s">
        <v>19</v>
      </c>
    </row>
    <row r="568" spans="1:14" x14ac:dyDescent="0.3">
      <c r="A568">
        <v>466</v>
      </c>
      <c r="B568" t="s">
        <v>1426</v>
      </c>
      <c r="C568" t="s">
        <v>1427</v>
      </c>
      <c r="D568" t="s">
        <v>1428</v>
      </c>
      <c r="E568" t="s">
        <v>17</v>
      </c>
      <c r="F568" t="s">
        <v>1429</v>
      </c>
      <c r="G568" s="3">
        <v>23.14</v>
      </c>
      <c r="H568" s="3">
        <v>0</v>
      </c>
      <c r="I568" s="3">
        <v>23.14</v>
      </c>
      <c r="J568" s="3">
        <f>Table1[[#This Row],[قيمة الفاتورة]]*0.94-Table1[[#This Row],[قيمة المشاركة]]</f>
        <v>21.7516</v>
      </c>
      <c r="L568" s="3" t="str">
        <f t="shared" si="8"/>
        <v/>
      </c>
      <c r="N568" t="s">
        <v>19</v>
      </c>
    </row>
    <row r="569" spans="1:14" x14ac:dyDescent="0.3">
      <c r="A569">
        <v>468</v>
      </c>
      <c r="B569" t="s">
        <v>1430</v>
      </c>
      <c r="C569" t="s">
        <v>1431</v>
      </c>
      <c r="D569" t="s">
        <v>1432</v>
      </c>
      <c r="E569" t="s">
        <v>17</v>
      </c>
      <c r="F569" t="s">
        <v>1433</v>
      </c>
      <c r="G569" s="3">
        <v>63.54</v>
      </c>
      <c r="H569" s="3">
        <v>12.708</v>
      </c>
      <c r="I569" s="3">
        <v>50.832000000000001</v>
      </c>
      <c r="J569" s="3">
        <f>Table1[[#This Row],[قيمة الفاتورة]]*0.94-Table1[[#This Row],[قيمة المشاركة]]</f>
        <v>47.019599999999997</v>
      </c>
      <c r="K569">
        <v>47.02</v>
      </c>
      <c r="L569" s="3">
        <f t="shared" si="8"/>
        <v>-4.000000000061732E-4</v>
      </c>
      <c r="M569" t="s">
        <v>436</v>
      </c>
      <c r="N569" t="s">
        <v>328</v>
      </c>
    </row>
    <row r="570" spans="1:14" x14ac:dyDescent="0.3">
      <c r="A570">
        <v>471</v>
      </c>
      <c r="B570" t="s">
        <v>1434</v>
      </c>
      <c r="C570" t="s">
        <v>1424</v>
      </c>
      <c r="D570" t="s">
        <v>1435</v>
      </c>
      <c r="E570" t="s">
        <v>23</v>
      </c>
      <c r="F570" t="s">
        <v>1433</v>
      </c>
      <c r="G570" s="3">
        <v>12.8</v>
      </c>
      <c r="H570" s="3">
        <v>0</v>
      </c>
      <c r="I570" s="3">
        <v>12.8</v>
      </c>
      <c r="J570" s="3">
        <f>Table1[[#This Row],[قيمة الفاتورة]]*0.94-Table1[[#This Row],[قيمة المشاركة]]</f>
        <v>12.032</v>
      </c>
      <c r="K570">
        <v>11.863</v>
      </c>
      <c r="L570" s="3">
        <f t="shared" si="8"/>
        <v>0.16900000000000048</v>
      </c>
      <c r="M570" t="s">
        <v>1398</v>
      </c>
      <c r="N570" t="s">
        <v>19</v>
      </c>
    </row>
    <row r="571" spans="1:14" x14ac:dyDescent="0.3">
      <c r="A571">
        <v>467</v>
      </c>
      <c r="B571" t="s">
        <v>432</v>
      </c>
      <c r="C571" t="s">
        <v>433</v>
      </c>
      <c r="D571" t="s">
        <v>1436</v>
      </c>
      <c r="E571" t="s">
        <v>23</v>
      </c>
      <c r="F571" t="s">
        <v>1433</v>
      </c>
      <c r="G571" s="3">
        <v>10.130000000000001</v>
      </c>
      <c r="H571" s="3">
        <v>1.0129999999999999</v>
      </c>
      <c r="I571" s="3">
        <v>9.1170000000000009</v>
      </c>
      <c r="J571" s="3">
        <f>Table1[[#This Row],[قيمة الفاتورة]]*0.94-Table1[[#This Row],[قيمة المشاركة]]</f>
        <v>8.5091999999999999</v>
      </c>
      <c r="K571">
        <v>7.96</v>
      </c>
      <c r="L571" s="3">
        <f t="shared" si="8"/>
        <v>0.54919999999999991</v>
      </c>
      <c r="M571" t="s">
        <v>1437</v>
      </c>
      <c r="N571" t="s">
        <v>126</v>
      </c>
    </row>
    <row r="572" spans="1:14" x14ac:dyDescent="0.3">
      <c r="A572">
        <v>470</v>
      </c>
      <c r="B572" t="s">
        <v>1434</v>
      </c>
      <c r="C572" t="s">
        <v>1424</v>
      </c>
      <c r="D572" t="s">
        <v>1438</v>
      </c>
      <c r="E572" t="s">
        <v>23</v>
      </c>
      <c r="F572" t="s">
        <v>1433</v>
      </c>
      <c r="G572" s="3">
        <v>39.799999999999997</v>
      </c>
      <c r="H572" s="3">
        <v>0</v>
      </c>
      <c r="I572" s="3">
        <v>39.799999999999997</v>
      </c>
      <c r="J572" s="3">
        <f>Table1[[#This Row],[قيمة الفاتورة]]*0.94-Table1[[#This Row],[قيمة المشاركة]]</f>
        <v>37.411999999999992</v>
      </c>
      <c r="K572">
        <v>36.265000000000001</v>
      </c>
      <c r="L572" s="3">
        <f t="shared" si="8"/>
        <v>1.1469999999999914</v>
      </c>
      <c r="M572" t="s">
        <v>1398</v>
      </c>
      <c r="N572" t="s">
        <v>19</v>
      </c>
    </row>
    <row r="573" spans="1:14" x14ac:dyDescent="0.3">
      <c r="A573">
        <v>469</v>
      </c>
      <c r="B573" t="s">
        <v>1376</v>
      </c>
      <c r="C573" t="s">
        <v>167</v>
      </c>
      <c r="D573" t="s">
        <v>1439</v>
      </c>
      <c r="E573" t="s">
        <v>17</v>
      </c>
      <c r="F573" t="s">
        <v>1433</v>
      </c>
      <c r="G573" s="3">
        <v>29.39</v>
      </c>
      <c r="H573" s="3">
        <v>0</v>
      </c>
      <c r="I573" s="3">
        <v>29.39</v>
      </c>
      <c r="J573" s="3">
        <f>Table1[[#This Row],[قيمة الفاتورة]]*0.94-Table1[[#This Row],[قيمة المشاركة]]</f>
        <v>27.6266</v>
      </c>
      <c r="K573">
        <v>25.794</v>
      </c>
      <c r="L573" s="3">
        <f t="shared" si="8"/>
        <v>1.8325999999999993</v>
      </c>
      <c r="M573" t="s">
        <v>1398</v>
      </c>
      <c r="N573" t="s">
        <v>19</v>
      </c>
    </row>
    <row r="574" spans="1:14" x14ac:dyDescent="0.3">
      <c r="A574">
        <v>472</v>
      </c>
      <c r="B574" t="s">
        <v>1067</v>
      </c>
      <c r="C574" t="s">
        <v>412</v>
      </c>
      <c r="D574" t="s">
        <v>1440</v>
      </c>
      <c r="E574" t="s">
        <v>23</v>
      </c>
      <c r="F574" t="s">
        <v>1441</v>
      </c>
      <c r="G574" s="3">
        <v>36.299999999999997</v>
      </c>
      <c r="H574" s="3">
        <v>0</v>
      </c>
      <c r="I574" s="3">
        <v>36.299999999999997</v>
      </c>
      <c r="J574" s="3">
        <f>Table1[[#This Row],[قيمة الفاتورة]]*0.94-Table1[[#This Row],[قيمة المشاركة]]</f>
        <v>34.121999999999993</v>
      </c>
      <c r="K574">
        <v>34.122</v>
      </c>
      <c r="L574" s="3">
        <f t="shared" si="8"/>
        <v>-7.1054273576010019E-15</v>
      </c>
      <c r="M574" t="s">
        <v>1398</v>
      </c>
      <c r="N574" t="s">
        <v>19</v>
      </c>
    </row>
    <row r="575" spans="1:14" x14ac:dyDescent="0.3">
      <c r="A575">
        <v>473</v>
      </c>
      <c r="B575" t="s">
        <v>302</v>
      </c>
      <c r="C575" t="s">
        <v>303</v>
      </c>
      <c r="D575" t="s">
        <v>1442</v>
      </c>
      <c r="E575" t="s">
        <v>17</v>
      </c>
      <c r="F575" t="s">
        <v>1443</v>
      </c>
      <c r="G575" s="3">
        <v>40.32</v>
      </c>
      <c r="H575" s="3">
        <v>0</v>
      </c>
      <c r="I575" s="3">
        <v>40.32</v>
      </c>
      <c r="J575" s="3">
        <f>Table1[[#This Row],[قيمة الفاتورة]]*0.94-Table1[[#This Row],[قيمة المشاركة]]</f>
        <v>37.900799999999997</v>
      </c>
      <c r="K575">
        <v>36.537999999999997</v>
      </c>
      <c r="L575" s="3">
        <f t="shared" si="8"/>
        <v>1.3628</v>
      </c>
      <c r="M575" t="s">
        <v>1398</v>
      </c>
      <c r="N575" t="s">
        <v>19</v>
      </c>
    </row>
    <row r="576" spans="1:14" x14ac:dyDescent="0.3">
      <c r="A576">
        <v>477</v>
      </c>
      <c r="B576" t="s">
        <v>1444</v>
      </c>
      <c r="C576" t="s">
        <v>1445</v>
      </c>
      <c r="D576" t="s">
        <v>1446</v>
      </c>
      <c r="E576" t="s">
        <v>17</v>
      </c>
      <c r="F576" t="s">
        <v>1447</v>
      </c>
      <c r="G576" s="3">
        <v>11.51</v>
      </c>
      <c r="H576" s="3">
        <v>0</v>
      </c>
      <c r="I576" s="3">
        <v>11.51</v>
      </c>
      <c r="J576" s="3">
        <f>Table1[[#This Row],[قيمة الفاتورة]]*0.94-Table1[[#This Row],[قيمة المشاركة]]</f>
        <v>10.8194</v>
      </c>
      <c r="K576">
        <v>11.44</v>
      </c>
      <c r="L576" s="3">
        <f t="shared" si="8"/>
        <v>-0.6205999999999996</v>
      </c>
      <c r="M576" t="s">
        <v>1398</v>
      </c>
      <c r="N576" t="s">
        <v>19</v>
      </c>
    </row>
    <row r="577" spans="1:14" x14ac:dyDescent="0.3">
      <c r="A577">
        <v>102</v>
      </c>
      <c r="B577" t="s">
        <v>1448</v>
      </c>
      <c r="C577" t="s">
        <v>1449</v>
      </c>
      <c r="D577" t="s">
        <v>1450</v>
      </c>
      <c r="E577" t="s">
        <v>17</v>
      </c>
      <c r="F577" t="s">
        <v>1447</v>
      </c>
      <c r="G577" s="3">
        <v>12.67</v>
      </c>
      <c r="H577" s="3">
        <v>0</v>
      </c>
      <c r="I577" s="3">
        <v>12.67</v>
      </c>
      <c r="J577" s="3">
        <f>Table1[[#This Row],[قيمة الفاتورة]]*0.94-Table1[[#This Row],[قيمة المشاركة]]</f>
        <v>11.909799999999999</v>
      </c>
      <c r="K577">
        <v>11.911</v>
      </c>
      <c r="L577" s="3">
        <f t="shared" si="8"/>
        <v>-1.200000000000756E-3</v>
      </c>
      <c r="M577" t="s">
        <v>1398</v>
      </c>
      <c r="N577" t="s">
        <v>19</v>
      </c>
    </row>
    <row r="578" spans="1:14" x14ac:dyDescent="0.3">
      <c r="A578">
        <v>478</v>
      </c>
      <c r="B578" t="s">
        <v>94</v>
      </c>
      <c r="C578" t="s">
        <v>95</v>
      </c>
      <c r="D578" t="s">
        <v>1451</v>
      </c>
      <c r="E578" t="s">
        <v>23</v>
      </c>
      <c r="F578" t="s">
        <v>1447</v>
      </c>
      <c r="G578" s="3">
        <v>26.88</v>
      </c>
      <c r="H578" s="3">
        <v>0</v>
      </c>
      <c r="I578" s="3">
        <v>26.88</v>
      </c>
      <c r="J578" s="3">
        <f>Table1[[#This Row],[قيمة الفاتورة]]*0.94-Table1[[#This Row],[قيمة المشاركة]]</f>
        <v>25.267199999999999</v>
      </c>
      <c r="K578">
        <v>25.266999999999999</v>
      </c>
      <c r="L578" s="3">
        <f t="shared" ref="L578:L641" si="9">IF(ISNUMBER(K578), J578-K578, "")</f>
        <v>1.9999999999953388E-4</v>
      </c>
      <c r="M578" t="s">
        <v>1398</v>
      </c>
      <c r="N578" t="s">
        <v>19</v>
      </c>
    </row>
    <row r="579" spans="1:14" x14ac:dyDescent="0.3">
      <c r="A579">
        <v>474</v>
      </c>
      <c r="B579" t="s">
        <v>1452</v>
      </c>
      <c r="C579" t="s">
        <v>1453</v>
      </c>
      <c r="D579" t="s">
        <v>1454</v>
      </c>
      <c r="E579" t="s">
        <v>23</v>
      </c>
      <c r="F579" t="s">
        <v>1447</v>
      </c>
      <c r="G579" s="3">
        <v>20.309999999999999</v>
      </c>
      <c r="H579" s="3">
        <v>0</v>
      </c>
      <c r="I579" s="3">
        <v>20.309999999999999</v>
      </c>
      <c r="J579" s="3">
        <f>Table1[[#This Row],[قيمة الفاتورة]]*0.94-Table1[[#This Row],[قيمة المشاركة]]</f>
        <v>19.091399999999997</v>
      </c>
      <c r="K579">
        <v>19.091000000000001</v>
      </c>
      <c r="L579" s="3">
        <f t="shared" si="9"/>
        <v>3.9999999999551505E-4</v>
      </c>
      <c r="M579" t="s">
        <v>1398</v>
      </c>
      <c r="N579" t="s">
        <v>19</v>
      </c>
    </row>
    <row r="580" spans="1:14" x14ac:dyDescent="0.3">
      <c r="A580">
        <v>476</v>
      </c>
      <c r="B580" t="s">
        <v>948</v>
      </c>
      <c r="C580" t="s">
        <v>949</v>
      </c>
      <c r="D580" t="s">
        <v>1455</v>
      </c>
      <c r="E580" t="s">
        <v>17</v>
      </c>
      <c r="F580" t="s">
        <v>1447</v>
      </c>
      <c r="G580" s="3">
        <v>18.89</v>
      </c>
      <c r="H580" s="3">
        <v>0</v>
      </c>
      <c r="I580" s="3">
        <v>18.89</v>
      </c>
      <c r="J580" s="3">
        <f>Table1[[#This Row],[قيمة الفاتورة]]*0.94-Table1[[#This Row],[قيمة المشاركة]]</f>
        <v>17.756599999999999</v>
      </c>
      <c r="K580">
        <v>17.756</v>
      </c>
      <c r="L580" s="3">
        <f t="shared" si="9"/>
        <v>5.9999999999860165E-4</v>
      </c>
      <c r="M580" t="s">
        <v>1398</v>
      </c>
      <c r="N580" t="s">
        <v>19</v>
      </c>
    </row>
    <row r="581" spans="1:14" x14ac:dyDescent="0.3">
      <c r="A581">
        <v>475</v>
      </c>
      <c r="B581" t="s">
        <v>1125</v>
      </c>
      <c r="C581" t="s">
        <v>498</v>
      </c>
      <c r="D581" t="s">
        <v>1456</v>
      </c>
      <c r="E581" t="s">
        <v>17</v>
      </c>
      <c r="F581" t="s">
        <v>1447</v>
      </c>
      <c r="G581" s="3">
        <v>24.57</v>
      </c>
      <c r="H581" s="3">
        <v>0</v>
      </c>
      <c r="I581" s="3">
        <v>24.57</v>
      </c>
      <c r="J581" s="3">
        <f>Table1[[#This Row],[قيمة الفاتورة]]*0.94-Table1[[#This Row],[قيمة المشاركة]]</f>
        <v>23.095800000000001</v>
      </c>
      <c r="L581" s="3" t="str">
        <f t="shared" si="9"/>
        <v/>
      </c>
      <c r="N581" t="s">
        <v>19</v>
      </c>
    </row>
    <row r="582" spans="1:14" x14ac:dyDescent="0.3">
      <c r="A582">
        <v>479</v>
      </c>
      <c r="B582" t="s">
        <v>1457</v>
      </c>
      <c r="C582" t="s">
        <v>1458</v>
      </c>
      <c r="D582" t="s">
        <v>1459</v>
      </c>
      <c r="E582" t="s">
        <v>17</v>
      </c>
      <c r="F582" t="s">
        <v>1447</v>
      </c>
      <c r="G582" s="3">
        <v>6.56</v>
      </c>
      <c r="H582" s="3">
        <v>0.65600000000000003</v>
      </c>
      <c r="I582" s="3">
        <v>5.9039999999999999</v>
      </c>
      <c r="J582" s="3">
        <f>Table1[[#This Row],[قيمة الفاتورة]]*0.94-Table1[[#This Row],[قيمة المشاركة]]</f>
        <v>5.5103999999999997</v>
      </c>
      <c r="L582" s="3" t="str">
        <f t="shared" si="9"/>
        <v/>
      </c>
      <c r="N582" t="s">
        <v>1460</v>
      </c>
    </row>
    <row r="583" spans="1:14" x14ac:dyDescent="0.3">
      <c r="A583">
        <v>480</v>
      </c>
      <c r="B583" t="s">
        <v>407</v>
      </c>
      <c r="C583" t="s">
        <v>408</v>
      </c>
      <c r="D583" t="s">
        <v>1461</v>
      </c>
      <c r="E583" t="s">
        <v>17</v>
      </c>
      <c r="F583" t="s">
        <v>1462</v>
      </c>
      <c r="G583" s="3">
        <v>23.8</v>
      </c>
      <c r="H583" s="3">
        <v>0</v>
      </c>
      <c r="I583" s="3">
        <v>23.8</v>
      </c>
      <c r="J583" s="3">
        <f>Table1[[#This Row],[قيمة الفاتورة]]*0.94-Table1[[#This Row],[قيمة المشاركة]]</f>
        <v>22.372</v>
      </c>
      <c r="K583">
        <v>22.372</v>
      </c>
      <c r="L583" s="3">
        <f t="shared" si="9"/>
        <v>0</v>
      </c>
      <c r="M583" t="s">
        <v>1398</v>
      </c>
      <c r="N583" t="s">
        <v>19</v>
      </c>
    </row>
    <row r="584" spans="1:14" x14ac:dyDescent="0.3">
      <c r="A584">
        <v>481</v>
      </c>
      <c r="B584" t="s">
        <v>513</v>
      </c>
      <c r="C584" t="s">
        <v>514</v>
      </c>
      <c r="D584" t="s">
        <v>1463</v>
      </c>
      <c r="E584" t="s">
        <v>17</v>
      </c>
      <c r="F584" t="s">
        <v>1464</v>
      </c>
      <c r="G584" s="3">
        <v>26.32</v>
      </c>
      <c r="H584" s="3">
        <v>0</v>
      </c>
      <c r="I584" s="3">
        <v>26.32</v>
      </c>
      <c r="J584" s="3">
        <f>Table1[[#This Row],[قيمة الفاتورة]]*0.94-Table1[[#This Row],[قيمة المشاركة]]</f>
        <v>24.7408</v>
      </c>
      <c r="K584">
        <v>24.741</v>
      </c>
      <c r="L584" s="3">
        <f t="shared" si="9"/>
        <v>-1.9999999999953388E-4</v>
      </c>
      <c r="M584" t="s">
        <v>1398</v>
      </c>
      <c r="N584" t="s">
        <v>19</v>
      </c>
    </row>
    <row r="585" spans="1:14" x14ac:dyDescent="0.3">
      <c r="A585">
        <v>482</v>
      </c>
      <c r="B585" t="s">
        <v>120</v>
      </c>
      <c r="C585" t="s">
        <v>121</v>
      </c>
      <c r="D585" t="s">
        <v>1465</v>
      </c>
      <c r="E585" t="s">
        <v>17</v>
      </c>
      <c r="F585" t="s">
        <v>1464</v>
      </c>
      <c r="G585" s="3">
        <v>28.37</v>
      </c>
      <c r="H585" s="3">
        <v>0</v>
      </c>
      <c r="I585" s="3">
        <v>28.37</v>
      </c>
      <c r="J585" s="3">
        <f>Table1[[#This Row],[قيمة الفاتورة]]*0.94-Table1[[#This Row],[قيمة المشاركة]]</f>
        <v>26.6678</v>
      </c>
      <c r="K585">
        <v>26.667000000000002</v>
      </c>
      <c r="L585" s="3">
        <f t="shared" si="9"/>
        <v>7.9999999999813554E-4</v>
      </c>
      <c r="M585" t="s">
        <v>1398</v>
      </c>
      <c r="N585" t="s">
        <v>19</v>
      </c>
    </row>
    <row r="586" spans="1:14" x14ac:dyDescent="0.3">
      <c r="A586">
        <v>104</v>
      </c>
      <c r="B586" t="s">
        <v>333</v>
      </c>
      <c r="C586" t="s">
        <v>334</v>
      </c>
      <c r="D586" t="s">
        <v>1466</v>
      </c>
      <c r="E586" t="s">
        <v>17</v>
      </c>
      <c r="F586" t="s">
        <v>1464</v>
      </c>
      <c r="G586" s="3">
        <v>7.96</v>
      </c>
      <c r="H586" s="3">
        <v>0</v>
      </c>
      <c r="I586" s="3">
        <v>7.96</v>
      </c>
      <c r="J586" s="3">
        <f>Table1[[#This Row],[قيمة الفاتورة]]*0.94-Table1[[#This Row],[قيمة المشاركة]]</f>
        <v>7.4823999999999993</v>
      </c>
      <c r="K586">
        <v>6.3639999999999999</v>
      </c>
      <c r="L586" s="3">
        <f t="shared" si="9"/>
        <v>1.1183999999999994</v>
      </c>
      <c r="M586" t="s">
        <v>1398</v>
      </c>
      <c r="N586" t="s">
        <v>19</v>
      </c>
    </row>
    <row r="587" spans="1:14" x14ac:dyDescent="0.3">
      <c r="A587">
        <v>103</v>
      </c>
      <c r="B587" t="s">
        <v>1467</v>
      </c>
      <c r="C587" t="s">
        <v>1468</v>
      </c>
      <c r="D587" t="s">
        <v>1469</v>
      </c>
      <c r="E587" t="s">
        <v>17</v>
      </c>
      <c r="F587" t="s">
        <v>1464</v>
      </c>
      <c r="G587" s="3">
        <v>24.62</v>
      </c>
      <c r="H587" s="3">
        <v>0</v>
      </c>
      <c r="I587" s="3">
        <v>24.62</v>
      </c>
      <c r="J587" s="3">
        <f>Table1[[#This Row],[قيمة الفاتورة]]*0.94-Table1[[#This Row],[قيمة المشاركة]]</f>
        <v>23.142800000000001</v>
      </c>
      <c r="K587">
        <v>21.827000000000002</v>
      </c>
      <c r="L587" s="3">
        <f t="shared" si="9"/>
        <v>1.3157999999999994</v>
      </c>
      <c r="M587" t="s">
        <v>1398</v>
      </c>
      <c r="N587" t="s">
        <v>19</v>
      </c>
    </row>
    <row r="588" spans="1:14" x14ac:dyDescent="0.3">
      <c r="A588">
        <v>483</v>
      </c>
      <c r="B588" t="s">
        <v>1470</v>
      </c>
      <c r="C588" t="s">
        <v>1334</v>
      </c>
      <c r="D588" t="s">
        <v>1471</v>
      </c>
      <c r="E588" t="s">
        <v>23</v>
      </c>
      <c r="F588" t="s">
        <v>1464</v>
      </c>
      <c r="G588" s="3">
        <v>7.65</v>
      </c>
      <c r="H588" s="3">
        <v>0</v>
      </c>
      <c r="I588" s="3">
        <v>7.65</v>
      </c>
      <c r="J588" s="3">
        <f>Table1[[#This Row],[قيمة الفاتورة]]*0.94-Table1[[#This Row],[قيمة المشاركة]]</f>
        <v>7.1909999999999998</v>
      </c>
      <c r="L588" s="3" t="str">
        <f t="shared" si="9"/>
        <v/>
      </c>
      <c r="N588" t="s">
        <v>19</v>
      </c>
    </row>
    <row r="589" spans="1:14" x14ac:dyDescent="0.3">
      <c r="A589">
        <v>105</v>
      </c>
      <c r="B589" t="s">
        <v>333</v>
      </c>
      <c r="C589" t="s">
        <v>1472</v>
      </c>
      <c r="D589" t="s">
        <v>1466</v>
      </c>
      <c r="E589" t="s">
        <v>17</v>
      </c>
      <c r="F589" t="s">
        <v>1473</v>
      </c>
      <c r="G589" s="3">
        <v>20.36</v>
      </c>
      <c r="H589" s="3">
        <v>0</v>
      </c>
      <c r="I589" s="3">
        <v>20.36</v>
      </c>
      <c r="J589" s="3">
        <f>Table1[[#This Row],[قيمة الفاتورة]]*0.94-Table1[[#This Row],[قيمة المشاركة]]</f>
        <v>19.138399999999997</v>
      </c>
      <c r="K589">
        <v>19.609000000000002</v>
      </c>
      <c r="L589" s="3">
        <f t="shared" si="9"/>
        <v>-0.47060000000000457</v>
      </c>
      <c r="M589" t="s">
        <v>1398</v>
      </c>
      <c r="N589" t="s">
        <v>19</v>
      </c>
    </row>
    <row r="590" spans="1:14" x14ac:dyDescent="0.3">
      <c r="A590">
        <v>485</v>
      </c>
      <c r="B590" t="s">
        <v>707</v>
      </c>
      <c r="C590" t="s">
        <v>708</v>
      </c>
      <c r="D590" t="s">
        <v>1474</v>
      </c>
      <c r="E590" t="s">
        <v>23</v>
      </c>
      <c r="F590" t="s">
        <v>1475</v>
      </c>
      <c r="G590" s="3">
        <v>15.35</v>
      </c>
      <c r="H590" s="3">
        <v>0</v>
      </c>
      <c r="I590" s="3">
        <v>15.35</v>
      </c>
      <c r="J590" s="3">
        <f>Table1[[#This Row],[قيمة الفاتورة]]*0.94-Table1[[#This Row],[قيمة المشاركة]]</f>
        <v>14.428999999999998</v>
      </c>
      <c r="K590">
        <v>14.429</v>
      </c>
      <c r="L590" s="3">
        <f t="shared" si="9"/>
        <v>-1.7763568394002505E-15</v>
      </c>
      <c r="M590" t="s">
        <v>1398</v>
      </c>
      <c r="N590" t="s">
        <v>19</v>
      </c>
    </row>
    <row r="591" spans="1:14" x14ac:dyDescent="0.3">
      <c r="A591">
        <v>486</v>
      </c>
      <c r="B591" t="s">
        <v>1017</v>
      </c>
      <c r="C591" t="s">
        <v>1018</v>
      </c>
      <c r="D591" t="s">
        <v>1476</v>
      </c>
      <c r="E591" t="s">
        <v>23</v>
      </c>
      <c r="F591" t="s">
        <v>1475</v>
      </c>
      <c r="G591" s="3">
        <v>27.49</v>
      </c>
      <c r="H591" s="3">
        <v>0</v>
      </c>
      <c r="I591" s="3">
        <v>27.49</v>
      </c>
      <c r="J591" s="3">
        <f>Table1[[#This Row],[قيمة الفاتورة]]*0.94-Table1[[#This Row],[قيمة المشاركة]]</f>
        <v>25.840599999999998</v>
      </c>
      <c r="K591">
        <v>25.831</v>
      </c>
      <c r="L591" s="3">
        <f t="shared" si="9"/>
        <v>9.5999999999989427E-3</v>
      </c>
      <c r="M591" t="s">
        <v>1398</v>
      </c>
      <c r="N591" t="s">
        <v>19</v>
      </c>
    </row>
    <row r="592" spans="1:14" x14ac:dyDescent="0.3">
      <c r="A592">
        <v>484</v>
      </c>
      <c r="B592" t="s">
        <v>343</v>
      </c>
      <c r="C592" t="s">
        <v>344</v>
      </c>
      <c r="D592" t="s">
        <v>1477</v>
      </c>
      <c r="E592" t="s">
        <v>17</v>
      </c>
      <c r="F592" t="s">
        <v>1475</v>
      </c>
      <c r="G592" s="3">
        <v>56.54</v>
      </c>
      <c r="H592" s="3">
        <v>0</v>
      </c>
      <c r="I592" s="3">
        <v>56.54</v>
      </c>
      <c r="J592" s="3">
        <f>Table1[[#This Row],[قيمة الفاتورة]]*0.94-Table1[[#This Row],[قيمة المشاركة]]</f>
        <v>53.147599999999997</v>
      </c>
      <c r="K592">
        <v>52.113999999999997</v>
      </c>
      <c r="L592" s="3">
        <f t="shared" si="9"/>
        <v>1.0335999999999999</v>
      </c>
      <c r="M592" t="s">
        <v>1398</v>
      </c>
      <c r="N592" t="s">
        <v>19</v>
      </c>
    </row>
    <row r="593" spans="1:14" x14ac:dyDescent="0.3">
      <c r="A593">
        <v>106</v>
      </c>
      <c r="B593">
        <v>1326913</v>
      </c>
      <c r="C593" t="s">
        <v>1478</v>
      </c>
      <c r="D593" t="s">
        <v>1479</v>
      </c>
      <c r="E593" t="s">
        <v>23</v>
      </c>
      <c r="F593" t="s">
        <v>1475</v>
      </c>
      <c r="G593" s="3">
        <v>13.75</v>
      </c>
      <c r="H593" s="3">
        <v>0</v>
      </c>
      <c r="I593" s="3">
        <v>13.75</v>
      </c>
      <c r="J593" s="3">
        <f>Table1[[#This Row],[قيمة الفاتورة]]*0.94-Table1[[#This Row],[قيمة المشاركة]]</f>
        <v>12.924999999999999</v>
      </c>
      <c r="L593" s="3" t="str">
        <f t="shared" si="9"/>
        <v/>
      </c>
      <c r="N593" t="s">
        <v>19</v>
      </c>
    </row>
    <row r="594" spans="1:14" x14ac:dyDescent="0.3">
      <c r="A594">
        <v>487</v>
      </c>
      <c r="B594" t="s">
        <v>598</v>
      </c>
      <c r="C594" t="s">
        <v>599</v>
      </c>
      <c r="D594" t="s">
        <v>1480</v>
      </c>
      <c r="E594" t="s">
        <v>17</v>
      </c>
      <c r="F594" t="s">
        <v>1481</v>
      </c>
      <c r="G594" s="3">
        <v>23.68</v>
      </c>
      <c r="H594" s="3">
        <v>0</v>
      </c>
      <c r="I594" s="3">
        <v>23.68</v>
      </c>
      <c r="J594" s="3">
        <f>Table1[[#This Row],[قيمة الفاتورة]]*0.94-Table1[[#This Row],[قيمة المشاركة]]</f>
        <v>22.2592</v>
      </c>
      <c r="K594">
        <v>22.26</v>
      </c>
      <c r="L594" s="3">
        <f t="shared" si="9"/>
        <v>-8.0000000000168825E-4</v>
      </c>
      <c r="M594" t="s">
        <v>1398</v>
      </c>
      <c r="N594" t="s">
        <v>19</v>
      </c>
    </row>
    <row r="595" spans="1:14" x14ac:dyDescent="0.3">
      <c r="A595">
        <v>488</v>
      </c>
      <c r="B595" t="s">
        <v>980</v>
      </c>
      <c r="C595" t="s">
        <v>981</v>
      </c>
      <c r="D595" t="s">
        <v>1482</v>
      </c>
      <c r="E595" t="s">
        <v>17</v>
      </c>
      <c r="F595" t="s">
        <v>1481</v>
      </c>
      <c r="G595" s="3">
        <v>27.36</v>
      </c>
      <c r="H595" s="3">
        <v>0</v>
      </c>
      <c r="I595" s="3">
        <v>27.36</v>
      </c>
      <c r="J595" s="3">
        <f>Table1[[#This Row],[قيمة الفاتورة]]*0.94-Table1[[#This Row],[قيمة المشاركة]]</f>
        <v>25.718399999999999</v>
      </c>
      <c r="K595">
        <v>25.709</v>
      </c>
      <c r="L595" s="3">
        <f t="shared" si="9"/>
        <v>9.3999999999994088E-3</v>
      </c>
      <c r="M595" t="s">
        <v>1398</v>
      </c>
      <c r="N595" t="s">
        <v>19</v>
      </c>
    </row>
    <row r="596" spans="1:14" x14ac:dyDescent="0.3">
      <c r="A596">
        <v>491</v>
      </c>
      <c r="B596" t="s">
        <v>1483</v>
      </c>
      <c r="C596" t="s">
        <v>1484</v>
      </c>
      <c r="D596" t="s">
        <v>1485</v>
      </c>
      <c r="E596" t="s">
        <v>17</v>
      </c>
      <c r="F596" t="s">
        <v>1486</v>
      </c>
      <c r="G596" s="3">
        <v>14.81</v>
      </c>
      <c r="H596" s="3">
        <v>0</v>
      </c>
      <c r="I596" s="3">
        <v>14.81</v>
      </c>
      <c r="J596" s="3">
        <f>Table1[[#This Row],[قيمة الفاتورة]]*0.94-Table1[[#This Row],[قيمة المشاركة]]</f>
        <v>13.9214</v>
      </c>
      <c r="K596">
        <v>13.922000000000001</v>
      </c>
      <c r="L596" s="3">
        <f t="shared" si="9"/>
        <v>-6.0000000000037801E-4</v>
      </c>
      <c r="M596" t="s">
        <v>1398</v>
      </c>
      <c r="N596" t="s">
        <v>19</v>
      </c>
    </row>
    <row r="597" spans="1:14" x14ac:dyDescent="0.3">
      <c r="A597">
        <v>489</v>
      </c>
      <c r="B597" t="s">
        <v>737</v>
      </c>
      <c r="C597" t="s">
        <v>1487</v>
      </c>
      <c r="D597" t="s">
        <v>1488</v>
      </c>
      <c r="E597" t="s">
        <v>23</v>
      </c>
      <c r="F597" t="s">
        <v>1486</v>
      </c>
      <c r="G597" s="3">
        <v>23.5</v>
      </c>
      <c r="H597" s="3">
        <v>3.5249999999999999</v>
      </c>
      <c r="I597" s="3">
        <v>19.975000000000001</v>
      </c>
      <c r="J597" s="3">
        <f>Table1[[#This Row],[قيمة الفاتورة]]*0.94-Table1[[#This Row],[قيمة المشاركة]]</f>
        <v>18.565000000000001</v>
      </c>
      <c r="K597">
        <v>18.565000000000001</v>
      </c>
      <c r="L597" s="3">
        <f t="shared" si="9"/>
        <v>0</v>
      </c>
      <c r="M597" t="s">
        <v>1398</v>
      </c>
      <c r="N597" t="s">
        <v>19</v>
      </c>
    </row>
    <row r="598" spans="1:14" x14ac:dyDescent="0.3">
      <c r="A598">
        <v>107</v>
      </c>
      <c r="B598" t="s">
        <v>891</v>
      </c>
      <c r="C598" t="s">
        <v>1489</v>
      </c>
      <c r="D598" t="s">
        <v>1490</v>
      </c>
      <c r="E598" t="s">
        <v>17</v>
      </c>
      <c r="F598" t="s">
        <v>1486</v>
      </c>
      <c r="G598" s="3">
        <v>26.55</v>
      </c>
      <c r="H598" s="3">
        <v>3.9820000000000002</v>
      </c>
      <c r="I598" s="3">
        <v>22.568000000000001</v>
      </c>
      <c r="J598" s="3">
        <f>Table1[[#This Row],[قيمة الفاتورة]]*0.94-Table1[[#This Row],[قيمة المشاركة]]</f>
        <v>20.975000000000001</v>
      </c>
      <c r="K598">
        <v>20.963999999999999</v>
      </c>
      <c r="L598" s="3">
        <f t="shared" si="9"/>
        <v>1.1000000000002785E-2</v>
      </c>
      <c r="M598" t="s">
        <v>1398</v>
      </c>
      <c r="N598" t="s">
        <v>19</v>
      </c>
    </row>
    <row r="599" spans="1:14" x14ac:dyDescent="0.3">
      <c r="A599">
        <v>108</v>
      </c>
      <c r="B599" t="s">
        <v>1491</v>
      </c>
      <c r="C599" t="s">
        <v>1492</v>
      </c>
      <c r="D599" t="s">
        <v>1493</v>
      </c>
      <c r="E599" t="s">
        <v>23</v>
      </c>
      <c r="F599" t="s">
        <v>1486</v>
      </c>
      <c r="G599" s="3">
        <v>7.76</v>
      </c>
      <c r="H599" s="3">
        <v>0</v>
      </c>
      <c r="I599" s="3">
        <v>7.76</v>
      </c>
      <c r="J599" s="3">
        <f>Table1[[#This Row],[قيمة الفاتورة]]*0.94-Table1[[#This Row],[قيمة المشاركة]]</f>
        <v>7.2943999999999996</v>
      </c>
      <c r="K599">
        <v>7.2759999999999998</v>
      </c>
      <c r="L599" s="3">
        <f t="shared" si="9"/>
        <v>1.839999999999975E-2</v>
      </c>
      <c r="M599" t="s">
        <v>1398</v>
      </c>
      <c r="N599" t="s">
        <v>19</v>
      </c>
    </row>
    <row r="600" spans="1:14" x14ac:dyDescent="0.3">
      <c r="A600">
        <v>490</v>
      </c>
      <c r="B600" t="s">
        <v>1494</v>
      </c>
      <c r="C600" t="s">
        <v>220</v>
      </c>
      <c r="D600" t="s">
        <v>134</v>
      </c>
      <c r="E600" t="s">
        <v>17</v>
      </c>
      <c r="F600" t="s">
        <v>1486</v>
      </c>
      <c r="G600" s="3">
        <v>23.19</v>
      </c>
      <c r="H600" s="3">
        <v>0</v>
      </c>
      <c r="I600" s="3">
        <v>23.19</v>
      </c>
      <c r="J600" s="3">
        <f>Table1[[#This Row],[قيمة الفاتورة]]*0.94-Table1[[#This Row],[قيمة المشاركة]]</f>
        <v>21.7986</v>
      </c>
      <c r="L600" s="3" t="str">
        <f t="shared" si="9"/>
        <v/>
      </c>
      <c r="N600" t="s">
        <v>19</v>
      </c>
    </row>
    <row r="601" spans="1:14" x14ac:dyDescent="0.3">
      <c r="A601">
        <v>493</v>
      </c>
      <c r="B601" t="s">
        <v>1495</v>
      </c>
      <c r="C601" t="s">
        <v>1496</v>
      </c>
      <c r="D601" t="s">
        <v>1497</v>
      </c>
      <c r="E601" t="s">
        <v>17</v>
      </c>
      <c r="F601" t="s">
        <v>1498</v>
      </c>
      <c r="G601" s="3">
        <v>23.35</v>
      </c>
      <c r="H601" s="3">
        <v>0</v>
      </c>
      <c r="I601" s="3">
        <v>23.35</v>
      </c>
      <c r="J601" s="3">
        <f>Table1[[#This Row],[قيمة الفاتورة]]*0.94-Table1[[#This Row],[قيمة المشاركة]]</f>
        <v>21.949000000000002</v>
      </c>
      <c r="K601">
        <v>21.949000000000002</v>
      </c>
      <c r="L601" s="3">
        <f t="shared" si="9"/>
        <v>0</v>
      </c>
      <c r="M601" t="s">
        <v>1398</v>
      </c>
      <c r="N601" t="s">
        <v>19</v>
      </c>
    </row>
    <row r="602" spans="1:14" x14ac:dyDescent="0.3">
      <c r="A602">
        <v>109</v>
      </c>
      <c r="B602" t="s">
        <v>1113</v>
      </c>
      <c r="C602" t="s">
        <v>1336</v>
      </c>
      <c r="D602" t="s">
        <v>1499</v>
      </c>
      <c r="E602" t="s">
        <v>23</v>
      </c>
      <c r="F602" t="s">
        <v>1498</v>
      </c>
      <c r="G602" s="3">
        <v>16.55</v>
      </c>
      <c r="H602" s="3">
        <v>0</v>
      </c>
      <c r="I602" s="3">
        <v>16.55</v>
      </c>
      <c r="J602" s="3">
        <f>Table1[[#This Row],[قيمة الفاتورة]]*0.94-Table1[[#This Row],[قيمة المشاركة]]</f>
        <v>15.557</v>
      </c>
      <c r="K602">
        <v>15.557</v>
      </c>
      <c r="L602" s="3">
        <f t="shared" si="9"/>
        <v>0</v>
      </c>
      <c r="M602" t="s">
        <v>1398</v>
      </c>
      <c r="N602" t="s">
        <v>19</v>
      </c>
    </row>
    <row r="603" spans="1:14" x14ac:dyDescent="0.3">
      <c r="A603">
        <v>492</v>
      </c>
      <c r="B603" t="s">
        <v>1104</v>
      </c>
      <c r="C603" t="s">
        <v>1105</v>
      </c>
      <c r="D603" t="s">
        <v>1500</v>
      </c>
      <c r="E603" t="s">
        <v>17</v>
      </c>
      <c r="F603" t="s">
        <v>1498</v>
      </c>
      <c r="G603" s="3">
        <v>33.85</v>
      </c>
      <c r="H603" s="3">
        <v>0</v>
      </c>
      <c r="I603" s="3">
        <v>33.85</v>
      </c>
      <c r="J603" s="3">
        <f>Table1[[#This Row],[قيمة الفاتورة]]*0.94-Table1[[#This Row],[قيمة المشاركة]]</f>
        <v>31.818999999999999</v>
      </c>
      <c r="K603">
        <v>31.216999999999999</v>
      </c>
      <c r="L603" s="3">
        <f t="shared" si="9"/>
        <v>0.60200000000000031</v>
      </c>
      <c r="M603" t="s">
        <v>1398</v>
      </c>
      <c r="N603" t="s">
        <v>19</v>
      </c>
    </row>
    <row r="604" spans="1:14" x14ac:dyDescent="0.3">
      <c r="A604">
        <v>498</v>
      </c>
      <c r="B604" t="s">
        <v>200</v>
      </c>
      <c r="C604" t="s">
        <v>201</v>
      </c>
      <c r="D604" t="s">
        <v>1501</v>
      </c>
      <c r="E604" t="s">
        <v>23</v>
      </c>
      <c r="F604" t="s">
        <v>1502</v>
      </c>
      <c r="G604" s="3">
        <v>10.119999999999999</v>
      </c>
      <c r="H604" s="3">
        <v>0</v>
      </c>
      <c r="I604" s="3">
        <v>10.119999999999999</v>
      </c>
      <c r="J604" s="3">
        <f>Table1[[#This Row],[قيمة الفاتورة]]*0.94-Table1[[#This Row],[قيمة المشاركة]]</f>
        <v>9.5127999999999986</v>
      </c>
      <c r="K604">
        <v>9.5129999999999999</v>
      </c>
      <c r="L604" s="3">
        <f t="shared" si="9"/>
        <v>-2.0000000000131024E-4</v>
      </c>
      <c r="M604" t="s">
        <v>1398</v>
      </c>
      <c r="N604" t="s">
        <v>19</v>
      </c>
    </row>
    <row r="605" spans="1:14" x14ac:dyDescent="0.3">
      <c r="A605">
        <v>494</v>
      </c>
      <c r="B605" t="s">
        <v>696</v>
      </c>
      <c r="C605" t="s">
        <v>697</v>
      </c>
      <c r="D605" t="s">
        <v>1503</v>
      </c>
      <c r="E605" t="s">
        <v>17</v>
      </c>
      <c r="F605" t="s">
        <v>1502</v>
      </c>
      <c r="G605" s="3">
        <v>12.42</v>
      </c>
      <c r="H605" s="3">
        <v>0</v>
      </c>
      <c r="I605" s="3">
        <v>12.42</v>
      </c>
      <c r="J605" s="3">
        <f>Table1[[#This Row],[قيمة الفاتورة]]*0.94-Table1[[#This Row],[قيمة المشاركة]]</f>
        <v>11.674799999999999</v>
      </c>
      <c r="K605">
        <v>11.675000000000001</v>
      </c>
      <c r="L605" s="3">
        <f t="shared" si="9"/>
        <v>-2.0000000000131024E-4</v>
      </c>
      <c r="M605" t="s">
        <v>1398</v>
      </c>
      <c r="N605" t="s">
        <v>19</v>
      </c>
    </row>
    <row r="606" spans="1:14" x14ac:dyDescent="0.3">
      <c r="A606">
        <v>499</v>
      </c>
      <c r="B606" t="s">
        <v>1504</v>
      </c>
      <c r="C606" t="s">
        <v>1505</v>
      </c>
      <c r="D606" t="s">
        <v>1506</v>
      </c>
      <c r="E606" t="s">
        <v>23</v>
      </c>
      <c r="F606" t="s">
        <v>1502</v>
      </c>
      <c r="G606" s="3">
        <v>2.1</v>
      </c>
      <c r="H606" s="3">
        <v>0</v>
      </c>
      <c r="I606" s="3">
        <v>2.1</v>
      </c>
      <c r="J606" s="3">
        <f>Table1[[#This Row],[قيمة الفاتورة]]*0.94-Table1[[#This Row],[قيمة المشاركة]]</f>
        <v>1.974</v>
      </c>
      <c r="K606">
        <v>1.974</v>
      </c>
      <c r="L606" s="3">
        <f t="shared" si="9"/>
        <v>0</v>
      </c>
      <c r="M606" t="s">
        <v>1398</v>
      </c>
      <c r="N606" t="s">
        <v>19</v>
      </c>
    </row>
    <row r="607" spans="1:14" x14ac:dyDescent="0.3">
      <c r="A607">
        <v>497</v>
      </c>
      <c r="B607" t="s">
        <v>1507</v>
      </c>
      <c r="C607" t="s">
        <v>1508</v>
      </c>
      <c r="D607" t="s">
        <v>1509</v>
      </c>
      <c r="E607" t="s">
        <v>23</v>
      </c>
      <c r="F607" t="s">
        <v>1502</v>
      </c>
      <c r="G607" s="3">
        <v>2.4900000000000002</v>
      </c>
      <c r="H607" s="3">
        <v>0</v>
      </c>
      <c r="I607" s="3">
        <v>2.4900000000000002</v>
      </c>
      <c r="J607" s="3">
        <f>Table1[[#This Row],[قيمة الفاتورة]]*0.94-Table1[[#This Row],[قيمة المشاركة]]</f>
        <v>2.3406000000000002</v>
      </c>
      <c r="K607">
        <v>2.34</v>
      </c>
      <c r="L607" s="3">
        <f t="shared" si="9"/>
        <v>6.0000000000037801E-4</v>
      </c>
      <c r="M607" t="s">
        <v>1398</v>
      </c>
      <c r="N607" t="s">
        <v>19</v>
      </c>
    </row>
    <row r="608" spans="1:14" x14ac:dyDescent="0.3">
      <c r="A608">
        <v>496</v>
      </c>
      <c r="B608" t="s">
        <v>1510</v>
      </c>
      <c r="C608" t="s">
        <v>1511</v>
      </c>
      <c r="D608" t="s">
        <v>1512</v>
      </c>
      <c r="E608" t="s">
        <v>23</v>
      </c>
      <c r="F608" t="s">
        <v>1502</v>
      </c>
      <c r="G608" s="3">
        <v>15.38</v>
      </c>
      <c r="H608" s="3">
        <v>0</v>
      </c>
      <c r="I608" s="3">
        <v>15.38</v>
      </c>
      <c r="J608" s="3">
        <f>Table1[[#This Row],[قيمة الفاتورة]]*0.94-Table1[[#This Row],[قيمة المشاركة]]</f>
        <v>14.4572</v>
      </c>
      <c r="K608">
        <v>13.638999999999999</v>
      </c>
      <c r="L608" s="3">
        <f t="shared" si="9"/>
        <v>0.81820000000000093</v>
      </c>
      <c r="M608" t="s">
        <v>1398</v>
      </c>
      <c r="N608" t="s">
        <v>19</v>
      </c>
    </row>
    <row r="609" spans="1:14" x14ac:dyDescent="0.3">
      <c r="A609">
        <v>495</v>
      </c>
      <c r="B609" t="s">
        <v>1315</v>
      </c>
      <c r="C609" t="s">
        <v>1316</v>
      </c>
      <c r="D609" t="s">
        <v>1513</v>
      </c>
      <c r="E609" t="s">
        <v>23</v>
      </c>
      <c r="F609" t="s">
        <v>1502</v>
      </c>
      <c r="G609" s="3">
        <v>60.34</v>
      </c>
      <c r="H609" s="3">
        <v>0</v>
      </c>
      <c r="I609" s="3">
        <v>60.34</v>
      </c>
      <c r="J609" s="3">
        <f>Table1[[#This Row],[قيمة الفاتورة]]*0.94-Table1[[#This Row],[قيمة المشاركة]]</f>
        <v>56.7196</v>
      </c>
      <c r="L609" s="3" t="str">
        <f t="shared" si="9"/>
        <v/>
      </c>
      <c r="N609" t="s">
        <v>19</v>
      </c>
    </row>
    <row r="610" spans="1:14" x14ac:dyDescent="0.3">
      <c r="A610">
        <v>501</v>
      </c>
      <c r="B610" t="s">
        <v>1514</v>
      </c>
      <c r="C610" t="s">
        <v>1515</v>
      </c>
      <c r="D610" t="s">
        <v>1516</v>
      </c>
      <c r="E610" t="s">
        <v>17</v>
      </c>
      <c r="F610" t="s">
        <v>1517</v>
      </c>
      <c r="G610" s="3">
        <v>21.57</v>
      </c>
      <c r="H610" s="3">
        <v>0</v>
      </c>
      <c r="I610" s="3">
        <v>21.57</v>
      </c>
      <c r="J610" s="3">
        <f>Table1[[#This Row],[قيمة الفاتورة]]*0.94-Table1[[#This Row],[قيمة المشاركة]]</f>
        <v>20.2758</v>
      </c>
      <c r="K610">
        <v>20.276</v>
      </c>
      <c r="L610" s="3">
        <f t="shared" si="9"/>
        <v>-1.9999999999953388E-4</v>
      </c>
      <c r="M610" t="s">
        <v>1398</v>
      </c>
      <c r="N610" t="s">
        <v>19</v>
      </c>
    </row>
    <row r="611" spans="1:14" x14ac:dyDescent="0.3">
      <c r="A611">
        <v>500</v>
      </c>
      <c r="B611" t="s">
        <v>1518</v>
      </c>
      <c r="C611" t="s">
        <v>1519</v>
      </c>
      <c r="D611" t="s">
        <v>1520</v>
      </c>
      <c r="E611" t="s">
        <v>17</v>
      </c>
      <c r="F611" t="s">
        <v>1517</v>
      </c>
      <c r="G611" s="3">
        <v>4.84</v>
      </c>
      <c r="H611" s="3">
        <v>0</v>
      </c>
      <c r="I611" s="3">
        <v>4.84</v>
      </c>
      <c r="J611" s="3">
        <f>Table1[[#This Row],[قيمة الفاتورة]]*0.94-Table1[[#This Row],[قيمة المشاركة]]</f>
        <v>4.5495999999999999</v>
      </c>
      <c r="K611">
        <v>4.5490000000000004</v>
      </c>
      <c r="L611" s="3">
        <f t="shared" si="9"/>
        <v>5.9999999999948983E-4</v>
      </c>
      <c r="M611" t="s">
        <v>1398</v>
      </c>
      <c r="N611" t="s">
        <v>19</v>
      </c>
    </row>
    <row r="612" spans="1:14" x14ac:dyDescent="0.3">
      <c r="A612">
        <v>502</v>
      </c>
      <c r="B612" t="s">
        <v>864</v>
      </c>
      <c r="C612" t="s">
        <v>92</v>
      </c>
      <c r="D612" t="s">
        <v>1521</v>
      </c>
      <c r="E612" t="s">
        <v>17</v>
      </c>
      <c r="F612" t="s">
        <v>1517</v>
      </c>
      <c r="G612" s="3">
        <v>31.3</v>
      </c>
      <c r="H612" s="3">
        <v>0</v>
      </c>
      <c r="I612" s="3">
        <v>31.3</v>
      </c>
      <c r="J612" s="3">
        <f>Table1[[#This Row],[قيمة الفاتورة]]*0.94-Table1[[#This Row],[قيمة المشاركة]]</f>
        <v>29.422000000000001</v>
      </c>
      <c r="K612">
        <v>29.393999999999998</v>
      </c>
      <c r="L612" s="3">
        <f t="shared" si="9"/>
        <v>2.8000000000002245E-2</v>
      </c>
      <c r="M612" t="s">
        <v>1398</v>
      </c>
      <c r="N612" t="s">
        <v>19</v>
      </c>
    </row>
    <row r="613" spans="1:14" x14ac:dyDescent="0.3">
      <c r="A613">
        <v>110</v>
      </c>
      <c r="B613" t="s">
        <v>1522</v>
      </c>
      <c r="C613" t="s">
        <v>1523</v>
      </c>
      <c r="D613" t="s">
        <v>1524</v>
      </c>
      <c r="E613" t="s">
        <v>23</v>
      </c>
      <c r="F613" t="s">
        <v>1517</v>
      </c>
      <c r="G613" s="3">
        <v>29.06</v>
      </c>
      <c r="H613" s="3">
        <v>0</v>
      </c>
      <c r="I613" s="3">
        <v>29.06</v>
      </c>
      <c r="J613" s="3">
        <f>Table1[[#This Row],[قيمة الفاتورة]]*0.94-Table1[[#This Row],[قيمة المشاركة]]</f>
        <v>27.316399999999998</v>
      </c>
      <c r="K613">
        <v>26.396000000000001</v>
      </c>
      <c r="L613" s="3">
        <f t="shared" si="9"/>
        <v>0.92039999999999722</v>
      </c>
      <c r="M613" t="s">
        <v>1398</v>
      </c>
      <c r="N613" t="s">
        <v>19</v>
      </c>
    </row>
    <row r="614" spans="1:14" x14ac:dyDescent="0.3">
      <c r="A614">
        <v>503</v>
      </c>
      <c r="B614" t="s">
        <v>1268</v>
      </c>
      <c r="C614" t="s">
        <v>1525</v>
      </c>
      <c r="D614" t="s">
        <v>1526</v>
      </c>
      <c r="E614" t="s">
        <v>17</v>
      </c>
      <c r="F614" t="s">
        <v>1527</v>
      </c>
      <c r="G614" s="3">
        <v>4.7350000000000003</v>
      </c>
      <c r="H614" s="3">
        <v>0</v>
      </c>
      <c r="I614" s="3">
        <v>4.7350000000000003</v>
      </c>
      <c r="J614" s="3">
        <f>Table1[[#This Row],[قيمة الفاتورة]]*0.94-Table1[[#This Row],[قيمة المشاركة]]</f>
        <v>4.4508999999999999</v>
      </c>
      <c r="K614">
        <v>4.4509999999999996</v>
      </c>
      <c r="L614" s="3">
        <f t="shared" si="9"/>
        <v>-9.9999999999766942E-5</v>
      </c>
      <c r="M614" t="s">
        <v>1398</v>
      </c>
      <c r="N614" t="s">
        <v>19</v>
      </c>
    </row>
    <row r="615" spans="1:14" x14ac:dyDescent="0.3">
      <c r="A615">
        <v>504</v>
      </c>
      <c r="B615" t="s">
        <v>1528</v>
      </c>
      <c r="C615" t="s">
        <v>1529</v>
      </c>
      <c r="D615" t="s">
        <v>1530</v>
      </c>
      <c r="E615" t="s">
        <v>23</v>
      </c>
      <c r="F615" t="s">
        <v>1527</v>
      </c>
      <c r="G615" s="3">
        <v>8</v>
      </c>
      <c r="H615" s="3">
        <v>0</v>
      </c>
      <c r="I615" s="3">
        <v>8</v>
      </c>
      <c r="J615" s="3">
        <f>Table1[[#This Row],[قيمة الفاتورة]]*0.94-Table1[[#This Row],[قيمة المشاركة]]</f>
        <v>7.52</v>
      </c>
      <c r="K615">
        <v>7.52</v>
      </c>
      <c r="L615" s="3">
        <f t="shared" si="9"/>
        <v>0</v>
      </c>
      <c r="M615" t="s">
        <v>1398</v>
      </c>
      <c r="N615" t="s">
        <v>19</v>
      </c>
    </row>
    <row r="616" spans="1:14" x14ac:dyDescent="0.3">
      <c r="A616">
        <v>507</v>
      </c>
      <c r="B616" t="s">
        <v>414</v>
      </c>
      <c r="C616" t="s">
        <v>415</v>
      </c>
      <c r="D616" t="s">
        <v>1531</v>
      </c>
      <c r="E616" t="s">
        <v>17</v>
      </c>
      <c r="F616" t="s">
        <v>1527</v>
      </c>
      <c r="G616" s="3">
        <v>14.03</v>
      </c>
      <c r="H616" s="3">
        <v>0</v>
      </c>
      <c r="I616" s="3">
        <v>14.03</v>
      </c>
      <c r="J616" s="3">
        <f>Table1[[#This Row],[قيمة الفاتورة]]*0.94-Table1[[#This Row],[قيمة المشاركة]]</f>
        <v>13.188199999999998</v>
      </c>
      <c r="K616">
        <v>13.188000000000001</v>
      </c>
      <c r="L616" s="3">
        <f t="shared" si="9"/>
        <v>1.9999999999775753E-4</v>
      </c>
      <c r="M616" t="s">
        <v>1398</v>
      </c>
      <c r="N616" t="s">
        <v>19</v>
      </c>
    </row>
    <row r="617" spans="1:14" x14ac:dyDescent="0.3">
      <c r="A617">
        <v>505</v>
      </c>
      <c r="B617" t="s">
        <v>203</v>
      </c>
      <c r="C617" t="s">
        <v>204</v>
      </c>
      <c r="D617" t="s">
        <v>1532</v>
      </c>
      <c r="E617" t="s">
        <v>17</v>
      </c>
      <c r="F617" t="s">
        <v>1527</v>
      </c>
      <c r="G617" s="3">
        <v>76.05</v>
      </c>
      <c r="H617" s="3">
        <v>0</v>
      </c>
      <c r="I617" s="3">
        <v>76.05</v>
      </c>
      <c r="J617" s="3">
        <f>Table1[[#This Row],[قيمة الفاتورة]]*0.94-Table1[[#This Row],[قيمة المشاركة]]</f>
        <v>71.486999999999995</v>
      </c>
      <c r="K617">
        <v>71.459000000000003</v>
      </c>
      <c r="L617" s="3">
        <f t="shared" si="9"/>
        <v>2.7999999999991587E-2</v>
      </c>
      <c r="M617" t="s">
        <v>1398</v>
      </c>
      <c r="N617" t="s">
        <v>19</v>
      </c>
    </row>
    <row r="618" spans="1:14" x14ac:dyDescent="0.3">
      <c r="A618">
        <v>506</v>
      </c>
      <c r="B618" t="s">
        <v>992</v>
      </c>
      <c r="C618" t="s">
        <v>1349</v>
      </c>
      <c r="D618" t="s">
        <v>1533</v>
      </c>
      <c r="E618" t="s">
        <v>17</v>
      </c>
      <c r="F618" t="s">
        <v>1527</v>
      </c>
      <c r="G618" s="3">
        <v>31.19</v>
      </c>
      <c r="H618" s="3">
        <v>0</v>
      </c>
      <c r="I618" s="3">
        <v>31.19</v>
      </c>
      <c r="J618" s="3">
        <f>Table1[[#This Row],[قيمة الفاتورة]]*0.94-Table1[[#This Row],[قيمة المشاركة]]</f>
        <v>29.3186</v>
      </c>
      <c r="K618">
        <v>28.321999999999999</v>
      </c>
      <c r="L618" s="3">
        <f t="shared" si="9"/>
        <v>0.99660000000000082</v>
      </c>
      <c r="M618" t="s">
        <v>1398</v>
      </c>
      <c r="N618" t="s">
        <v>19</v>
      </c>
    </row>
    <row r="619" spans="1:14" x14ac:dyDescent="0.3">
      <c r="A619">
        <v>111</v>
      </c>
      <c r="B619" t="s">
        <v>888</v>
      </c>
      <c r="C619" t="s">
        <v>1534</v>
      </c>
      <c r="D619" t="s">
        <v>1535</v>
      </c>
      <c r="E619" t="s">
        <v>23</v>
      </c>
      <c r="F619" t="s">
        <v>1536</v>
      </c>
      <c r="G619" s="3">
        <v>14.74</v>
      </c>
      <c r="H619" s="3">
        <v>0</v>
      </c>
      <c r="I619" s="3">
        <v>14.74</v>
      </c>
      <c r="J619" s="3">
        <f>Table1[[#This Row],[قيمة الفاتورة]]*0.94-Table1[[#This Row],[قيمة المشاركة]]</f>
        <v>13.855599999999999</v>
      </c>
      <c r="K619">
        <v>13.856</v>
      </c>
      <c r="L619" s="3">
        <f t="shared" si="9"/>
        <v>-4.0000000000084412E-4</v>
      </c>
      <c r="M619" t="s">
        <v>1398</v>
      </c>
      <c r="N619" t="s">
        <v>19</v>
      </c>
    </row>
    <row r="620" spans="1:14" x14ac:dyDescent="0.3">
      <c r="A620">
        <v>113</v>
      </c>
      <c r="B620" t="s">
        <v>793</v>
      </c>
      <c r="C620" t="s">
        <v>1537</v>
      </c>
      <c r="D620" t="s">
        <v>1538</v>
      </c>
      <c r="E620" t="s">
        <v>23</v>
      </c>
      <c r="F620" t="s">
        <v>1536</v>
      </c>
      <c r="G620" s="3">
        <v>13.53</v>
      </c>
      <c r="H620" s="3">
        <v>0</v>
      </c>
      <c r="I620" s="3">
        <v>13.53</v>
      </c>
      <c r="J620" s="3">
        <f>Table1[[#This Row],[قيمة الفاتورة]]*0.94-Table1[[#This Row],[قيمة المشاركة]]</f>
        <v>12.7182</v>
      </c>
      <c r="K620">
        <v>12.718</v>
      </c>
      <c r="L620" s="3">
        <f t="shared" si="9"/>
        <v>1.9999999999953388E-4</v>
      </c>
      <c r="M620" t="s">
        <v>1398</v>
      </c>
      <c r="N620" t="s">
        <v>19</v>
      </c>
    </row>
    <row r="621" spans="1:14" x14ac:dyDescent="0.3">
      <c r="A621">
        <v>112</v>
      </c>
      <c r="B621" t="s">
        <v>1539</v>
      </c>
      <c r="C621" t="s">
        <v>1540</v>
      </c>
      <c r="D621" t="s">
        <v>1541</v>
      </c>
      <c r="E621" t="s">
        <v>23</v>
      </c>
      <c r="F621" t="s">
        <v>1536</v>
      </c>
      <c r="G621" s="3">
        <v>22.3</v>
      </c>
      <c r="H621" s="3">
        <v>0</v>
      </c>
      <c r="I621" s="3">
        <v>22.3</v>
      </c>
      <c r="J621" s="3">
        <f>Table1[[#This Row],[قيمة الفاتورة]]*0.94-Table1[[#This Row],[قيمة المشاركة]]</f>
        <v>20.962</v>
      </c>
      <c r="K621">
        <v>20.754999999999999</v>
      </c>
      <c r="L621" s="3">
        <f t="shared" si="9"/>
        <v>0.20700000000000074</v>
      </c>
      <c r="M621" t="s">
        <v>1398</v>
      </c>
      <c r="N621" t="s">
        <v>19</v>
      </c>
    </row>
    <row r="622" spans="1:14" x14ac:dyDescent="0.3">
      <c r="A622">
        <v>509</v>
      </c>
      <c r="B622" t="s">
        <v>1542</v>
      </c>
      <c r="C622" t="s">
        <v>1543</v>
      </c>
      <c r="D622" t="s">
        <v>1544</v>
      </c>
      <c r="E622" t="s">
        <v>17</v>
      </c>
      <c r="F622" t="s">
        <v>1545</v>
      </c>
      <c r="G622" s="3">
        <v>1.52</v>
      </c>
      <c r="H622" s="3">
        <v>0.22800000000000001</v>
      </c>
      <c r="I622" s="3">
        <v>1.292</v>
      </c>
      <c r="J622" s="3">
        <f>Table1[[#This Row],[قيمة الفاتورة]]*0.94-Table1[[#This Row],[قيمة المشاركة]]</f>
        <v>1.2007999999999999</v>
      </c>
      <c r="K622">
        <v>1.2010000000000001</v>
      </c>
      <c r="L622" s="3">
        <f t="shared" si="9"/>
        <v>-2.0000000000020002E-4</v>
      </c>
      <c r="M622" t="s">
        <v>1398</v>
      </c>
      <c r="N622" t="s">
        <v>19</v>
      </c>
    </row>
    <row r="623" spans="1:14" x14ac:dyDescent="0.3">
      <c r="A623">
        <v>513</v>
      </c>
      <c r="B623" t="s">
        <v>1546</v>
      </c>
      <c r="C623" t="s">
        <v>1547</v>
      </c>
      <c r="D623" t="s">
        <v>1548</v>
      </c>
      <c r="E623" t="s">
        <v>23</v>
      </c>
      <c r="F623" t="s">
        <v>1545</v>
      </c>
      <c r="G623" s="3">
        <v>19.850000000000001</v>
      </c>
      <c r="H623" s="3">
        <v>0</v>
      </c>
      <c r="I623" s="3">
        <v>19.850000000000001</v>
      </c>
      <c r="J623" s="3">
        <f>Table1[[#This Row],[قيمة الفاتورة]]*0.94-Table1[[#This Row],[قيمة المشاركة]]</f>
        <v>18.658999999999999</v>
      </c>
      <c r="K623">
        <v>18.658999999999999</v>
      </c>
      <c r="L623" s="3">
        <f t="shared" si="9"/>
        <v>0</v>
      </c>
      <c r="M623" t="s">
        <v>1398</v>
      </c>
      <c r="N623" t="s">
        <v>19</v>
      </c>
    </row>
    <row r="624" spans="1:14" x14ac:dyDescent="0.3">
      <c r="A624">
        <v>510</v>
      </c>
      <c r="B624" t="s">
        <v>526</v>
      </c>
      <c r="C624" t="s">
        <v>726</v>
      </c>
      <c r="D624" t="s">
        <v>1549</v>
      </c>
      <c r="E624" t="s">
        <v>17</v>
      </c>
      <c r="F624" t="s">
        <v>1545</v>
      </c>
      <c r="G624" s="3">
        <v>42.53</v>
      </c>
      <c r="H624" s="3">
        <v>0</v>
      </c>
      <c r="I624" s="3">
        <v>42.53</v>
      </c>
      <c r="J624" s="3">
        <f>Table1[[#This Row],[قيمة الفاتورة]]*0.94-Table1[[#This Row],[قيمة المشاركة]]</f>
        <v>39.978200000000001</v>
      </c>
      <c r="K624">
        <v>39.978000000000002</v>
      </c>
      <c r="L624" s="3">
        <f t="shared" si="9"/>
        <v>1.9999999999953388E-4</v>
      </c>
      <c r="M624" t="s">
        <v>1398</v>
      </c>
      <c r="N624" t="s">
        <v>19</v>
      </c>
    </row>
    <row r="625" spans="1:14" x14ac:dyDescent="0.3">
      <c r="A625">
        <v>512</v>
      </c>
      <c r="B625" t="s">
        <v>1546</v>
      </c>
      <c r="C625" t="s">
        <v>1547</v>
      </c>
      <c r="D625" t="s">
        <v>1550</v>
      </c>
      <c r="E625" t="s">
        <v>23</v>
      </c>
      <c r="F625" t="s">
        <v>1545</v>
      </c>
      <c r="G625" s="3">
        <v>2.91</v>
      </c>
      <c r="H625" s="3">
        <v>0</v>
      </c>
      <c r="I625" s="3">
        <v>2.91</v>
      </c>
      <c r="J625" s="3">
        <f>Table1[[#This Row],[قيمة الفاتورة]]*0.94-Table1[[#This Row],[قيمة المشاركة]]</f>
        <v>2.7353999999999998</v>
      </c>
      <c r="K625">
        <v>2.7349999999999999</v>
      </c>
      <c r="L625" s="3">
        <f t="shared" si="9"/>
        <v>3.9999999999995595E-4</v>
      </c>
      <c r="M625" t="s">
        <v>1398</v>
      </c>
      <c r="N625" t="s">
        <v>19</v>
      </c>
    </row>
    <row r="626" spans="1:14" x14ac:dyDescent="0.3">
      <c r="A626">
        <v>508</v>
      </c>
      <c r="B626" t="s">
        <v>1551</v>
      </c>
      <c r="C626" t="s">
        <v>1552</v>
      </c>
      <c r="D626" t="s">
        <v>1553</v>
      </c>
      <c r="E626" t="s">
        <v>17</v>
      </c>
      <c r="F626" t="s">
        <v>1545</v>
      </c>
      <c r="G626" s="3">
        <v>8.17</v>
      </c>
      <c r="H626" s="3">
        <v>1.2250000000000001</v>
      </c>
      <c r="I626" s="3">
        <v>6.9450000000000003</v>
      </c>
      <c r="J626" s="3">
        <f>Table1[[#This Row],[قيمة الفاتورة]]*0.94-Table1[[#This Row],[قيمة المشاركة]]</f>
        <v>6.4547999999999988</v>
      </c>
      <c r="K626">
        <v>6.4530000000000003</v>
      </c>
      <c r="L626" s="3">
        <f t="shared" si="9"/>
        <v>1.7999999999984695E-3</v>
      </c>
      <c r="M626" t="s">
        <v>1398</v>
      </c>
      <c r="N626" t="s">
        <v>19</v>
      </c>
    </row>
    <row r="627" spans="1:14" x14ac:dyDescent="0.3">
      <c r="A627">
        <v>511</v>
      </c>
      <c r="B627" t="s">
        <v>1554</v>
      </c>
      <c r="C627" t="s">
        <v>1555</v>
      </c>
      <c r="D627" t="s">
        <v>1556</v>
      </c>
      <c r="E627" t="s">
        <v>23</v>
      </c>
      <c r="F627" t="s">
        <v>1545</v>
      </c>
      <c r="G627" s="3">
        <v>1.62</v>
      </c>
      <c r="H627" s="3">
        <v>0</v>
      </c>
      <c r="I627" s="3">
        <v>1.62</v>
      </c>
      <c r="J627" s="3">
        <f>Table1[[#This Row],[قيمة الفاتورة]]*0.94-Table1[[#This Row],[قيمة المشاركة]]</f>
        <v>1.5227999999999999</v>
      </c>
      <c r="K627">
        <v>1.3160000000000001</v>
      </c>
      <c r="L627" s="3">
        <f t="shared" si="9"/>
        <v>0.20679999999999987</v>
      </c>
      <c r="M627" t="s">
        <v>1398</v>
      </c>
      <c r="N627" t="s">
        <v>19</v>
      </c>
    </row>
    <row r="628" spans="1:14" x14ac:dyDescent="0.3">
      <c r="A628">
        <v>516</v>
      </c>
      <c r="B628" t="s">
        <v>1062</v>
      </c>
      <c r="C628" t="s">
        <v>1063</v>
      </c>
      <c r="D628" t="s">
        <v>1557</v>
      </c>
      <c r="E628" t="s">
        <v>23</v>
      </c>
      <c r="F628" t="s">
        <v>1558</v>
      </c>
      <c r="G628" s="3">
        <v>7.79</v>
      </c>
      <c r="H628" s="3">
        <v>0</v>
      </c>
      <c r="I628" s="3">
        <v>7.79</v>
      </c>
      <c r="J628" s="3">
        <f>Table1[[#This Row],[قيمة الفاتورة]]*0.94-Table1[[#This Row],[قيمة المشاركة]]</f>
        <v>7.3225999999999996</v>
      </c>
      <c r="K628">
        <v>7.3230000000000004</v>
      </c>
      <c r="L628" s="3">
        <f t="shared" si="9"/>
        <v>-4.0000000000084412E-4</v>
      </c>
      <c r="M628" t="s">
        <v>1398</v>
      </c>
      <c r="N628" t="s">
        <v>19</v>
      </c>
    </row>
    <row r="629" spans="1:14" x14ac:dyDescent="0.3">
      <c r="A629">
        <v>515</v>
      </c>
      <c r="B629" t="s">
        <v>1559</v>
      </c>
      <c r="C629" t="s">
        <v>1560</v>
      </c>
      <c r="D629" t="s">
        <v>1561</v>
      </c>
      <c r="E629" t="s">
        <v>17</v>
      </c>
      <c r="F629" t="s">
        <v>1558</v>
      </c>
      <c r="G629" s="3">
        <v>9.01</v>
      </c>
      <c r="H629" s="3">
        <v>0</v>
      </c>
      <c r="I629" s="3">
        <v>9.01</v>
      </c>
      <c r="J629" s="3">
        <f>Table1[[#This Row],[قيمة الفاتورة]]*0.94-Table1[[#This Row],[قيمة المشاركة]]</f>
        <v>8.4693999999999985</v>
      </c>
      <c r="K629">
        <v>8.4689999999999994</v>
      </c>
      <c r="L629" s="3">
        <f t="shared" si="9"/>
        <v>3.9999999999906777E-4</v>
      </c>
      <c r="M629" t="s">
        <v>1398</v>
      </c>
      <c r="N629" t="s">
        <v>19</v>
      </c>
    </row>
    <row r="630" spans="1:14" x14ac:dyDescent="0.3">
      <c r="A630">
        <v>514</v>
      </c>
      <c r="B630" t="s">
        <v>1562</v>
      </c>
      <c r="C630" t="s">
        <v>1563</v>
      </c>
      <c r="D630" t="s">
        <v>1564</v>
      </c>
      <c r="E630" t="s">
        <v>23</v>
      </c>
      <c r="F630" t="s">
        <v>1558</v>
      </c>
      <c r="G630" s="3">
        <v>34.96</v>
      </c>
      <c r="H630" s="3">
        <v>0</v>
      </c>
      <c r="I630" s="3">
        <v>34.96</v>
      </c>
      <c r="J630" s="3">
        <f>Table1[[#This Row],[قيمة الفاتورة]]*0.94-Table1[[#This Row],[قيمة المشاركة]]</f>
        <v>32.862400000000001</v>
      </c>
      <c r="K630">
        <v>32.862000000000002</v>
      </c>
      <c r="L630" s="3">
        <f t="shared" si="9"/>
        <v>3.9999999999906777E-4</v>
      </c>
      <c r="M630" t="s">
        <v>1398</v>
      </c>
      <c r="N630" t="s">
        <v>19</v>
      </c>
    </row>
    <row r="631" spans="1:14" x14ac:dyDescent="0.3">
      <c r="A631">
        <v>114</v>
      </c>
      <c r="B631" t="s">
        <v>1565</v>
      </c>
      <c r="C631" t="s">
        <v>1566</v>
      </c>
      <c r="D631" t="s">
        <v>1567</v>
      </c>
      <c r="E631" t="s">
        <v>23</v>
      </c>
      <c r="F631" t="s">
        <v>1568</v>
      </c>
      <c r="G631" s="3">
        <v>6.15</v>
      </c>
      <c r="H631" s="3">
        <v>0</v>
      </c>
      <c r="I631" s="3">
        <v>6.15</v>
      </c>
      <c r="J631" s="3">
        <f>Table1[[#This Row],[قيمة الفاتورة]]*0.94-Table1[[#This Row],[قيمة المشاركة]]</f>
        <v>5.7809999999999997</v>
      </c>
      <c r="K631">
        <v>6.016</v>
      </c>
      <c r="L631" s="3">
        <f t="shared" si="9"/>
        <v>-0.23500000000000032</v>
      </c>
      <c r="M631" t="s">
        <v>1398</v>
      </c>
      <c r="N631" t="s">
        <v>19</v>
      </c>
    </row>
    <row r="632" spans="1:14" x14ac:dyDescent="0.3">
      <c r="A632">
        <v>517</v>
      </c>
      <c r="B632" t="s">
        <v>188</v>
      </c>
      <c r="C632" t="s">
        <v>167</v>
      </c>
      <c r="D632" t="s">
        <v>1569</v>
      </c>
      <c r="E632" t="s">
        <v>23</v>
      </c>
      <c r="F632" t="s">
        <v>1568</v>
      </c>
      <c r="G632" s="3">
        <v>8</v>
      </c>
      <c r="H632" s="3">
        <v>0</v>
      </c>
      <c r="I632" s="3">
        <v>8</v>
      </c>
      <c r="J632" s="3">
        <f>Table1[[#This Row],[قيمة الفاتورة]]*0.94-Table1[[#This Row],[قيمة المشاركة]]</f>
        <v>7.52</v>
      </c>
      <c r="K632">
        <v>7.52</v>
      </c>
      <c r="L632" s="3">
        <f t="shared" si="9"/>
        <v>0</v>
      </c>
      <c r="M632" t="s">
        <v>1398</v>
      </c>
      <c r="N632" t="s">
        <v>19</v>
      </c>
    </row>
    <row r="633" spans="1:14" x14ac:dyDescent="0.3">
      <c r="A633">
        <v>115</v>
      </c>
      <c r="B633" t="s">
        <v>930</v>
      </c>
      <c r="C633" t="s">
        <v>1570</v>
      </c>
      <c r="D633" t="s">
        <v>1571</v>
      </c>
      <c r="E633" t="s">
        <v>23</v>
      </c>
      <c r="F633" t="s">
        <v>1568</v>
      </c>
      <c r="G633" s="3">
        <v>27.34</v>
      </c>
      <c r="H633" s="3">
        <v>0</v>
      </c>
      <c r="I633" s="3">
        <v>27.34</v>
      </c>
      <c r="J633" s="3">
        <f>Table1[[#This Row],[قيمة الفاتورة]]*0.94-Table1[[#This Row],[قيمة المشاركة]]</f>
        <v>25.699599999999997</v>
      </c>
      <c r="K633">
        <v>21.844999999999999</v>
      </c>
      <c r="L633" s="3">
        <f t="shared" si="9"/>
        <v>3.8545999999999978</v>
      </c>
      <c r="M633" t="s">
        <v>1398</v>
      </c>
      <c r="N633" t="s">
        <v>19</v>
      </c>
    </row>
    <row r="634" spans="1:14" x14ac:dyDescent="0.3">
      <c r="A634">
        <v>519</v>
      </c>
      <c r="B634" t="s">
        <v>1572</v>
      </c>
      <c r="C634" t="s">
        <v>614</v>
      </c>
      <c r="D634" t="s">
        <v>1573</v>
      </c>
      <c r="E634" t="s">
        <v>17</v>
      </c>
      <c r="F634" t="s">
        <v>1574</v>
      </c>
      <c r="G634" s="3">
        <v>9.81</v>
      </c>
      <c r="H634" s="3">
        <v>0</v>
      </c>
      <c r="I634" s="3">
        <v>9.81</v>
      </c>
      <c r="J634" s="3">
        <f>Table1[[#This Row],[قيمة الفاتورة]]*0.94-Table1[[#This Row],[قيمة المشاركة]]</f>
        <v>9.2213999999999992</v>
      </c>
      <c r="K634">
        <v>9.2210000000000001</v>
      </c>
      <c r="L634" s="3">
        <f t="shared" si="9"/>
        <v>3.9999999999906777E-4</v>
      </c>
      <c r="M634" t="s">
        <v>1398</v>
      </c>
      <c r="N634" t="s">
        <v>19</v>
      </c>
    </row>
    <row r="635" spans="1:14" x14ac:dyDescent="0.3">
      <c r="A635">
        <v>518</v>
      </c>
      <c r="B635" t="s">
        <v>450</v>
      </c>
      <c r="C635" t="s">
        <v>201</v>
      </c>
      <c r="D635" t="s">
        <v>1575</v>
      </c>
      <c r="E635" t="s">
        <v>17</v>
      </c>
      <c r="F635" t="s">
        <v>1574</v>
      </c>
      <c r="G635" s="3">
        <v>14.87</v>
      </c>
      <c r="H635" s="3">
        <v>0</v>
      </c>
      <c r="I635" s="3">
        <v>14.87</v>
      </c>
      <c r="J635" s="3">
        <f>Table1[[#This Row],[قيمة الفاتورة]]*0.94-Table1[[#This Row],[قيمة المشاركة]]</f>
        <v>13.977799999999998</v>
      </c>
      <c r="K635">
        <v>13.977</v>
      </c>
      <c r="L635" s="3">
        <f t="shared" si="9"/>
        <v>7.9999999999813554E-4</v>
      </c>
      <c r="M635" t="s">
        <v>1398</v>
      </c>
      <c r="N635" t="s">
        <v>19</v>
      </c>
    </row>
    <row r="636" spans="1:14" x14ac:dyDescent="0.3">
      <c r="A636">
        <v>116</v>
      </c>
      <c r="B636" t="s">
        <v>610</v>
      </c>
      <c r="C636" t="s">
        <v>1576</v>
      </c>
      <c r="D636" t="s">
        <v>1577</v>
      </c>
      <c r="E636" t="s">
        <v>23</v>
      </c>
      <c r="F636" t="s">
        <v>1574</v>
      </c>
      <c r="G636" s="3">
        <v>9.93</v>
      </c>
      <c r="H636" s="3">
        <v>0</v>
      </c>
      <c r="I636" s="3">
        <v>9.93</v>
      </c>
      <c r="J636" s="3">
        <f>Table1[[#This Row],[قيمة الفاتورة]]*0.94-Table1[[#This Row],[قيمة المشاركة]]</f>
        <v>9.3341999999999992</v>
      </c>
      <c r="K636">
        <v>8.9209999999999994</v>
      </c>
      <c r="L636" s="3">
        <f t="shared" si="9"/>
        <v>0.41319999999999979</v>
      </c>
      <c r="M636" t="s">
        <v>1398</v>
      </c>
      <c r="N636" t="s">
        <v>19</v>
      </c>
    </row>
    <row r="637" spans="1:14" x14ac:dyDescent="0.3">
      <c r="A637">
        <v>521</v>
      </c>
      <c r="B637" t="s">
        <v>974</v>
      </c>
      <c r="C637" t="s">
        <v>975</v>
      </c>
      <c r="D637" t="s">
        <v>1578</v>
      </c>
      <c r="E637" t="s">
        <v>17</v>
      </c>
      <c r="F637" t="s">
        <v>1579</v>
      </c>
      <c r="G637" s="3">
        <v>1.4</v>
      </c>
      <c r="H637" s="3">
        <v>0</v>
      </c>
      <c r="I637" s="3">
        <v>1.4</v>
      </c>
      <c r="J637" s="3">
        <f>Table1[[#This Row],[قيمة الفاتورة]]*0.94-Table1[[#This Row],[قيمة المشاركة]]</f>
        <v>1.3159999999999998</v>
      </c>
      <c r="K637">
        <v>1.3160000000000001</v>
      </c>
      <c r="L637" s="3">
        <f t="shared" si="9"/>
        <v>-2.2204460492503131E-16</v>
      </c>
      <c r="M637" t="s">
        <v>1398</v>
      </c>
      <c r="N637" t="s">
        <v>19</v>
      </c>
    </row>
    <row r="638" spans="1:14" x14ac:dyDescent="0.3">
      <c r="A638">
        <v>117</v>
      </c>
      <c r="B638" t="s">
        <v>974</v>
      </c>
      <c r="C638" t="s">
        <v>975</v>
      </c>
      <c r="D638" t="s">
        <v>1578</v>
      </c>
      <c r="E638" t="s">
        <v>17</v>
      </c>
      <c r="F638" t="s">
        <v>1579</v>
      </c>
      <c r="G638" s="3">
        <v>1.4</v>
      </c>
      <c r="H638" s="3">
        <v>0</v>
      </c>
      <c r="I638" s="3">
        <v>1.4</v>
      </c>
      <c r="J638" s="3">
        <f>Table1[[#This Row],[قيمة الفاتورة]]*0.94-Table1[[#This Row],[قيمة المشاركة]]</f>
        <v>1.3159999999999998</v>
      </c>
      <c r="K638">
        <v>0.97799999999999998</v>
      </c>
      <c r="L638" s="3">
        <f t="shared" si="9"/>
        <v>0.33799999999999986</v>
      </c>
      <c r="M638" t="s">
        <v>1398</v>
      </c>
      <c r="N638" t="s">
        <v>19</v>
      </c>
    </row>
    <row r="639" spans="1:14" x14ac:dyDescent="0.3">
      <c r="A639">
        <v>520</v>
      </c>
      <c r="B639" t="s">
        <v>216</v>
      </c>
      <c r="C639" t="s">
        <v>217</v>
      </c>
      <c r="D639" t="s">
        <v>1580</v>
      </c>
      <c r="E639" t="s">
        <v>17</v>
      </c>
      <c r="F639" t="s">
        <v>1579</v>
      </c>
      <c r="G639" s="3">
        <v>51.61</v>
      </c>
      <c r="H639" s="3">
        <v>0</v>
      </c>
      <c r="I639" s="3">
        <v>51.61</v>
      </c>
      <c r="J639" s="3">
        <f>Table1[[#This Row],[قيمة الفاتورة]]*0.94-Table1[[#This Row],[قيمة المشاركة]]</f>
        <v>48.513399999999997</v>
      </c>
      <c r="K639">
        <v>46.097000000000001</v>
      </c>
      <c r="L639" s="3">
        <f t="shared" si="9"/>
        <v>2.4163999999999959</v>
      </c>
      <c r="M639" t="s">
        <v>1398</v>
      </c>
      <c r="N639" t="s">
        <v>19</v>
      </c>
    </row>
    <row r="640" spans="1:14" x14ac:dyDescent="0.3">
      <c r="A640">
        <v>118</v>
      </c>
      <c r="B640" t="s">
        <v>94</v>
      </c>
      <c r="C640" t="s">
        <v>1581</v>
      </c>
      <c r="D640" t="s">
        <v>1582</v>
      </c>
      <c r="E640" t="s">
        <v>17</v>
      </c>
      <c r="F640" t="s">
        <v>1583</v>
      </c>
      <c r="G640" s="3">
        <v>25.63</v>
      </c>
      <c r="H640" s="3">
        <v>0</v>
      </c>
      <c r="I640" s="3">
        <v>25.63</v>
      </c>
      <c r="J640" s="3">
        <f>Table1[[#This Row],[قيمة الفاتورة]]*0.94-Table1[[#This Row],[قيمة المشاركة]]</f>
        <v>24.092199999999998</v>
      </c>
      <c r="K640">
        <v>24.091999999999999</v>
      </c>
      <c r="L640" s="3">
        <f t="shared" si="9"/>
        <v>1.9999999999953388E-4</v>
      </c>
      <c r="M640" t="s">
        <v>1398</v>
      </c>
      <c r="N640" t="s">
        <v>19</v>
      </c>
    </row>
    <row r="641" spans="1:14" x14ac:dyDescent="0.3">
      <c r="A641">
        <v>523</v>
      </c>
      <c r="B641" t="s">
        <v>49</v>
      </c>
      <c r="C641" t="s">
        <v>50</v>
      </c>
      <c r="D641" t="s">
        <v>1584</v>
      </c>
      <c r="E641" t="s">
        <v>17</v>
      </c>
      <c r="F641" t="s">
        <v>1583</v>
      </c>
      <c r="G641" s="3">
        <v>15.61</v>
      </c>
      <c r="H641" s="3">
        <v>0</v>
      </c>
      <c r="I641" s="3">
        <v>15.61</v>
      </c>
      <c r="J641" s="3">
        <f>Table1[[#This Row],[قيمة الفاتورة]]*0.94-Table1[[#This Row],[قيمة المشاركة]]</f>
        <v>14.673399999999999</v>
      </c>
      <c r="K641">
        <v>14.673</v>
      </c>
      <c r="L641" s="3">
        <f t="shared" si="9"/>
        <v>3.9999999999906777E-4</v>
      </c>
      <c r="M641" t="s">
        <v>1398</v>
      </c>
      <c r="N641" t="s">
        <v>19</v>
      </c>
    </row>
    <row r="642" spans="1:14" x14ac:dyDescent="0.3">
      <c r="A642">
        <v>522</v>
      </c>
      <c r="B642" t="s">
        <v>1585</v>
      </c>
      <c r="C642" t="s">
        <v>1586</v>
      </c>
      <c r="D642" t="s">
        <v>1587</v>
      </c>
      <c r="E642" t="s">
        <v>23</v>
      </c>
      <c r="F642" t="s">
        <v>1583</v>
      </c>
      <c r="G642" s="3">
        <v>22.55</v>
      </c>
      <c r="H642" s="3">
        <v>3.3820000000000001</v>
      </c>
      <c r="I642" s="3">
        <v>19.167999999999999</v>
      </c>
      <c r="J642" s="3">
        <f>Table1[[#This Row],[قيمة الفاتورة]]*0.94-Table1[[#This Row],[قيمة المشاركة]]</f>
        <v>17.814999999999998</v>
      </c>
      <c r="K642">
        <v>17.814</v>
      </c>
      <c r="L642" s="3">
        <f t="shared" ref="L642:L705" si="10">IF(ISNUMBER(K642), J642-K642, "")</f>
        <v>9.9999999999766942E-4</v>
      </c>
      <c r="M642" t="s">
        <v>1398</v>
      </c>
      <c r="N642" t="s">
        <v>19</v>
      </c>
    </row>
    <row r="643" spans="1:14" x14ac:dyDescent="0.3">
      <c r="A643">
        <v>526</v>
      </c>
      <c r="B643" t="s">
        <v>610</v>
      </c>
      <c r="C643" t="s">
        <v>1588</v>
      </c>
      <c r="D643" t="s">
        <v>1589</v>
      </c>
      <c r="E643" t="s">
        <v>23</v>
      </c>
      <c r="F643" t="s">
        <v>1590</v>
      </c>
      <c r="G643" s="3">
        <v>2.0299999999999998</v>
      </c>
      <c r="H643" s="3">
        <v>0</v>
      </c>
      <c r="I643" s="3">
        <v>2.0299999999999998</v>
      </c>
      <c r="J643" s="3">
        <f>Table1[[#This Row],[قيمة الفاتورة]]*0.94-Table1[[#This Row],[قيمة المشاركة]]</f>
        <v>1.9081999999999997</v>
      </c>
      <c r="K643">
        <v>1.9079999999999999</v>
      </c>
      <c r="L643" s="3">
        <f t="shared" si="10"/>
        <v>1.9999999999975593E-4</v>
      </c>
      <c r="M643" t="s">
        <v>1398</v>
      </c>
      <c r="N643" t="s">
        <v>19</v>
      </c>
    </row>
    <row r="644" spans="1:14" x14ac:dyDescent="0.3">
      <c r="A644">
        <v>524</v>
      </c>
      <c r="B644" t="s">
        <v>360</v>
      </c>
      <c r="C644" t="s">
        <v>361</v>
      </c>
      <c r="D644" t="s">
        <v>1591</v>
      </c>
      <c r="E644" t="s">
        <v>17</v>
      </c>
      <c r="F644" t="s">
        <v>1590</v>
      </c>
      <c r="G644" s="3">
        <v>34.479999999999997</v>
      </c>
      <c r="H644" s="3">
        <v>0</v>
      </c>
      <c r="I644" s="3">
        <v>34.479999999999997</v>
      </c>
      <c r="J644" s="3">
        <f>Table1[[#This Row],[قيمة الفاتورة]]*0.94-Table1[[#This Row],[قيمة المشاركة]]</f>
        <v>32.411199999999994</v>
      </c>
      <c r="K644">
        <v>32.409999999999997</v>
      </c>
      <c r="L644" s="3">
        <f t="shared" si="10"/>
        <v>1.1999999999972033E-3</v>
      </c>
      <c r="M644" t="s">
        <v>1398</v>
      </c>
      <c r="N644" t="s">
        <v>19</v>
      </c>
    </row>
    <row r="645" spans="1:14" x14ac:dyDescent="0.3">
      <c r="A645">
        <v>525</v>
      </c>
      <c r="B645" t="s">
        <v>1046</v>
      </c>
      <c r="C645" t="s">
        <v>1592</v>
      </c>
      <c r="D645" t="s">
        <v>1593</v>
      </c>
      <c r="E645" t="s">
        <v>17</v>
      </c>
      <c r="F645" t="s">
        <v>1590</v>
      </c>
      <c r="G645" s="3">
        <v>2.1800000000000002</v>
      </c>
      <c r="H645" s="3">
        <v>0</v>
      </c>
      <c r="I645" s="3">
        <v>2.1800000000000002</v>
      </c>
      <c r="J645" s="3">
        <f>Table1[[#This Row],[قيمة الفاتورة]]*0.94-Table1[[#This Row],[قيمة المشاركة]]</f>
        <v>2.0491999999999999</v>
      </c>
      <c r="K645">
        <v>1.7290000000000001</v>
      </c>
      <c r="L645" s="3">
        <f t="shared" si="10"/>
        <v>0.32019999999999982</v>
      </c>
      <c r="M645" t="s">
        <v>1398</v>
      </c>
      <c r="N645" t="s">
        <v>19</v>
      </c>
    </row>
    <row r="646" spans="1:14" x14ac:dyDescent="0.3">
      <c r="A646">
        <v>528</v>
      </c>
      <c r="B646" t="s">
        <v>1594</v>
      </c>
      <c r="C646" t="s">
        <v>1595</v>
      </c>
      <c r="D646" t="s">
        <v>1596</v>
      </c>
      <c r="E646" t="s">
        <v>23</v>
      </c>
      <c r="F646" t="s">
        <v>1597</v>
      </c>
      <c r="G646" s="3">
        <v>14.09</v>
      </c>
      <c r="H646" s="3">
        <v>0</v>
      </c>
      <c r="I646" s="3">
        <v>14.09</v>
      </c>
      <c r="J646" s="3">
        <f>Table1[[#This Row],[قيمة الفاتورة]]*0.94-Table1[[#This Row],[قيمة المشاركة]]</f>
        <v>13.244599999999998</v>
      </c>
      <c r="K646">
        <v>13.244999999999999</v>
      </c>
      <c r="L646" s="3">
        <f t="shared" si="10"/>
        <v>-4.0000000000084412E-4</v>
      </c>
      <c r="M646" t="s">
        <v>1398</v>
      </c>
      <c r="N646" t="s">
        <v>19</v>
      </c>
    </row>
    <row r="647" spans="1:14" x14ac:dyDescent="0.3">
      <c r="A647">
        <v>529</v>
      </c>
      <c r="B647" t="s">
        <v>662</v>
      </c>
      <c r="C647" t="s">
        <v>663</v>
      </c>
      <c r="D647" t="s">
        <v>1598</v>
      </c>
      <c r="E647" t="s">
        <v>17</v>
      </c>
      <c r="F647" t="s">
        <v>1597</v>
      </c>
      <c r="G647" s="3">
        <v>13.18</v>
      </c>
      <c r="H647" s="3">
        <v>0</v>
      </c>
      <c r="I647" s="3">
        <v>13.18</v>
      </c>
      <c r="J647" s="3">
        <f>Table1[[#This Row],[قيمة الفاتورة]]*0.94-Table1[[#This Row],[قيمة المشاركة]]</f>
        <v>12.389199999999999</v>
      </c>
      <c r="K647">
        <v>12.388999999999999</v>
      </c>
      <c r="L647" s="3">
        <f t="shared" si="10"/>
        <v>1.9999999999953388E-4</v>
      </c>
      <c r="M647" t="s">
        <v>1398</v>
      </c>
      <c r="N647" t="s">
        <v>19</v>
      </c>
    </row>
    <row r="648" spans="1:14" x14ac:dyDescent="0.3">
      <c r="A648">
        <v>119</v>
      </c>
      <c r="B648" t="s">
        <v>800</v>
      </c>
      <c r="C648" t="s">
        <v>1102</v>
      </c>
      <c r="D648" t="s">
        <v>1599</v>
      </c>
      <c r="E648" t="s">
        <v>23</v>
      </c>
      <c r="F648" t="s">
        <v>1597</v>
      </c>
      <c r="G648" s="3">
        <v>12.58</v>
      </c>
      <c r="H648" s="3">
        <v>0</v>
      </c>
      <c r="I648" s="3">
        <v>12.58</v>
      </c>
      <c r="J648" s="3">
        <f>Table1[[#This Row],[قيمة الفاتورة]]*0.94-Table1[[#This Row],[قيمة المشاركة]]</f>
        <v>11.825199999999999</v>
      </c>
      <c r="K648">
        <v>11.824999999999999</v>
      </c>
      <c r="L648" s="3">
        <f t="shared" si="10"/>
        <v>1.9999999999953388E-4</v>
      </c>
      <c r="M648" t="s">
        <v>1398</v>
      </c>
      <c r="N648" t="s">
        <v>19</v>
      </c>
    </row>
    <row r="649" spans="1:14" x14ac:dyDescent="0.3">
      <c r="A649">
        <v>527</v>
      </c>
      <c r="B649" t="s">
        <v>98</v>
      </c>
      <c r="C649" t="s">
        <v>99</v>
      </c>
      <c r="D649" t="s">
        <v>1600</v>
      </c>
      <c r="E649" t="s">
        <v>17</v>
      </c>
      <c r="F649" t="s">
        <v>1597</v>
      </c>
      <c r="G649" s="3">
        <v>7.78</v>
      </c>
      <c r="H649" s="3">
        <v>0</v>
      </c>
      <c r="I649" s="3">
        <v>7.78</v>
      </c>
      <c r="J649" s="3">
        <f>Table1[[#This Row],[قيمة الفاتورة]]*0.94-Table1[[#This Row],[قيمة المشاركة]]</f>
        <v>7.3132000000000001</v>
      </c>
      <c r="K649">
        <v>7.3129999999999997</v>
      </c>
      <c r="L649" s="3">
        <f t="shared" si="10"/>
        <v>2.0000000000042206E-4</v>
      </c>
      <c r="M649" t="s">
        <v>1398</v>
      </c>
      <c r="N649" t="s">
        <v>19</v>
      </c>
    </row>
    <row r="650" spans="1:14" x14ac:dyDescent="0.3">
      <c r="A650">
        <v>120</v>
      </c>
      <c r="B650" t="s">
        <v>88</v>
      </c>
      <c r="C650" t="s">
        <v>1601</v>
      </c>
      <c r="D650" t="s">
        <v>1602</v>
      </c>
      <c r="E650" t="s">
        <v>23</v>
      </c>
      <c r="F650" t="s">
        <v>1603</v>
      </c>
      <c r="G650" s="3">
        <v>22.87</v>
      </c>
      <c r="H650" s="3">
        <v>3.43</v>
      </c>
      <c r="I650" s="3">
        <v>19.440000000000001</v>
      </c>
      <c r="J650" s="3">
        <f>Table1[[#This Row],[قيمة الفاتورة]]*0.94-Table1[[#This Row],[قيمة المشاركة]]</f>
        <v>18.067799999999998</v>
      </c>
      <c r="K650">
        <v>18.068000000000001</v>
      </c>
      <c r="L650" s="3">
        <f t="shared" si="10"/>
        <v>-2.000000000030866E-4</v>
      </c>
      <c r="M650" t="s">
        <v>1398</v>
      </c>
      <c r="N650" t="s">
        <v>19</v>
      </c>
    </row>
    <row r="651" spans="1:14" x14ac:dyDescent="0.3">
      <c r="A651">
        <v>530</v>
      </c>
      <c r="B651" t="s">
        <v>1604</v>
      </c>
      <c r="C651" t="s">
        <v>1605</v>
      </c>
      <c r="D651" t="s">
        <v>1606</v>
      </c>
      <c r="E651" t="s">
        <v>23</v>
      </c>
      <c r="F651" t="s">
        <v>1603</v>
      </c>
      <c r="G651" s="3">
        <v>8.8800000000000008</v>
      </c>
      <c r="H651" s="3">
        <v>0</v>
      </c>
      <c r="I651" s="3">
        <v>8.8800000000000008</v>
      </c>
      <c r="J651" s="3">
        <f>Table1[[#This Row],[قيمة الفاتورة]]*0.94-Table1[[#This Row],[قيمة المشاركة]]</f>
        <v>8.3472000000000008</v>
      </c>
      <c r="K651">
        <v>8.3469999999999995</v>
      </c>
      <c r="L651" s="3">
        <f t="shared" si="10"/>
        <v>2.0000000000131024E-4</v>
      </c>
      <c r="M651" t="s">
        <v>1398</v>
      </c>
      <c r="N651" t="s">
        <v>19</v>
      </c>
    </row>
    <row r="652" spans="1:14" x14ac:dyDescent="0.3">
      <c r="A652">
        <v>534</v>
      </c>
      <c r="B652" t="s">
        <v>662</v>
      </c>
      <c r="C652" t="s">
        <v>663</v>
      </c>
      <c r="D652" t="s">
        <v>1607</v>
      </c>
      <c r="E652" t="s">
        <v>17</v>
      </c>
      <c r="F652" t="s">
        <v>1608</v>
      </c>
      <c r="G652" s="3">
        <v>10.66</v>
      </c>
      <c r="H652" s="3">
        <v>0</v>
      </c>
      <c r="I652" s="3">
        <v>10.66</v>
      </c>
      <c r="J652" s="3">
        <f>Table1[[#This Row],[قيمة الفاتورة]]*0.94-Table1[[#This Row],[قيمة المشاركة]]</f>
        <v>10.0204</v>
      </c>
      <c r="K652">
        <v>10.02</v>
      </c>
      <c r="L652" s="3">
        <f t="shared" si="10"/>
        <v>4.0000000000084412E-4</v>
      </c>
      <c r="M652" t="s">
        <v>1398</v>
      </c>
      <c r="N652" t="s">
        <v>19</v>
      </c>
    </row>
    <row r="653" spans="1:14" x14ac:dyDescent="0.3">
      <c r="A653">
        <v>532</v>
      </c>
      <c r="B653" t="s">
        <v>397</v>
      </c>
      <c r="C653" t="s">
        <v>398</v>
      </c>
      <c r="D653" t="s">
        <v>1609</v>
      </c>
      <c r="E653" t="s">
        <v>23</v>
      </c>
      <c r="F653" t="s">
        <v>1608</v>
      </c>
      <c r="G653" s="3">
        <v>9.2899999999999991</v>
      </c>
      <c r="H653" s="3">
        <v>1.393</v>
      </c>
      <c r="I653" s="3">
        <v>7.8970000000000002</v>
      </c>
      <c r="J653" s="3">
        <f>Table1[[#This Row],[قيمة الفاتورة]]*0.94-Table1[[#This Row],[قيمة المشاركة]]</f>
        <v>7.3395999999999981</v>
      </c>
      <c r="K653">
        <v>7.3390000000000004</v>
      </c>
      <c r="L653" s="3">
        <f t="shared" si="10"/>
        <v>5.9999999999771347E-4</v>
      </c>
      <c r="M653" t="s">
        <v>1398</v>
      </c>
      <c r="N653" t="s">
        <v>19</v>
      </c>
    </row>
    <row r="654" spans="1:14" x14ac:dyDescent="0.3">
      <c r="A654">
        <v>536</v>
      </c>
      <c r="B654" t="s">
        <v>1610</v>
      </c>
      <c r="C654" t="s">
        <v>1611</v>
      </c>
      <c r="D654" t="s">
        <v>1612</v>
      </c>
      <c r="E654" t="s">
        <v>23</v>
      </c>
      <c r="F654" t="s">
        <v>1608</v>
      </c>
      <c r="G654" s="3">
        <v>58.02</v>
      </c>
      <c r="H654" s="3">
        <v>5.8019999999999996</v>
      </c>
      <c r="I654" s="3">
        <v>52.218000000000004</v>
      </c>
      <c r="J654" s="3">
        <f>Table1[[#This Row],[قيمة الفاتورة]]*0.94-Table1[[#This Row],[قيمة المشاركة]]</f>
        <v>48.736800000000002</v>
      </c>
      <c r="K654">
        <v>48.735999999999997</v>
      </c>
      <c r="L654" s="3">
        <f t="shared" si="10"/>
        <v>8.0000000000524096E-4</v>
      </c>
      <c r="M654" t="s">
        <v>1437</v>
      </c>
      <c r="N654" t="s">
        <v>328</v>
      </c>
    </row>
    <row r="655" spans="1:14" x14ac:dyDescent="0.3">
      <c r="A655">
        <v>535</v>
      </c>
      <c r="B655" t="s">
        <v>549</v>
      </c>
      <c r="C655" t="s">
        <v>1043</v>
      </c>
      <c r="D655" t="s">
        <v>1613</v>
      </c>
      <c r="E655" t="s">
        <v>23</v>
      </c>
      <c r="F655" t="s">
        <v>1608</v>
      </c>
      <c r="G655" s="3">
        <v>37.15</v>
      </c>
      <c r="H655" s="3">
        <v>0</v>
      </c>
      <c r="I655" s="3">
        <v>37.15</v>
      </c>
      <c r="J655" s="3">
        <f>Table1[[#This Row],[قيمة الفاتورة]]*0.94-Table1[[#This Row],[قيمة المشاركة]]</f>
        <v>34.920999999999999</v>
      </c>
      <c r="K655">
        <v>34.92</v>
      </c>
      <c r="L655" s="3">
        <f t="shared" si="10"/>
        <v>9.9999999999766942E-4</v>
      </c>
      <c r="M655" t="s">
        <v>1398</v>
      </c>
      <c r="N655" t="s">
        <v>19</v>
      </c>
    </row>
    <row r="656" spans="1:14" x14ac:dyDescent="0.3">
      <c r="A656">
        <v>533</v>
      </c>
      <c r="B656" t="s">
        <v>1467</v>
      </c>
      <c r="C656" t="s">
        <v>1468</v>
      </c>
      <c r="D656" t="s">
        <v>1614</v>
      </c>
      <c r="E656" t="s">
        <v>17</v>
      </c>
      <c r="F656" t="s">
        <v>1608</v>
      </c>
      <c r="G656" s="3">
        <v>21.359000000000002</v>
      </c>
      <c r="H656" s="3">
        <v>0</v>
      </c>
      <c r="I656" s="3">
        <v>21.359000000000002</v>
      </c>
      <c r="J656" s="3">
        <f>Table1[[#This Row],[قيمة الفاتورة]]*0.94-Table1[[#This Row],[قيمة المشاركة]]</f>
        <v>20.077460000000002</v>
      </c>
      <c r="K656">
        <v>20.068000000000001</v>
      </c>
      <c r="L656" s="3">
        <f t="shared" si="10"/>
        <v>9.4600000000006901E-3</v>
      </c>
      <c r="M656" t="s">
        <v>1398</v>
      </c>
      <c r="N656" t="s">
        <v>19</v>
      </c>
    </row>
    <row r="657" spans="1:14" x14ac:dyDescent="0.3">
      <c r="A657">
        <v>531</v>
      </c>
      <c r="B657" t="s">
        <v>85</v>
      </c>
      <c r="C657" t="s">
        <v>86</v>
      </c>
      <c r="D657" t="s">
        <v>1615</v>
      </c>
      <c r="E657" t="s">
        <v>17</v>
      </c>
      <c r="F657" t="s">
        <v>1608</v>
      </c>
      <c r="G657" s="3">
        <v>14.182</v>
      </c>
      <c r="H657" s="3">
        <v>0</v>
      </c>
      <c r="I657" s="3">
        <v>14.182</v>
      </c>
      <c r="J657" s="3">
        <f>Table1[[#This Row],[قيمة الفاتورة]]*0.94-Table1[[#This Row],[قيمة المشاركة]]</f>
        <v>13.33108</v>
      </c>
      <c r="K657">
        <v>11.451000000000001</v>
      </c>
      <c r="L657" s="3">
        <f t="shared" si="10"/>
        <v>1.8800799999999995</v>
      </c>
      <c r="M657" t="s">
        <v>1398</v>
      </c>
      <c r="N657" t="s">
        <v>19</v>
      </c>
    </row>
    <row r="658" spans="1:14" x14ac:dyDescent="0.3">
      <c r="A658">
        <v>537</v>
      </c>
      <c r="B658" t="s">
        <v>1616</v>
      </c>
      <c r="C658" t="s">
        <v>1617</v>
      </c>
      <c r="D658" t="s">
        <v>1618</v>
      </c>
      <c r="E658" t="s">
        <v>17</v>
      </c>
      <c r="F658" t="s">
        <v>1619</v>
      </c>
      <c r="G658" s="3">
        <v>2.0299999999999998</v>
      </c>
      <c r="H658" s="3">
        <v>0</v>
      </c>
      <c r="I658" s="3">
        <v>2.0299999999999998</v>
      </c>
      <c r="J658" s="3">
        <f>Table1[[#This Row],[قيمة الفاتورة]]*0.94-Table1[[#This Row],[قيمة المشاركة]]</f>
        <v>1.9081999999999997</v>
      </c>
      <c r="K658">
        <v>1.9079999999999999</v>
      </c>
      <c r="L658" s="3">
        <f t="shared" si="10"/>
        <v>1.9999999999975593E-4</v>
      </c>
      <c r="M658" t="s">
        <v>1398</v>
      </c>
      <c r="N658" t="s">
        <v>19</v>
      </c>
    </row>
    <row r="659" spans="1:14" x14ac:dyDescent="0.3">
      <c r="A659">
        <v>121</v>
      </c>
      <c r="B659" t="s">
        <v>1620</v>
      </c>
      <c r="C659" t="s">
        <v>1621</v>
      </c>
      <c r="D659" t="s">
        <v>1622</v>
      </c>
      <c r="E659" t="s">
        <v>17</v>
      </c>
      <c r="F659" t="s">
        <v>1619</v>
      </c>
      <c r="G659" s="3">
        <v>6.31</v>
      </c>
      <c r="H659" s="3">
        <v>0</v>
      </c>
      <c r="I659" s="3">
        <v>6.31</v>
      </c>
      <c r="J659" s="3">
        <f>Table1[[#This Row],[قيمة الفاتورة]]*0.94-Table1[[#This Row],[قيمة المشاركة]]</f>
        <v>5.9313999999999991</v>
      </c>
      <c r="K659">
        <v>5.931</v>
      </c>
      <c r="L659" s="3">
        <f t="shared" si="10"/>
        <v>3.9999999999906777E-4</v>
      </c>
      <c r="M659" t="s">
        <v>1398</v>
      </c>
      <c r="N659" t="s">
        <v>19</v>
      </c>
    </row>
    <row r="660" spans="1:14" x14ac:dyDescent="0.3">
      <c r="A660">
        <v>122</v>
      </c>
      <c r="B660" t="s">
        <v>604</v>
      </c>
      <c r="C660" t="s">
        <v>933</v>
      </c>
      <c r="D660" t="s">
        <v>1623</v>
      </c>
      <c r="E660" t="s">
        <v>17</v>
      </c>
      <c r="F660" t="s">
        <v>1619</v>
      </c>
      <c r="G660" s="3">
        <v>6.31</v>
      </c>
      <c r="H660" s="3">
        <v>0</v>
      </c>
      <c r="I660" s="3">
        <v>6.31</v>
      </c>
      <c r="J660" s="3">
        <f>Table1[[#This Row],[قيمة الفاتورة]]*0.94-Table1[[#This Row],[قيمة المشاركة]]</f>
        <v>5.9313999999999991</v>
      </c>
      <c r="K660">
        <v>5.931</v>
      </c>
      <c r="L660" s="3">
        <f t="shared" si="10"/>
        <v>3.9999999999906777E-4</v>
      </c>
      <c r="M660" t="s">
        <v>1398</v>
      </c>
      <c r="N660" t="s">
        <v>19</v>
      </c>
    </row>
    <row r="661" spans="1:14" x14ac:dyDescent="0.3">
      <c r="A661">
        <v>123</v>
      </c>
      <c r="B661" t="s">
        <v>1616</v>
      </c>
      <c r="C661" t="s">
        <v>1617</v>
      </c>
      <c r="D661" t="s">
        <v>1618</v>
      </c>
      <c r="E661" t="s">
        <v>17</v>
      </c>
      <c r="F661" t="s">
        <v>1619</v>
      </c>
      <c r="G661" s="3">
        <v>33.6</v>
      </c>
      <c r="H661" s="3">
        <v>0</v>
      </c>
      <c r="I661" s="3">
        <v>33.6</v>
      </c>
      <c r="J661" s="3">
        <f>Table1[[#This Row],[قيمة الفاتورة]]*0.94-Table1[[#This Row],[قيمة المشاركة]]</f>
        <v>31.584</v>
      </c>
      <c r="L661" s="3" t="str">
        <f t="shared" si="10"/>
        <v/>
      </c>
      <c r="N661" t="s">
        <v>19</v>
      </c>
    </row>
    <row r="662" spans="1:14" x14ac:dyDescent="0.3">
      <c r="A662">
        <v>538</v>
      </c>
      <c r="B662" t="s">
        <v>1620</v>
      </c>
      <c r="C662" t="s">
        <v>1624</v>
      </c>
      <c r="D662" t="s">
        <v>1625</v>
      </c>
      <c r="E662" t="s">
        <v>23</v>
      </c>
      <c r="F662" t="s">
        <v>1626</v>
      </c>
      <c r="G662" s="3">
        <v>9.09</v>
      </c>
      <c r="H662" s="3">
        <v>0</v>
      </c>
      <c r="I662" s="3">
        <v>9.09</v>
      </c>
      <c r="J662" s="3">
        <f>Table1[[#This Row],[قيمة الفاتورة]]*0.94-Table1[[#This Row],[قيمة المشاركة]]</f>
        <v>8.5445999999999991</v>
      </c>
      <c r="K662">
        <v>8.5449999999999999</v>
      </c>
      <c r="L662" s="3">
        <f t="shared" si="10"/>
        <v>-4.0000000000084412E-4</v>
      </c>
      <c r="M662" t="s">
        <v>1398</v>
      </c>
      <c r="N662" t="s">
        <v>19</v>
      </c>
    </row>
    <row r="663" spans="1:14" x14ac:dyDescent="0.3">
      <c r="A663">
        <v>542</v>
      </c>
      <c r="B663" t="s">
        <v>1627</v>
      </c>
      <c r="C663" t="s">
        <v>1628</v>
      </c>
      <c r="D663" t="s">
        <v>1629</v>
      </c>
      <c r="E663" t="s">
        <v>17</v>
      </c>
      <c r="F663" t="s">
        <v>1626</v>
      </c>
      <c r="G663" s="3">
        <v>13.83</v>
      </c>
      <c r="H663" s="3">
        <v>0</v>
      </c>
      <c r="I663" s="3">
        <v>13.83</v>
      </c>
      <c r="J663" s="3">
        <f>Table1[[#This Row],[قيمة الفاتورة]]*0.94-Table1[[#This Row],[قيمة المشاركة]]</f>
        <v>13.0002</v>
      </c>
      <c r="K663">
        <v>13</v>
      </c>
      <c r="L663" s="3">
        <f t="shared" si="10"/>
        <v>1.9999999999953388E-4</v>
      </c>
      <c r="M663" t="s">
        <v>1398</v>
      </c>
      <c r="N663" t="s">
        <v>19</v>
      </c>
    </row>
    <row r="664" spans="1:14" x14ac:dyDescent="0.3">
      <c r="A664">
        <v>539</v>
      </c>
      <c r="B664" t="s">
        <v>604</v>
      </c>
      <c r="C664" t="s">
        <v>605</v>
      </c>
      <c r="D664" t="s">
        <v>1623</v>
      </c>
      <c r="E664" t="s">
        <v>23</v>
      </c>
      <c r="F664" t="s">
        <v>1626</v>
      </c>
      <c r="G664" s="3">
        <v>12.07</v>
      </c>
      <c r="H664" s="3">
        <v>0</v>
      </c>
      <c r="I664" s="3">
        <v>12.07</v>
      </c>
      <c r="J664" s="3">
        <f>Table1[[#This Row],[قيمة الفاتورة]]*0.94-Table1[[#This Row],[قيمة المشاركة]]</f>
        <v>11.345799999999999</v>
      </c>
      <c r="K664">
        <v>11.337</v>
      </c>
      <c r="L664" s="3">
        <f t="shared" si="10"/>
        <v>8.7999999999990308E-3</v>
      </c>
      <c r="M664" t="s">
        <v>1398</v>
      </c>
      <c r="N664" t="s">
        <v>19</v>
      </c>
    </row>
    <row r="665" spans="1:14" x14ac:dyDescent="0.3">
      <c r="A665">
        <v>540</v>
      </c>
      <c r="B665" t="s">
        <v>379</v>
      </c>
      <c r="C665" t="s">
        <v>380</v>
      </c>
      <c r="D665" t="s">
        <v>1630</v>
      </c>
      <c r="E665" t="s">
        <v>23</v>
      </c>
      <c r="F665" t="s">
        <v>1626</v>
      </c>
      <c r="G665" s="3">
        <v>18.14</v>
      </c>
      <c r="H665" s="3">
        <v>0</v>
      </c>
      <c r="I665" s="3">
        <v>18.14</v>
      </c>
      <c r="J665" s="3">
        <f>Table1[[#This Row],[قيمة الفاتورة]]*0.94-Table1[[#This Row],[قيمة المشاركة]]</f>
        <v>17.051600000000001</v>
      </c>
      <c r="K665">
        <v>16.478000000000002</v>
      </c>
      <c r="L665" s="3">
        <f t="shared" si="10"/>
        <v>0.573599999999999</v>
      </c>
      <c r="M665" t="s">
        <v>1398</v>
      </c>
      <c r="N665" t="s">
        <v>19</v>
      </c>
    </row>
    <row r="666" spans="1:14" x14ac:dyDescent="0.3">
      <c r="A666">
        <v>541</v>
      </c>
      <c r="B666" t="s">
        <v>1127</v>
      </c>
      <c r="C666" t="s">
        <v>1128</v>
      </c>
      <c r="D666" t="s">
        <v>1631</v>
      </c>
      <c r="E666" t="s">
        <v>23</v>
      </c>
      <c r="F666" t="s">
        <v>1626</v>
      </c>
      <c r="G666" s="3">
        <v>26.38</v>
      </c>
      <c r="H666" s="3">
        <v>0</v>
      </c>
      <c r="I666" s="3">
        <v>26.38</v>
      </c>
      <c r="J666" s="3">
        <f>Table1[[#This Row],[قيمة الفاتورة]]*0.94-Table1[[#This Row],[قيمة المشاركة]]</f>
        <v>24.797199999999997</v>
      </c>
      <c r="L666" s="3" t="str">
        <f t="shared" si="10"/>
        <v/>
      </c>
      <c r="N666" t="s">
        <v>19</v>
      </c>
    </row>
    <row r="667" spans="1:14" x14ac:dyDescent="0.3">
      <c r="A667">
        <v>125</v>
      </c>
      <c r="B667" t="s">
        <v>1632</v>
      </c>
      <c r="C667" t="s">
        <v>1633</v>
      </c>
      <c r="D667" t="s">
        <v>1634</v>
      </c>
      <c r="E667" t="s">
        <v>23</v>
      </c>
      <c r="F667" t="s">
        <v>1635</v>
      </c>
      <c r="G667" s="3">
        <v>1.6</v>
      </c>
      <c r="H667" s="3">
        <v>0</v>
      </c>
      <c r="I667" s="3">
        <v>1.6</v>
      </c>
      <c r="J667" s="3">
        <f>Table1[[#This Row],[قيمة الفاتورة]]*0.94-Table1[[#This Row],[قيمة المشاركة]]</f>
        <v>1.504</v>
      </c>
      <c r="K667">
        <v>3.3279999999999998</v>
      </c>
      <c r="L667" s="3">
        <f t="shared" si="10"/>
        <v>-1.8239999999999998</v>
      </c>
      <c r="M667" t="s">
        <v>1398</v>
      </c>
      <c r="N667" t="s">
        <v>19</v>
      </c>
    </row>
    <row r="668" spans="1:14" x14ac:dyDescent="0.3">
      <c r="A668">
        <v>544</v>
      </c>
      <c r="B668" t="s">
        <v>1636</v>
      </c>
      <c r="C668" t="s">
        <v>1637</v>
      </c>
      <c r="D668" t="s">
        <v>1638</v>
      </c>
      <c r="E668" t="s">
        <v>17</v>
      </c>
      <c r="F668" t="s">
        <v>1635</v>
      </c>
      <c r="G668" s="3">
        <v>24.01</v>
      </c>
      <c r="H668" s="3">
        <v>0</v>
      </c>
      <c r="I668" s="3">
        <v>24.01</v>
      </c>
      <c r="J668" s="3">
        <f>Table1[[#This Row],[قيمة الفاتورة]]*0.94-Table1[[#This Row],[قيمة المشاركة]]</f>
        <v>22.569400000000002</v>
      </c>
      <c r="K668">
        <v>22.568999999999999</v>
      </c>
      <c r="L668" s="3">
        <f t="shared" si="10"/>
        <v>4.0000000000262048E-4</v>
      </c>
      <c r="M668" t="s">
        <v>1398</v>
      </c>
      <c r="N668" t="s">
        <v>19</v>
      </c>
    </row>
    <row r="669" spans="1:14" x14ac:dyDescent="0.3">
      <c r="A669">
        <v>543</v>
      </c>
      <c r="B669" t="s">
        <v>349</v>
      </c>
      <c r="C669" t="s">
        <v>350</v>
      </c>
      <c r="D669" t="s">
        <v>1639</v>
      </c>
      <c r="E669" t="s">
        <v>17</v>
      </c>
      <c r="F669" t="s">
        <v>1635</v>
      </c>
      <c r="G669" s="3">
        <v>20.239999999999998</v>
      </c>
      <c r="H669" s="3">
        <v>0</v>
      </c>
      <c r="I669" s="3">
        <v>20.239999999999998</v>
      </c>
      <c r="J669" s="3">
        <f>Table1[[#This Row],[قيمة الفاتورة]]*0.94-Table1[[#This Row],[قيمة المشاركة]]</f>
        <v>19.025599999999997</v>
      </c>
      <c r="K669">
        <v>19.024999999999999</v>
      </c>
      <c r="L669" s="3">
        <f t="shared" si="10"/>
        <v>5.9999999999860165E-4</v>
      </c>
      <c r="M669" t="s">
        <v>1398</v>
      </c>
      <c r="N669" t="s">
        <v>19</v>
      </c>
    </row>
    <row r="670" spans="1:14" x14ac:dyDescent="0.3">
      <c r="A670">
        <v>124</v>
      </c>
      <c r="B670" t="s">
        <v>1632</v>
      </c>
      <c r="C670" t="s">
        <v>1640</v>
      </c>
      <c r="D670" t="s">
        <v>1641</v>
      </c>
      <c r="E670" t="s">
        <v>17</v>
      </c>
      <c r="F670" t="s">
        <v>1635</v>
      </c>
      <c r="G670" s="3">
        <v>16.91</v>
      </c>
      <c r="H670" s="3">
        <v>0</v>
      </c>
      <c r="I670" s="3">
        <v>16.91</v>
      </c>
      <c r="J670" s="3">
        <f>Table1[[#This Row],[قيمة الفاتورة]]*0.94-Table1[[#This Row],[قيمة المشاركة]]</f>
        <v>15.895399999999999</v>
      </c>
      <c r="K670">
        <v>14.862</v>
      </c>
      <c r="L670" s="3">
        <f t="shared" si="10"/>
        <v>1.0333999999999985</v>
      </c>
      <c r="M670" t="s">
        <v>1398</v>
      </c>
      <c r="N670" t="s">
        <v>19</v>
      </c>
    </row>
    <row r="671" spans="1:14" x14ac:dyDescent="0.3">
      <c r="A671">
        <v>545</v>
      </c>
      <c r="B671" t="s">
        <v>1642</v>
      </c>
      <c r="C671" t="s">
        <v>1643</v>
      </c>
      <c r="D671" t="s">
        <v>1644</v>
      </c>
      <c r="E671" t="s">
        <v>17</v>
      </c>
      <c r="F671" t="s">
        <v>1645</v>
      </c>
      <c r="G671" s="3">
        <v>1.93</v>
      </c>
      <c r="H671" s="3">
        <v>0</v>
      </c>
      <c r="I671" s="3">
        <v>1.93</v>
      </c>
      <c r="J671" s="3">
        <f>Table1[[#This Row],[قيمة الفاتورة]]*0.94-Table1[[#This Row],[قيمة المشاركة]]</f>
        <v>1.8141999999999998</v>
      </c>
      <c r="K671">
        <v>1.8140000000000001</v>
      </c>
      <c r="L671" s="3">
        <f t="shared" si="10"/>
        <v>1.9999999999975593E-4</v>
      </c>
      <c r="M671" t="s">
        <v>1398</v>
      </c>
      <c r="N671" t="s">
        <v>19</v>
      </c>
    </row>
    <row r="672" spans="1:14" x14ac:dyDescent="0.3">
      <c r="A672">
        <v>546</v>
      </c>
      <c r="B672" t="s">
        <v>648</v>
      </c>
      <c r="C672" t="s">
        <v>649</v>
      </c>
      <c r="D672" t="s">
        <v>1646</v>
      </c>
      <c r="E672" t="s">
        <v>17</v>
      </c>
      <c r="F672" t="s">
        <v>1645</v>
      </c>
      <c r="G672" s="3">
        <v>35.39</v>
      </c>
      <c r="H672" s="3">
        <v>0</v>
      </c>
      <c r="I672" s="3">
        <v>35.39</v>
      </c>
      <c r="J672" s="3">
        <f>Table1[[#This Row],[قيمة الفاتورة]]*0.94-Table1[[#This Row],[قيمة المشاركة]]</f>
        <v>33.266599999999997</v>
      </c>
      <c r="K672">
        <v>32.834000000000003</v>
      </c>
      <c r="L672" s="3">
        <f t="shared" si="10"/>
        <v>0.43259999999999366</v>
      </c>
      <c r="M672" t="s">
        <v>1398</v>
      </c>
      <c r="N672" t="s">
        <v>19</v>
      </c>
    </row>
    <row r="673" spans="1:14" x14ac:dyDescent="0.3">
      <c r="A673">
        <v>547</v>
      </c>
      <c r="B673" t="s">
        <v>1423</v>
      </c>
      <c r="C673" t="s">
        <v>1424</v>
      </c>
      <c r="D673" t="s">
        <v>1647</v>
      </c>
      <c r="E673" t="s">
        <v>23</v>
      </c>
      <c r="F673" t="s">
        <v>1648</v>
      </c>
      <c r="G673" s="3">
        <v>20.51</v>
      </c>
      <c r="H673" s="3">
        <v>0</v>
      </c>
      <c r="I673" s="3">
        <v>20.51</v>
      </c>
      <c r="J673" s="3">
        <f>Table1[[#This Row],[قيمة الفاتورة]]*0.94-Table1[[#This Row],[قيمة المشاركة]]</f>
        <v>19.279399999999999</v>
      </c>
      <c r="K673">
        <v>20.783000000000001</v>
      </c>
      <c r="L673" s="3">
        <f t="shared" si="10"/>
        <v>-1.5036000000000023</v>
      </c>
      <c r="M673" t="s">
        <v>1398</v>
      </c>
      <c r="N673" t="s">
        <v>19</v>
      </c>
    </row>
    <row r="674" spans="1:14" x14ac:dyDescent="0.3">
      <c r="A674">
        <v>549</v>
      </c>
      <c r="B674" t="s">
        <v>1649</v>
      </c>
      <c r="C674" t="s">
        <v>1650</v>
      </c>
      <c r="D674" t="s">
        <v>1651</v>
      </c>
      <c r="E674" t="s">
        <v>23</v>
      </c>
      <c r="F674" t="s">
        <v>1652</v>
      </c>
      <c r="G674" s="3">
        <v>15.64</v>
      </c>
      <c r="H674" s="3">
        <v>0</v>
      </c>
      <c r="I674" s="3">
        <v>15.64</v>
      </c>
      <c r="J674" s="3">
        <f>Table1[[#This Row],[قيمة الفاتورة]]*0.94-Table1[[#This Row],[قيمة المشاركة]]</f>
        <v>14.701599999999999</v>
      </c>
      <c r="K674">
        <v>14.702</v>
      </c>
      <c r="L674" s="3">
        <f t="shared" si="10"/>
        <v>-4.0000000000084412E-4</v>
      </c>
      <c r="M674" t="s">
        <v>1398</v>
      </c>
      <c r="N674" t="s">
        <v>19</v>
      </c>
    </row>
    <row r="675" spans="1:14" x14ac:dyDescent="0.3">
      <c r="A675">
        <v>551</v>
      </c>
      <c r="B675" t="s">
        <v>1151</v>
      </c>
      <c r="C675" t="s">
        <v>1152</v>
      </c>
      <c r="D675" t="s">
        <v>1653</v>
      </c>
      <c r="E675" t="s">
        <v>23</v>
      </c>
      <c r="F675" t="s">
        <v>1652</v>
      </c>
      <c r="G675" s="3">
        <v>29.04</v>
      </c>
      <c r="H675" s="3">
        <v>0</v>
      </c>
      <c r="I675" s="3">
        <v>29.04</v>
      </c>
      <c r="J675" s="3">
        <f>Table1[[#This Row],[قيمة الفاتورة]]*0.94-Table1[[#This Row],[قيمة المشاركة]]</f>
        <v>27.297599999999999</v>
      </c>
      <c r="K675">
        <v>27.297999999999998</v>
      </c>
      <c r="L675" s="3">
        <f t="shared" si="10"/>
        <v>-3.9999999999906777E-4</v>
      </c>
      <c r="M675" t="s">
        <v>1398</v>
      </c>
      <c r="N675" t="s">
        <v>19</v>
      </c>
    </row>
    <row r="676" spans="1:14" x14ac:dyDescent="0.3">
      <c r="A676">
        <v>126</v>
      </c>
      <c r="B676" t="s">
        <v>1654</v>
      </c>
      <c r="C676" t="s">
        <v>1655</v>
      </c>
      <c r="D676" t="s">
        <v>1656</v>
      </c>
      <c r="E676" t="s">
        <v>23</v>
      </c>
      <c r="F676" t="s">
        <v>1652</v>
      </c>
      <c r="G676" s="3">
        <v>8.89</v>
      </c>
      <c r="H676" s="3">
        <v>0</v>
      </c>
      <c r="I676" s="3">
        <v>8.89</v>
      </c>
      <c r="J676" s="3">
        <f>Table1[[#This Row],[قيمة الفاتورة]]*0.94-Table1[[#This Row],[قيمة المشاركة]]</f>
        <v>8.3566000000000003</v>
      </c>
      <c r="K676">
        <v>8.3569999999999993</v>
      </c>
      <c r="L676" s="3">
        <f t="shared" si="10"/>
        <v>-3.9999999999906777E-4</v>
      </c>
      <c r="M676" t="s">
        <v>1398</v>
      </c>
      <c r="N676" t="s">
        <v>19</v>
      </c>
    </row>
    <row r="677" spans="1:14" x14ac:dyDescent="0.3">
      <c r="A677">
        <v>550</v>
      </c>
      <c r="B677" t="s">
        <v>745</v>
      </c>
      <c r="C677" t="s">
        <v>1657</v>
      </c>
      <c r="D677" t="s">
        <v>1658</v>
      </c>
      <c r="E677" t="s">
        <v>23</v>
      </c>
      <c r="F677" t="s">
        <v>1652</v>
      </c>
      <c r="G677" s="3">
        <v>36.299999999999997</v>
      </c>
      <c r="H677" s="3">
        <v>3.63</v>
      </c>
      <c r="I677" s="3">
        <v>32.67</v>
      </c>
      <c r="J677" s="3">
        <f>Table1[[#This Row],[قيمة الفاتورة]]*0.94-Table1[[#This Row],[قيمة المشاركة]]</f>
        <v>30.491999999999994</v>
      </c>
      <c r="K677">
        <v>30.492000000000001</v>
      </c>
      <c r="L677" s="3">
        <f t="shared" si="10"/>
        <v>-7.1054273576010019E-15</v>
      </c>
      <c r="M677" t="s">
        <v>1437</v>
      </c>
      <c r="N677" t="s">
        <v>328</v>
      </c>
    </row>
    <row r="678" spans="1:14" x14ac:dyDescent="0.3">
      <c r="A678">
        <v>128</v>
      </c>
      <c r="B678" t="s">
        <v>366</v>
      </c>
      <c r="C678" t="s">
        <v>367</v>
      </c>
      <c r="D678" t="s">
        <v>1659</v>
      </c>
      <c r="E678" t="s">
        <v>23</v>
      </c>
      <c r="F678" t="s">
        <v>1652</v>
      </c>
      <c r="G678" s="3">
        <v>16.11</v>
      </c>
      <c r="H678" s="3">
        <v>0</v>
      </c>
      <c r="I678" s="3">
        <v>16.11</v>
      </c>
      <c r="J678" s="3">
        <f>Table1[[#This Row],[قيمة الفاتورة]]*0.94-Table1[[#This Row],[قيمة المشاركة]]</f>
        <v>15.143399999999998</v>
      </c>
      <c r="K678">
        <v>15.143000000000001</v>
      </c>
      <c r="L678" s="3">
        <f t="shared" si="10"/>
        <v>3.9999999999729141E-4</v>
      </c>
      <c r="M678" t="s">
        <v>1398</v>
      </c>
      <c r="N678" t="s">
        <v>19</v>
      </c>
    </row>
    <row r="679" spans="1:14" x14ac:dyDescent="0.3">
      <c r="A679">
        <v>552</v>
      </c>
      <c r="B679" t="s">
        <v>898</v>
      </c>
      <c r="C679" t="s">
        <v>899</v>
      </c>
      <c r="D679" t="s">
        <v>1660</v>
      </c>
      <c r="E679" t="s">
        <v>17</v>
      </c>
      <c r="F679" t="s">
        <v>1652</v>
      </c>
      <c r="G679" s="3">
        <v>53.86</v>
      </c>
      <c r="H679" s="3">
        <v>5.3860000000000001</v>
      </c>
      <c r="I679" s="3">
        <v>48.473999999999997</v>
      </c>
      <c r="J679" s="3">
        <f>Table1[[#This Row],[قيمة الفاتورة]]*0.94-Table1[[#This Row],[قيمة المشاركة]]</f>
        <v>45.242399999999996</v>
      </c>
      <c r="K679">
        <v>45.241</v>
      </c>
      <c r="L679" s="3">
        <f t="shared" si="10"/>
        <v>1.3999999999967372E-3</v>
      </c>
      <c r="M679" t="s">
        <v>1437</v>
      </c>
      <c r="N679" t="s">
        <v>328</v>
      </c>
    </row>
    <row r="680" spans="1:14" x14ac:dyDescent="0.3">
      <c r="A680">
        <v>127</v>
      </c>
      <c r="B680" t="s">
        <v>1661</v>
      </c>
      <c r="C680" t="s">
        <v>1662</v>
      </c>
      <c r="D680" t="s">
        <v>1663</v>
      </c>
      <c r="E680" t="s">
        <v>23</v>
      </c>
      <c r="F680" t="s">
        <v>1652</v>
      </c>
      <c r="G680" s="3">
        <v>9.32</v>
      </c>
      <c r="H680" s="3">
        <v>0</v>
      </c>
      <c r="I680" s="3">
        <v>9.32</v>
      </c>
      <c r="J680" s="3">
        <f>Table1[[#This Row],[قيمة الفاتورة]]*0.94-Table1[[#This Row],[قيمة المشاركة]]</f>
        <v>8.7607999999999997</v>
      </c>
      <c r="K680">
        <v>8.3480000000000008</v>
      </c>
      <c r="L680" s="3">
        <f t="shared" si="10"/>
        <v>0.41279999999999895</v>
      </c>
      <c r="M680" t="s">
        <v>1398</v>
      </c>
      <c r="N680" t="s">
        <v>19</v>
      </c>
    </row>
    <row r="681" spans="1:14" x14ac:dyDescent="0.3">
      <c r="A681">
        <v>548</v>
      </c>
      <c r="B681" t="s">
        <v>1311</v>
      </c>
      <c r="C681" t="s">
        <v>1312</v>
      </c>
      <c r="D681" t="s">
        <v>1664</v>
      </c>
      <c r="E681" t="s">
        <v>17</v>
      </c>
      <c r="F681" t="s">
        <v>1652</v>
      </c>
      <c r="G681" s="3">
        <v>15.75</v>
      </c>
      <c r="H681" s="3">
        <v>0</v>
      </c>
      <c r="I681" s="3">
        <v>15.75</v>
      </c>
      <c r="J681" s="3">
        <f>Table1[[#This Row],[قيمة الفاتورة]]*0.94-Table1[[#This Row],[قيمة المشاركة]]</f>
        <v>14.805</v>
      </c>
      <c r="L681" s="3" t="str">
        <f t="shared" si="10"/>
        <v/>
      </c>
      <c r="N681" t="s">
        <v>19</v>
      </c>
    </row>
    <row r="682" spans="1:14" x14ac:dyDescent="0.3">
      <c r="A682">
        <v>555</v>
      </c>
      <c r="B682" t="s">
        <v>379</v>
      </c>
      <c r="C682" t="s">
        <v>380</v>
      </c>
      <c r="D682" t="s">
        <v>1665</v>
      </c>
      <c r="E682" t="s">
        <v>23</v>
      </c>
      <c r="F682" t="s">
        <v>1666</v>
      </c>
      <c r="G682" s="3">
        <v>12.28</v>
      </c>
      <c r="H682" s="3">
        <v>0</v>
      </c>
      <c r="I682" s="3">
        <v>12.28</v>
      </c>
      <c r="J682" s="3">
        <f>Table1[[#This Row],[قيمة الفاتورة]]*0.94-Table1[[#This Row],[قيمة المشاركة]]</f>
        <v>11.543199999999999</v>
      </c>
      <c r="K682">
        <v>11.318</v>
      </c>
      <c r="L682" s="3">
        <f t="shared" si="10"/>
        <v>0.22519999999999918</v>
      </c>
      <c r="M682" t="s">
        <v>1398</v>
      </c>
      <c r="N682" t="s">
        <v>19</v>
      </c>
    </row>
    <row r="683" spans="1:14" x14ac:dyDescent="0.3">
      <c r="A683">
        <v>553</v>
      </c>
      <c r="B683" t="s">
        <v>1667</v>
      </c>
      <c r="C683" t="s">
        <v>554</v>
      </c>
      <c r="D683" t="s">
        <v>1668</v>
      </c>
      <c r="E683" t="s">
        <v>23</v>
      </c>
      <c r="F683" t="s">
        <v>1666</v>
      </c>
      <c r="G683" s="3">
        <v>15.33</v>
      </c>
      <c r="H683" s="3">
        <v>0</v>
      </c>
      <c r="I683" s="3">
        <v>15.33</v>
      </c>
      <c r="J683" s="3">
        <f>Table1[[#This Row],[قيمة الفاتورة]]*0.94-Table1[[#This Row],[قيمة المشاركة]]</f>
        <v>14.4102</v>
      </c>
      <c r="K683">
        <v>13.678000000000001</v>
      </c>
      <c r="L683" s="3">
        <f t="shared" si="10"/>
        <v>0.73219999999999885</v>
      </c>
      <c r="M683" t="s">
        <v>1398</v>
      </c>
      <c r="N683" t="s">
        <v>19</v>
      </c>
    </row>
    <row r="684" spans="1:14" x14ac:dyDescent="0.3">
      <c r="A684">
        <v>554</v>
      </c>
      <c r="B684" t="s">
        <v>741</v>
      </c>
      <c r="C684" t="s">
        <v>1669</v>
      </c>
      <c r="D684" t="s">
        <v>1670</v>
      </c>
      <c r="E684" t="s">
        <v>23</v>
      </c>
      <c r="F684" t="s">
        <v>1666</v>
      </c>
      <c r="G684" s="3">
        <v>13.39</v>
      </c>
      <c r="H684" s="3">
        <v>0</v>
      </c>
      <c r="I684" s="3">
        <v>13.39</v>
      </c>
      <c r="J684" s="3">
        <f>Table1[[#This Row],[قيمة الفاتورة]]*0.94-Table1[[#This Row],[قيمة المشاركة]]</f>
        <v>12.586600000000001</v>
      </c>
      <c r="K684">
        <v>10.255000000000001</v>
      </c>
      <c r="L684" s="3">
        <f t="shared" si="10"/>
        <v>2.3315999999999999</v>
      </c>
      <c r="M684" t="s">
        <v>1398</v>
      </c>
      <c r="N684" t="s">
        <v>19</v>
      </c>
    </row>
    <row r="685" spans="1:14" x14ac:dyDescent="0.3">
      <c r="A685">
        <v>556</v>
      </c>
      <c r="B685" t="s">
        <v>1671</v>
      </c>
      <c r="C685" t="s">
        <v>1672</v>
      </c>
      <c r="D685" t="s">
        <v>1673</v>
      </c>
      <c r="E685" t="s">
        <v>23</v>
      </c>
      <c r="F685" t="s">
        <v>1674</v>
      </c>
      <c r="G685" s="3">
        <v>7.37</v>
      </c>
      <c r="H685" s="3">
        <v>0</v>
      </c>
      <c r="I685" s="3">
        <v>7.37</v>
      </c>
      <c r="J685" s="3">
        <f>Table1[[#This Row],[قيمة الفاتورة]]*0.94-Table1[[#This Row],[قيمة المشاركة]]</f>
        <v>6.9277999999999995</v>
      </c>
      <c r="K685">
        <v>6.9279999999999999</v>
      </c>
      <c r="L685" s="3">
        <f t="shared" si="10"/>
        <v>-2.0000000000042206E-4</v>
      </c>
      <c r="M685" t="s">
        <v>1398</v>
      </c>
      <c r="N685" t="s">
        <v>19</v>
      </c>
    </row>
    <row r="686" spans="1:14" x14ac:dyDescent="0.3">
      <c r="A686">
        <v>129</v>
      </c>
      <c r="B686" t="s">
        <v>522</v>
      </c>
      <c r="C686" t="s">
        <v>1675</v>
      </c>
      <c r="D686" t="s">
        <v>1676</v>
      </c>
      <c r="E686" t="s">
        <v>17</v>
      </c>
      <c r="F686" t="s">
        <v>1674</v>
      </c>
      <c r="G686" s="3">
        <v>11.65</v>
      </c>
      <c r="H686" s="3">
        <v>0</v>
      </c>
      <c r="I686" s="3">
        <v>11.65</v>
      </c>
      <c r="J686" s="3">
        <f>Table1[[#This Row],[قيمة الفاتورة]]*0.94-Table1[[#This Row],[قيمة المشاركة]]</f>
        <v>10.951000000000001</v>
      </c>
      <c r="K686">
        <v>10.951000000000001</v>
      </c>
      <c r="L686" s="3">
        <f t="shared" si="10"/>
        <v>0</v>
      </c>
      <c r="M686" t="s">
        <v>1398</v>
      </c>
      <c r="N686" t="s">
        <v>19</v>
      </c>
    </row>
    <row r="687" spans="1:14" x14ac:dyDescent="0.3">
      <c r="A687">
        <v>130</v>
      </c>
      <c r="B687" t="s">
        <v>578</v>
      </c>
      <c r="C687" t="s">
        <v>579</v>
      </c>
      <c r="D687" t="s">
        <v>1677</v>
      </c>
      <c r="E687" t="s">
        <v>23</v>
      </c>
      <c r="F687" t="s">
        <v>1674</v>
      </c>
      <c r="G687" s="3">
        <v>11.17</v>
      </c>
      <c r="H687" s="3">
        <v>0</v>
      </c>
      <c r="I687" s="3">
        <v>11.17</v>
      </c>
      <c r="J687" s="3">
        <f>Table1[[#This Row],[قيمة الفاتورة]]*0.94-Table1[[#This Row],[قيمة المشاركة]]</f>
        <v>10.499799999999999</v>
      </c>
      <c r="K687">
        <v>10.49</v>
      </c>
      <c r="L687" s="3">
        <f t="shared" si="10"/>
        <v>9.7999999999984766E-3</v>
      </c>
      <c r="M687" t="s">
        <v>1398</v>
      </c>
      <c r="N687" t="s">
        <v>19</v>
      </c>
    </row>
    <row r="688" spans="1:14" x14ac:dyDescent="0.3">
      <c r="A688">
        <v>131</v>
      </c>
      <c r="B688" t="s">
        <v>1276</v>
      </c>
      <c r="C688" t="s">
        <v>1678</v>
      </c>
      <c r="D688" t="s">
        <v>1679</v>
      </c>
      <c r="E688" t="s">
        <v>17</v>
      </c>
      <c r="F688" t="s">
        <v>1674</v>
      </c>
      <c r="G688" s="3">
        <v>15.44</v>
      </c>
      <c r="H688" s="3">
        <v>0</v>
      </c>
      <c r="I688" s="3">
        <v>15.44</v>
      </c>
      <c r="J688" s="3">
        <f>Table1[[#This Row],[قيمة الفاتورة]]*0.94-Table1[[#This Row],[قيمة المشاركة]]</f>
        <v>14.513599999999999</v>
      </c>
      <c r="K688">
        <v>14.419</v>
      </c>
      <c r="L688" s="3">
        <f t="shared" si="10"/>
        <v>9.4599999999998019E-2</v>
      </c>
      <c r="M688" t="s">
        <v>1398</v>
      </c>
      <c r="N688" t="s">
        <v>19</v>
      </c>
    </row>
    <row r="689" spans="1:14" x14ac:dyDescent="0.3">
      <c r="A689">
        <v>557</v>
      </c>
      <c r="B689" t="s">
        <v>1680</v>
      </c>
      <c r="C689" t="s">
        <v>1681</v>
      </c>
      <c r="D689" t="s">
        <v>1682</v>
      </c>
      <c r="E689" t="s">
        <v>17</v>
      </c>
      <c r="F689" t="s">
        <v>1674</v>
      </c>
      <c r="G689" s="3">
        <v>14.94</v>
      </c>
      <c r="H689" s="3">
        <v>0</v>
      </c>
      <c r="I689" s="3">
        <v>14.94</v>
      </c>
      <c r="J689" s="3">
        <f>Table1[[#This Row],[قيمة الفاتورة]]*0.94-Table1[[#This Row],[قيمة المشاركة]]</f>
        <v>14.043599999999998</v>
      </c>
      <c r="K689">
        <v>13.752000000000001</v>
      </c>
      <c r="L689" s="3">
        <f t="shared" si="10"/>
        <v>0.29159999999999719</v>
      </c>
      <c r="M689" t="s">
        <v>1398</v>
      </c>
      <c r="N689" t="s">
        <v>19</v>
      </c>
    </row>
    <row r="690" spans="1:14" x14ac:dyDescent="0.3">
      <c r="A690">
        <v>132</v>
      </c>
      <c r="B690" t="s">
        <v>510</v>
      </c>
      <c r="C690" t="s">
        <v>1683</v>
      </c>
      <c r="D690" t="s">
        <v>1684</v>
      </c>
      <c r="E690" t="s">
        <v>23</v>
      </c>
      <c r="F690" t="s">
        <v>1685</v>
      </c>
      <c r="G690" s="3">
        <v>11.26</v>
      </c>
      <c r="H690" s="3">
        <v>0</v>
      </c>
      <c r="I690" s="3">
        <v>11.26</v>
      </c>
      <c r="J690" s="3">
        <f>Table1[[#This Row],[قيمة الفاتورة]]*0.94-Table1[[#This Row],[قيمة المشاركة]]</f>
        <v>10.584399999999999</v>
      </c>
      <c r="K690">
        <v>10.584</v>
      </c>
      <c r="L690" s="3">
        <f t="shared" si="10"/>
        <v>3.9999999999906777E-4</v>
      </c>
      <c r="M690" t="s">
        <v>1398</v>
      </c>
      <c r="N690" t="s">
        <v>19</v>
      </c>
    </row>
    <row r="691" spans="1:14" x14ac:dyDescent="0.3">
      <c r="A691">
        <v>133</v>
      </c>
      <c r="B691" t="s">
        <v>490</v>
      </c>
      <c r="C691" t="s">
        <v>1686</v>
      </c>
      <c r="D691" t="s">
        <v>1687</v>
      </c>
      <c r="E691" t="s">
        <v>17</v>
      </c>
      <c r="F691" t="s">
        <v>1685</v>
      </c>
      <c r="G691" s="3">
        <v>14.36</v>
      </c>
      <c r="H691" s="3">
        <v>0</v>
      </c>
      <c r="I691" s="3">
        <v>14.36</v>
      </c>
      <c r="J691" s="3">
        <f>Table1[[#This Row],[قيمة الفاتورة]]*0.94-Table1[[#This Row],[قيمة المشاركة]]</f>
        <v>13.498399999999998</v>
      </c>
      <c r="K691">
        <v>11.224</v>
      </c>
      <c r="L691" s="3">
        <f t="shared" si="10"/>
        <v>2.2743999999999982</v>
      </c>
      <c r="M691" t="s">
        <v>1398</v>
      </c>
      <c r="N691" t="s">
        <v>19</v>
      </c>
    </row>
    <row r="692" spans="1:14" x14ac:dyDescent="0.3">
      <c r="A692">
        <v>558</v>
      </c>
      <c r="B692" t="s">
        <v>443</v>
      </c>
      <c r="C692" t="s">
        <v>444</v>
      </c>
      <c r="D692" t="s">
        <v>1688</v>
      </c>
      <c r="E692" t="s">
        <v>23</v>
      </c>
      <c r="F692" t="s">
        <v>1689</v>
      </c>
      <c r="G692" s="3">
        <v>13.23</v>
      </c>
      <c r="H692" s="3">
        <v>0</v>
      </c>
      <c r="I692" s="3">
        <v>13.23</v>
      </c>
      <c r="J692" s="3">
        <f>Table1[[#This Row],[قيمة الفاتورة]]*0.94-Table1[[#This Row],[قيمة المشاركة]]</f>
        <v>12.436199999999999</v>
      </c>
      <c r="K692">
        <v>12.436</v>
      </c>
      <c r="L692" s="3">
        <f t="shared" si="10"/>
        <v>1.9999999999953388E-4</v>
      </c>
      <c r="M692" t="s">
        <v>1398</v>
      </c>
      <c r="N692" t="s">
        <v>19</v>
      </c>
    </row>
    <row r="693" spans="1:14" x14ac:dyDescent="0.3">
      <c r="A693">
        <v>559</v>
      </c>
      <c r="B693" t="s">
        <v>411</v>
      </c>
      <c r="C693" t="s">
        <v>412</v>
      </c>
      <c r="D693" t="s">
        <v>1690</v>
      </c>
      <c r="E693" t="s">
        <v>23</v>
      </c>
      <c r="F693" t="s">
        <v>1691</v>
      </c>
      <c r="G693" s="3">
        <v>3.89</v>
      </c>
      <c r="H693" s="3">
        <v>0</v>
      </c>
      <c r="I693" s="3">
        <v>3.89</v>
      </c>
      <c r="J693" s="3">
        <f>Table1[[#This Row],[قيمة الفاتورة]]*0.94-Table1[[#This Row],[قيمة المشاركة]]</f>
        <v>3.6566000000000001</v>
      </c>
      <c r="K693">
        <v>3.657</v>
      </c>
      <c r="L693" s="3">
        <f t="shared" si="10"/>
        <v>-3.9999999999995595E-4</v>
      </c>
      <c r="M693" t="s">
        <v>1398</v>
      </c>
      <c r="N693" t="s">
        <v>19</v>
      </c>
    </row>
    <row r="694" spans="1:14" x14ac:dyDescent="0.3">
      <c r="A694">
        <v>135</v>
      </c>
      <c r="B694" t="s">
        <v>1661</v>
      </c>
      <c r="C694" t="s">
        <v>1692</v>
      </c>
      <c r="D694" t="s">
        <v>1693</v>
      </c>
      <c r="E694" t="s">
        <v>23</v>
      </c>
      <c r="F694" t="s">
        <v>1691</v>
      </c>
      <c r="G694" s="3">
        <v>13.57</v>
      </c>
      <c r="H694" s="3">
        <v>0</v>
      </c>
      <c r="I694" s="3">
        <v>13.57</v>
      </c>
      <c r="J694" s="3">
        <f>Table1[[#This Row],[قيمة الفاتورة]]*0.94-Table1[[#This Row],[قيمة المشاركة]]</f>
        <v>12.755799999999999</v>
      </c>
      <c r="K694">
        <v>12.756</v>
      </c>
      <c r="L694" s="3">
        <f t="shared" si="10"/>
        <v>-2.0000000000131024E-4</v>
      </c>
      <c r="M694" t="s">
        <v>1398</v>
      </c>
      <c r="N694" t="s">
        <v>19</v>
      </c>
    </row>
    <row r="695" spans="1:14" x14ac:dyDescent="0.3">
      <c r="A695">
        <v>134</v>
      </c>
      <c r="B695" t="s">
        <v>411</v>
      </c>
      <c r="C695" t="s">
        <v>412</v>
      </c>
      <c r="D695" t="s">
        <v>1690</v>
      </c>
      <c r="E695" t="s">
        <v>17</v>
      </c>
      <c r="F695" t="s">
        <v>1691</v>
      </c>
      <c r="G695" s="3">
        <v>21.2</v>
      </c>
      <c r="H695" s="3">
        <v>0</v>
      </c>
      <c r="I695" s="3">
        <v>21.2</v>
      </c>
      <c r="J695" s="3">
        <f>Table1[[#This Row],[قيمة الفاتورة]]*0.94-Table1[[#This Row],[قيمة المشاركة]]</f>
        <v>19.927999999999997</v>
      </c>
      <c r="K695">
        <v>19.928000000000001</v>
      </c>
      <c r="L695" s="3">
        <f t="shared" si="10"/>
        <v>-3.5527136788005009E-15</v>
      </c>
      <c r="M695" t="s">
        <v>1398</v>
      </c>
      <c r="N695" t="s">
        <v>19</v>
      </c>
    </row>
    <row r="696" spans="1:14" x14ac:dyDescent="0.3">
      <c r="A696">
        <v>560</v>
      </c>
      <c r="B696" t="s">
        <v>1694</v>
      </c>
      <c r="C696" t="s">
        <v>1233</v>
      </c>
      <c r="D696" t="s">
        <v>1695</v>
      </c>
      <c r="E696" t="s">
        <v>23</v>
      </c>
      <c r="F696" t="s">
        <v>1691</v>
      </c>
      <c r="G696" s="3">
        <v>33.36</v>
      </c>
      <c r="H696" s="3">
        <v>0</v>
      </c>
      <c r="I696" s="3">
        <v>33.36</v>
      </c>
      <c r="J696" s="3">
        <f>Table1[[#This Row],[قيمة الفاتورة]]*0.94-Table1[[#This Row],[قيمة المشاركة]]</f>
        <v>31.358399999999996</v>
      </c>
      <c r="K696">
        <v>31.358000000000001</v>
      </c>
      <c r="L696" s="3">
        <f t="shared" si="10"/>
        <v>3.9999999999551505E-4</v>
      </c>
      <c r="M696" t="s">
        <v>1398</v>
      </c>
      <c r="N696" t="s">
        <v>19</v>
      </c>
    </row>
    <row r="697" spans="1:14" x14ac:dyDescent="0.3">
      <c r="A697">
        <v>562</v>
      </c>
      <c r="B697" t="s">
        <v>948</v>
      </c>
      <c r="C697" t="s">
        <v>949</v>
      </c>
      <c r="D697" t="s">
        <v>1696</v>
      </c>
      <c r="E697" t="s">
        <v>17</v>
      </c>
      <c r="F697" t="s">
        <v>1697</v>
      </c>
      <c r="G697" s="3">
        <v>10.98</v>
      </c>
      <c r="H697" s="3">
        <v>0</v>
      </c>
      <c r="I697" s="3">
        <v>10.98</v>
      </c>
      <c r="J697" s="3">
        <f>Table1[[#This Row],[قيمة الفاتورة]]*0.94-Table1[[#This Row],[قيمة المشاركة]]</f>
        <v>10.321199999999999</v>
      </c>
      <c r="K697">
        <v>10.321</v>
      </c>
      <c r="L697" s="3">
        <f t="shared" si="10"/>
        <v>1.9999999999953388E-4</v>
      </c>
      <c r="M697" t="s">
        <v>1398</v>
      </c>
      <c r="N697" t="s">
        <v>19</v>
      </c>
    </row>
    <row r="698" spans="1:14" x14ac:dyDescent="0.3">
      <c r="A698">
        <v>561</v>
      </c>
      <c r="B698" t="s">
        <v>157</v>
      </c>
      <c r="C698" t="s">
        <v>158</v>
      </c>
      <c r="D698" t="s">
        <v>1698</v>
      </c>
      <c r="E698" t="s">
        <v>17</v>
      </c>
      <c r="F698" t="s">
        <v>1697</v>
      </c>
      <c r="G698" s="3">
        <v>6.26</v>
      </c>
      <c r="H698" s="3">
        <v>0.93899999999999995</v>
      </c>
      <c r="I698" s="3">
        <v>5.3209999999999997</v>
      </c>
      <c r="J698" s="3">
        <f>Table1[[#This Row],[قيمة الفاتورة]]*0.94-Table1[[#This Row],[قيمة المشاركة]]</f>
        <v>4.9453999999999994</v>
      </c>
      <c r="K698">
        <v>4.9450000000000003</v>
      </c>
      <c r="L698" s="3">
        <f t="shared" si="10"/>
        <v>3.9999999999906777E-4</v>
      </c>
      <c r="M698" t="s">
        <v>1398</v>
      </c>
      <c r="N698" t="s">
        <v>19</v>
      </c>
    </row>
    <row r="699" spans="1:14" x14ac:dyDescent="0.3">
      <c r="A699">
        <v>563</v>
      </c>
      <c r="B699" t="s">
        <v>1554</v>
      </c>
      <c r="C699" t="s">
        <v>1555</v>
      </c>
      <c r="D699" t="s">
        <v>1699</v>
      </c>
      <c r="E699" t="s">
        <v>23</v>
      </c>
      <c r="F699" t="s">
        <v>1697</v>
      </c>
      <c r="G699" s="3">
        <v>4.92</v>
      </c>
      <c r="H699" s="3">
        <v>0</v>
      </c>
      <c r="I699" s="3">
        <v>4.92</v>
      </c>
      <c r="J699" s="3">
        <f>Table1[[#This Row],[قيمة الفاتورة]]*0.94-Table1[[#This Row],[قيمة المشاركة]]</f>
        <v>4.6247999999999996</v>
      </c>
      <c r="K699">
        <v>4.24</v>
      </c>
      <c r="L699" s="3">
        <f t="shared" si="10"/>
        <v>0.38479999999999936</v>
      </c>
      <c r="M699" t="s">
        <v>1398</v>
      </c>
      <c r="N699" t="s">
        <v>19</v>
      </c>
    </row>
    <row r="700" spans="1:14" x14ac:dyDescent="0.3">
      <c r="A700">
        <v>565</v>
      </c>
      <c r="B700" t="s">
        <v>556</v>
      </c>
      <c r="C700" t="s">
        <v>557</v>
      </c>
      <c r="D700" t="s">
        <v>1700</v>
      </c>
      <c r="E700" t="s">
        <v>17</v>
      </c>
      <c r="F700" t="s">
        <v>1701</v>
      </c>
      <c r="G700" s="3">
        <v>19.190000000000001</v>
      </c>
      <c r="H700" s="3">
        <v>0</v>
      </c>
      <c r="I700" s="3">
        <v>19.190000000000001</v>
      </c>
      <c r="J700" s="3">
        <f>Table1[[#This Row],[قيمة الفاتورة]]*0.94-Table1[[#This Row],[قيمة المشاركة]]</f>
        <v>18.038599999999999</v>
      </c>
      <c r="K700">
        <v>18.038</v>
      </c>
      <c r="L700" s="3">
        <f t="shared" si="10"/>
        <v>5.9999999999860165E-4</v>
      </c>
      <c r="M700" t="s">
        <v>1398</v>
      </c>
      <c r="N700" t="s">
        <v>19</v>
      </c>
    </row>
    <row r="701" spans="1:14" x14ac:dyDescent="0.3">
      <c r="A701">
        <v>567</v>
      </c>
      <c r="B701" t="s">
        <v>212</v>
      </c>
      <c r="C701" t="s">
        <v>1702</v>
      </c>
      <c r="D701" t="s">
        <v>1703</v>
      </c>
      <c r="E701" t="s">
        <v>23</v>
      </c>
      <c r="F701" t="s">
        <v>1701</v>
      </c>
      <c r="G701" s="3">
        <v>10.44</v>
      </c>
      <c r="H701" s="3">
        <v>0</v>
      </c>
      <c r="I701" s="3">
        <v>10.44</v>
      </c>
      <c r="J701" s="3">
        <f>Table1[[#This Row],[قيمة الفاتورة]]*0.94-Table1[[#This Row],[قيمة المشاركة]]</f>
        <v>9.8135999999999992</v>
      </c>
      <c r="K701">
        <v>9.1750000000000007</v>
      </c>
      <c r="L701" s="3">
        <f t="shared" si="10"/>
        <v>0.6385999999999985</v>
      </c>
      <c r="M701" t="s">
        <v>1398</v>
      </c>
      <c r="N701" t="s">
        <v>19</v>
      </c>
    </row>
    <row r="702" spans="1:14" x14ac:dyDescent="0.3">
      <c r="A702">
        <v>564</v>
      </c>
      <c r="B702" t="s">
        <v>1051</v>
      </c>
      <c r="C702" t="s">
        <v>377</v>
      </c>
      <c r="D702" t="s">
        <v>1704</v>
      </c>
      <c r="E702" t="s">
        <v>17</v>
      </c>
      <c r="F702" t="s">
        <v>1701</v>
      </c>
      <c r="G702" s="3">
        <v>30.85</v>
      </c>
      <c r="H702" s="3">
        <v>0</v>
      </c>
      <c r="I702" s="3">
        <v>30.85</v>
      </c>
      <c r="J702" s="3">
        <f>Table1[[#This Row],[قيمة الفاتورة]]*0.94-Table1[[#This Row],[قيمة المشاركة]]</f>
        <v>28.998999999999999</v>
      </c>
      <c r="K702">
        <v>27.119</v>
      </c>
      <c r="L702" s="3">
        <f t="shared" si="10"/>
        <v>1.879999999999999</v>
      </c>
      <c r="M702" t="s">
        <v>1398</v>
      </c>
      <c r="N702" t="s">
        <v>19</v>
      </c>
    </row>
    <row r="703" spans="1:14" x14ac:dyDescent="0.3">
      <c r="A703">
        <v>566</v>
      </c>
      <c r="B703" t="s">
        <v>1256</v>
      </c>
      <c r="C703" t="s">
        <v>1257</v>
      </c>
      <c r="D703" t="s">
        <v>1705</v>
      </c>
      <c r="E703" t="s">
        <v>17</v>
      </c>
      <c r="F703" t="s">
        <v>1701</v>
      </c>
      <c r="G703" s="3">
        <v>12.97</v>
      </c>
      <c r="H703" s="3">
        <v>0</v>
      </c>
      <c r="I703" s="3">
        <v>12.97</v>
      </c>
      <c r="J703" s="3">
        <f>Table1[[#This Row],[قيمة الفاتورة]]*0.94-Table1[[#This Row],[قيمة المشاركة]]</f>
        <v>12.191800000000001</v>
      </c>
      <c r="K703">
        <v>3.375</v>
      </c>
      <c r="L703" s="3">
        <f t="shared" si="10"/>
        <v>8.8168000000000006</v>
      </c>
      <c r="M703" t="s">
        <v>1398</v>
      </c>
      <c r="N703" t="s">
        <v>19</v>
      </c>
    </row>
    <row r="704" spans="1:14" x14ac:dyDescent="0.3">
      <c r="A704">
        <v>569</v>
      </c>
      <c r="B704" t="s">
        <v>212</v>
      </c>
      <c r="C704" t="s">
        <v>213</v>
      </c>
      <c r="D704" t="s">
        <v>1706</v>
      </c>
      <c r="E704" t="s">
        <v>23</v>
      </c>
      <c r="F704" t="s">
        <v>1707</v>
      </c>
      <c r="G704" s="3">
        <v>12.35</v>
      </c>
      <c r="H704" s="3">
        <v>0</v>
      </c>
      <c r="I704" s="3">
        <v>12.35</v>
      </c>
      <c r="J704" s="3">
        <f>Table1[[#This Row],[قيمة الفاتورة]]*0.94-Table1[[#This Row],[قيمة المشاركة]]</f>
        <v>11.608999999999998</v>
      </c>
      <c r="K704">
        <v>12.7</v>
      </c>
      <c r="L704" s="3">
        <f t="shared" si="10"/>
        <v>-1.0910000000000011</v>
      </c>
      <c r="M704" t="s">
        <v>1398</v>
      </c>
      <c r="N704" t="s">
        <v>19</v>
      </c>
    </row>
    <row r="705" spans="1:14" x14ac:dyDescent="0.3">
      <c r="A705">
        <v>568</v>
      </c>
      <c r="B705" t="s">
        <v>526</v>
      </c>
      <c r="C705" t="s">
        <v>726</v>
      </c>
      <c r="D705" t="s">
        <v>1708</v>
      </c>
      <c r="E705" t="s">
        <v>23</v>
      </c>
      <c r="F705" t="s">
        <v>1707</v>
      </c>
      <c r="G705" s="3">
        <v>28.29</v>
      </c>
      <c r="H705" s="3">
        <v>0</v>
      </c>
      <c r="I705" s="3">
        <v>28.29</v>
      </c>
      <c r="J705" s="3">
        <f>Table1[[#This Row],[قيمة الفاتورة]]*0.94-Table1[[#This Row],[قيمة المشاركة]]</f>
        <v>26.592599999999997</v>
      </c>
      <c r="K705">
        <v>26.591999999999999</v>
      </c>
      <c r="L705" s="3">
        <f t="shared" si="10"/>
        <v>5.9999999999860165E-4</v>
      </c>
      <c r="M705" t="s">
        <v>1398</v>
      </c>
      <c r="N705" t="s">
        <v>19</v>
      </c>
    </row>
    <row r="706" spans="1:14" x14ac:dyDescent="0.3">
      <c r="A706">
        <v>570</v>
      </c>
      <c r="B706" t="s">
        <v>728</v>
      </c>
      <c r="C706" t="s">
        <v>354</v>
      </c>
      <c r="D706" t="s">
        <v>1709</v>
      </c>
      <c r="E706" t="s">
        <v>23</v>
      </c>
      <c r="F706" t="s">
        <v>1710</v>
      </c>
      <c r="G706" s="3">
        <v>3.746</v>
      </c>
      <c r="H706" s="3">
        <v>0</v>
      </c>
      <c r="I706" s="3">
        <v>3.746</v>
      </c>
      <c r="J706" s="3">
        <f>Table1[[#This Row],[قيمة الفاتورة]]*0.94-Table1[[#This Row],[قيمة المشاركة]]</f>
        <v>3.5212399999999997</v>
      </c>
      <c r="K706">
        <v>3.5249999999999999</v>
      </c>
      <c r="L706" s="3">
        <f t="shared" ref="L706:L769" si="11">IF(ISNUMBER(K706), J706-K706, "")</f>
        <v>-3.7600000000002076E-3</v>
      </c>
      <c r="M706" t="s">
        <v>1398</v>
      </c>
      <c r="N706" t="s">
        <v>19</v>
      </c>
    </row>
    <row r="707" spans="1:14" x14ac:dyDescent="0.3">
      <c r="A707">
        <v>571</v>
      </c>
      <c r="B707" t="s">
        <v>728</v>
      </c>
      <c r="C707" t="s">
        <v>354</v>
      </c>
      <c r="D707" t="s">
        <v>1711</v>
      </c>
      <c r="E707" t="s">
        <v>23</v>
      </c>
      <c r="F707" t="s">
        <v>1710</v>
      </c>
      <c r="G707" s="3">
        <v>2.4500000000000002</v>
      </c>
      <c r="H707" s="3">
        <v>0</v>
      </c>
      <c r="I707" s="3">
        <v>2.4500000000000002</v>
      </c>
      <c r="J707" s="3">
        <f>Table1[[#This Row],[قيمة الفاتورة]]*0.94-Table1[[#This Row],[قيمة المشاركة]]</f>
        <v>2.3029999999999999</v>
      </c>
      <c r="K707">
        <v>1.3160000000000001</v>
      </c>
      <c r="L707" s="3">
        <f t="shared" si="11"/>
        <v>0.98699999999999988</v>
      </c>
      <c r="M707" t="s">
        <v>1398</v>
      </c>
      <c r="N707" t="s">
        <v>19</v>
      </c>
    </row>
    <row r="708" spans="1:14" x14ac:dyDescent="0.3">
      <c r="A708">
        <v>573</v>
      </c>
      <c r="B708" t="s">
        <v>854</v>
      </c>
      <c r="C708" t="s">
        <v>855</v>
      </c>
      <c r="D708" t="s">
        <v>1712</v>
      </c>
      <c r="E708" t="s">
        <v>23</v>
      </c>
      <c r="F708" t="s">
        <v>1713</v>
      </c>
      <c r="G708" s="3">
        <v>17.989999999999998</v>
      </c>
      <c r="H708" s="3">
        <v>0</v>
      </c>
      <c r="I708" s="3">
        <v>17.989999999999998</v>
      </c>
      <c r="J708" s="3">
        <f>Table1[[#This Row],[قيمة الفاتورة]]*0.94-Table1[[#This Row],[قيمة المشاركة]]</f>
        <v>16.910599999999999</v>
      </c>
      <c r="K708">
        <v>16.911000000000001</v>
      </c>
      <c r="L708" s="3">
        <f t="shared" si="11"/>
        <v>-4.0000000000262048E-4</v>
      </c>
      <c r="M708" t="s">
        <v>1398</v>
      </c>
      <c r="N708" t="s">
        <v>19</v>
      </c>
    </row>
    <row r="709" spans="1:14" x14ac:dyDescent="0.3">
      <c r="A709">
        <v>572</v>
      </c>
      <c r="B709" t="s">
        <v>1572</v>
      </c>
      <c r="C709" t="s">
        <v>614</v>
      </c>
      <c r="D709" t="s">
        <v>1714</v>
      </c>
      <c r="E709" t="s">
        <v>17</v>
      </c>
      <c r="F709" t="s">
        <v>1713</v>
      </c>
      <c r="G709" s="3">
        <v>9.81</v>
      </c>
      <c r="H709" s="3">
        <v>0</v>
      </c>
      <c r="I709" s="3">
        <v>9.81</v>
      </c>
      <c r="J709" s="3">
        <f>Table1[[#This Row],[قيمة الفاتورة]]*0.94-Table1[[#This Row],[قيمة المشاركة]]</f>
        <v>9.2213999999999992</v>
      </c>
      <c r="K709">
        <v>9.2210000000000001</v>
      </c>
      <c r="L709" s="3">
        <f t="shared" si="11"/>
        <v>3.9999999999906777E-4</v>
      </c>
      <c r="M709" t="s">
        <v>1398</v>
      </c>
      <c r="N709" t="s">
        <v>19</v>
      </c>
    </row>
    <row r="710" spans="1:14" x14ac:dyDescent="0.3">
      <c r="A710">
        <v>574</v>
      </c>
      <c r="B710" t="s">
        <v>656</v>
      </c>
      <c r="C710" t="s">
        <v>1715</v>
      </c>
      <c r="D710" t="s">
        <v>1716</v>
      </c>
      <c r="E710" t="s">
        <v>23</v>
      </c>
      <c r="F710" t="s">
        <v>1713</v>
      </c>
      <c r="G710" s="3">
        <v>24.57</v>
      </c>
      <c r="H710" s="3">
        <v>0</v>
      </c>
      <c r="I710" s="3">
        <v>24.57</v>
      </c>
      <c r="J710" s="3">
        <f>Table1[[#This Row],[قيمة الفاتورة]]*0.94-Table1[[#This Row],[قيمة المشاركة]]</f>
        <v>23.095800000000001</v>
      </c>
      <c r="K710">
        <v>23.094999999999999</v>
      </c>
      <c r="L710" s="3">
        <f t="shared" si="11"/>
        <v>8.0000000000168825E-4</v>
      </c>
      <c r="M710" t="s">
        <v>1398</v>
      </c>
      <c r="N710" t="s">
        <v>19</v>
      </c>
    </row>
    <row r="711" spans="1:14" x14ac:dyDescent="0.3">
      <c r="A711">
        <v>136</v>
      </c>
      <c r="B711" t="s">
        <v>539</v>
      </c>
      <c r="C711" t="s">
        <v>235</v>
      </c>
      <c r="D711" t="s">
        <v>539</v>
      </c>
      <c r="E711" t="s">
        <v>17</v>
      </c>
      <c r="F711" t="s">
        <v>1713</v>
      </c>
      <c r="G711" s="3">
        <v>17.79</v>
      </c>
      <c r="H711" s="3">
        <v>0</v>
      </c>
      <c r="I711" s="3">
        <v>17.79</v>
      </c>
      <c r="J711" s="3">
        <f>Table1[[#This Row],[قيمة الفاتورة]]*0.94-Table1[[#This Row],[قيمة المشاركة]]</f>
        <v>16.7226</v>
      </c>
      <c r="L711" s="3" t="str">
        <f t="shared" si="11"/>
        <v/>
      </c>
      <c r="N711" t="s">
        <v>19</v>
      </c>
    </row>
    <row r="712" spans="1:14" x14ac:dyDescent="0.3">
      <c r="A712">
        <v>575</v>
      </c>
      <c r="B712" t="s">
        <v>1717</v>
      </c>
      <c r="C712" t="s">
        <v>1718</v>
      </c>
      <c r="D712" t="s">
        <v>1719</v>
      </c>
      <c r="E712" t="s">
        <v>17</v>
      </c>
      <c r="F712" t="s">
        <v>1720</v>
      </c>
      <c r="G712" s="3">
        <v>5.43</v>
      </c>
      <c r="H712" s="3">
        <v>0.81399999999999995</v>
      </c>
      <c r="I712" s="3">
        <v>4.6159999999999997</v>
      </c>
      <c r="J712" s="3">
        <f>Table1[[#This Row],[قيمة الفاتورة]]*0.94-Table1[[#This Row],[قيمة المشاركة]]</f>
        <v>4.2901999999999996</v>
      </c>
      <c r="K712">
        <v>4.5890000000000004</v>
      </c>
      <c r="L712" s="3">
        <f t="shared" si="11"/>
        <v>-0.29880000000000084</v>
      </c>
      <c r="M712" t="s">
        <v>1398</v>
      </c>
      <c r="N712" t="s">
        <v>19</v>
      </c>
    </row>
    <row r="713" spans="1:14" x14ac:dyDescent="0.3">
      <c r="A713">
        <v>576</v>
      </c>
      <c r="B713" t="s">
        <v>1721</v>
      </c>
      <c r="C713" t="s">
        <v>1722</v>
      </c>
      <c r="D713" t="s">
        <v>1723</v>
      </c>
      <c r="E713" t="s">
        <v>17</v>
      </c>
      <c r="F713" t="s">
        <v>1720</v>
      </c>
      <c r="G713" s="3">
        <v>21.38</v>
      </c>
      <c r="H713" s="3">
        <v>0</v>
      </c>
      <c r="I713" s="3">
        <v>21.38</v>
      </c>
      <c r="J713" s="3">
        <f>Table1[[#This Row],[قيمة الفاتورة]]*0.94-Table1[[#This Row],[قيمة المشاركة]]</f>
        <v>20.097199999999997</v>
      </c>
      <c r="K713">
        <v>20.097000000000001</v>
      </c>
      <c r="L713" s="3">
        <f t="shared" si="11"/>
        <v>1.9999999999598117E-4</v>
      </c>
      <c r="M713" t="s">
        <v>1398</v>
      </c>
      <c r="N713" t="s">
        <v>19</v>
      </c>
    </row>
    <row r="714" spans="1:14" x14ac:dyDescent="0.3">
      <c r="A714">
        <v>138</v>
      </c>
      <c r="B714" t="s">
        <v>704</v>
      </c>
      <c r="C714" t="s">
        <v>705</v>
      </c>
      <c r="D714" t="s">
        <v>1724</v>
      </c>
      <c r="E714" t="s">
        <v>23</v>
      </c>
      <c r="F714" t="s">
        <v>1720</v>
      </c>
      <c r="G714" s="3">
        <v>25.24</v>
      </c>
      <c r="H714" s="3">
        <v>0</v>
      </c>
      <c r="I714" s="3">
        <v>25.24</v>
      </c>
      <c r="J714" s="3">
        <f>Table1[[#This Row],[قيمة الفاتورة]]*0.94-Table1[[#This Row],[قيمة المشاركة]]</f>
        <v>23.725599999999996</v>
      </c>
      <c r="K714">
        <v>23.632000000000001</v>
      </c>
      <c r="L714" s="3">
        <f t="shared" si="11"/>
        <v>9.3599999999995021E-2</v>
      </c>
      <c r="M714" t="s">
        <v>1398</v>
      </c>
      <c r="N714" t="s">
        <v>19</v>
      </c>
    </row>
    <row r="715" spans="1:14" x14ac:dyDescent="0.3">
      <c r="A715">
        <v>579</v>
      </c>
      <c r="B715" t="s">
        <v>437</v>
      </c>
      <c r="C715" t="s">
        <v>438</v>
      </c>
      <c r="D715" t="s">
        <v>1725</v>
      </c>
      <c r="E715" t="s">
        <v>23</v>
      </c>
      <c r="F715" t="s">
        <v>1720</v>
      </c>
      <c r="G715" s="3">
        <v>15.46</v>
      </c>
      <c r="H715" s="3">
        <v>0</v>
      </c>
      <c r="I715" s="3">
        <v>15.46</v>
      </c>
      <c r="J715" s="3">
        <f>Table1[[#This Row],[قيمة الفاتورة]]*0.94-Table1[[#This Row],[قيمة المشاركة]]</f>
        <v>14.532399999999999</v>
      </c>
      <c r="K715">
        <v>14.335000000000001</v>
      </c>
      <c r="L715" s="3">
        <f t="shared" si="11"/>
        <v>0.19739999999999824</v>
      </c>
      <c r="M715" t="s">
        <v>1398</v>
      </c>
      <c r="N715" t="s">
        <v>19</v>
      </c>
    </row>
    <row r="716" spans="1:14" x14ac:dyDescent="0.3">
      <c r="A716">
        <v>580</v>
      </c>
      <c r="B716" t="s">
        <v>75</v>
      </c>
      <c r="C716" t="s">
        <v>791</v>
      </c>
      <c r="D716" t="s">
        <v>1726</v>
      </c>
      <c r="E716" t="s">
        <v>23</v>
      </c>
      <c r="F716" t="s">
        <v>1720</v>
      </c>
      <c r="G716" s="3">
        <v>33.659999999999997</v>
      </c>
      <c r="H716" s="3">
        <v>0</v>
      </c>
      <c r="I716" s="3">
        <v>33.659999999999997</v>
      </c>
      <c r="J716" s="3">
        <f>Table1[[#This Row],[قيمة الفاتورة]]*0.94-Table1[[#This Row],[قيمة المشاركة]]</f>
        <v>31.640399999999996</v>
      </c>
      <c r="K716">
        <v>31.265000000000001</v>
      </c>
      <c r="L716" s="3">
        <f t="shared" si="11"/>
        <v>0.37539999999999552</v>
      </c>
      <c r="M716" t="s">
        <v>1398</v>
      </c>
      <c r="N716" t="s">
        <v>19</v>
      </c>
    </row>
    <row r="717" spans="1:14" x14ac:dyDescent="0.3">
      <c r="A717">
        <v>578</v>
      </c>
      <c r="B717" t="s">
        <v>662</v>
      </c>
      <c r="C717" t="s">
        <v>663</v>
      </c>
      <c r="D717" t="s">
        <v>1727</v>
      </c>
      <c r="E717" t="s">
        <v>17</v>
      </c>
      <c r="F717" t="s">
        <v>1720</v>
      </c>
      <c r="G717" s="3">
        <v>41.27</v>
      </c>
      <c r="H717" s="3">
        <v>0</v>
      </c>
      <c r="I717" s="3">
        <v>41.27</v>
      </c>
      <c r="J717" s="3">
        <f>Table1[[#This Row],[قيمة الفاتورة]]*0.94-Table1[[#This Row],[قيمة المشاركة]]</f>
        <v>38.793799999999997</v>
      </c>
      <c r="K717">
        <v>38.417000000000002</v>
      </c>
      <c r="L717" s="3">
        <f t="shared" si="11"/>
        <v>0.3767999999999958</v>
      </c>
      <c r="M717" t="s">
        <v>1398</v>
      </c>
      <c r="N717" t="s">
        <v>19</v>
      </c>
    </row>
    <row r="718" spans="1:14" x14ac:dyDescent="0.3">
      <c r="A718">
        <v>577</v>
      </c>
      <c r="B718" t="s">
        <v>1728</v>
      </c>
      <c r="C718" t="s">
        <v>1729</v>
      </c>
      <c r="D718" t="s">
        <v>1730</v>
      </c>
      <c r="E718" t="s">
        <v>23</v>
      </c>
      <c r="F718" t="s">
        <v>1720</v>
      </c>
      <c r="G718" s="3">
        <v>33.93</v>
      </c>
      <c r="H718" s="3">
        <v>0</v>
      </c>
      <c r="I718" s="3">
        <v>33.93</v>
      </c>
      <c r="J718" s="3">
        <f>Table1[[#This Row],[قيمة الفاتورة]]*0.94-Table1[[#This Row],[قيمة المشاركة]]</f>
        <v>31.894199999999998</v>
      </c>
      <c r="K718">
        <v>30.850999999999999</v>
      </c>
      <c r="L718" s="3">
        <f t="shared" si="11"/>
        <v>1.0431999999999988</v>
      </c>
      <c r="M718" t="s">
        <v>1398</v>
      </c>
      <c r="N718" t="s">
        <v>19</v>
      </c>
    </row>
    <row r="719" spans="1:14" x14ac:dyDescent="0.3">
      <c r="A719">
        <v>137</v>
      </c>
      <c r="B719" t="s">
        <v>1279</v>
      </c>
      <c r="C719" t="s">
        <v>1280</v>
      </c>
      <c r="D719" t="s">
        <v>1731</v>
      </c>
      <c r="E719" t="s">
        <v>23</v>
      </c>
      <c r="F719" t="s">
        <v>1720</v>
      </c>
      <c r="G719" s="3">
        <v>15.17</v>
      </c>
      <c r="H719" s="3">
        <v>0</v>
      </c>
      <c r="I719" s="3">
        <v>15.17</v>
      </c>
      <c r="J719" s="3">
        <f>Table1[[#This Row],[قيمة الفاتورة]]*0.94-Table1[[#This Row],[قيمة المشاركة]]</f>
        <v>14.259799999999998</v>
      </c>
      <c r="K719">
        <v>11.205</v>
      </c>
      <c r="L719" s="3">
        <f t="shared" si="11"/>
        <v>3.0547999999999984</v>
      </c>
      <c r="M719" t="s">
        <v>1398</v>
      </c>
      <c r="N719" t="s">
        <v>19</v>
      </c>
    </row>
    <row r="720" spans="1:14" x14ac:dyDescent="0.3">
      <c r="A720">
        <v>581</v>
      </c>
      <c r="B720" t="s">
        <v>1732</v>
      </c>
      <c r="C720" t="s">
        <v>1733</v>
      </c>
      <c r="D720" t="s">
        <v>1734</v>
      </c>
      <c r="E720" t="s">
        <v>23</v>
      </c>
      <c r="F720" t="s">
        <v>1720</v>
      </c>
      <c r="G720" s="3">
        <v>16.100000000000001</v>
      </c>
      <c r="H720" s="3">
        <v>0</v>
      </c>
      <c r="I720" s="3">
        <v>16.100000000000001</v>
      </c>
      <c r="J720" s="3">
        <f>Table1[[#This Row],[قيمة الفاتورة]]*0.94-Table1[[#This Row],[قيمة المشاركة]]</f>
        <v>15.134</v>
      </c>
      <c r="L720" s="3" t="str">
        <f t="shared" si="11"/>
        <v/>
      </c>
      <c r="N720" t="s">
        <v>19</v>
      </c>
    </row>
    <row r="721" spans="1:14" x14ac:dyDescent="0.3">
      <c r="A721">
        <v>141</v>
      </c>
      <c r="B721" t="s">
        <v>1717</v>
      </c>
      <c r="C721" t="s">
        <v>1735</v>
      </c>
      <c r="D721" t="s">
        <v>1736</v>
      </c>
      <c r="E721" t="s">
        <v>23</v>
      </c>
      <c r="F721" t="s">
        <v>1737</v>
      </c>
      <c r="G721" s="3">
        <v>5</v>
      </c>
      <c r="H721" s="3">
        <v>0.75</v>
      </c>
      <c r="I721" s="3">
        <v>4.25</v>
      </c>
      <c r="J721" s="3">
        <f>Table1[[#This Row],[قيمة الفاتورة]]*0.94-Table1[[#This Row],[قيمة المشاركة]]</f>
        <v>3.9499999999999993</v>
      </c>
      <c r="K721">
        <v>3.95</v>
      </c>
      <c r="L721" s="3">
        <f t="shared" si="11"/>
        <v>-8.8817841970012523E-16</v>
      </c>
      <c r="M721" t="s">
        <v>1398</v>
      </c>
      <c r="N721" t="s">
        <v>19</v>
      </c>
    </row>
    <row r="722" spans="1:14" x14ac:dyDescent="0.3">
      <c r="A722">
        <v>139</v>
      </c>
      <c r="B722" t="s">
        <v>411</v>
      </c>
      <c r="C722" t="s">
        <v>412</v>
      </c>
      <c r="D722" t="s">
        <v>1738</v>
      </c>
      <c r="E722" t="s">
        <v>23</v>
      </c>
      <c r="F722" t="s">
        <v>1737</v>
      </c>
      <c r="G722" s="3">
        <v>1</v>
      </c>
      <c r="H722" s="3">
        <v>0</v>
      </c>
      <c r="I722" s="3">
        <v>1</v>
      </c>
      <c r="J722" s="3">
        <f>Table1[[#This Row],[قيمة الفاتورة]]*0.94-Table1[[#This Row],[قيمة المشاركة]]</f>
        <v>0.94</v>
      </c>
      <c r="K722">
        <v>0.94</v>
      </c>
      <c r="L722" s="3">
        <f t="shared" si="11"/>
        <v>0</v>
      </c>
      <c r="M722" t="s">
        <v>1398</v>
      </c>
      <c r="N722" t="s">
        <v>19</v>
      </c>
    </row>
    <row r="723" spans="1:14" x14ac:dyDescent="0.3">
      <c r="A723">
        <v>142</v>
      </c>
      <c r="B723" t="s">
        <v>987</v>
      </c>
      <c r="C723" t="s">
        <v>988</v>
      </c>
      <c r="D723" t="s">
        <v>1739</v>
      </c>
      <c r="E723" t="s">
        <v>17</v>
      </c>
      <c r="F723" t="s">
        <v>1737</v>
      </c>
      <c r="G723" s="3">
        <v>15.09</v>
      </c>
      <c r="H723" s="3">
        <v>0</v>
      </c>
      <c r="I723" s="3">
        <v>15.09</v>
      </c>
      <c r="J723" s="3">
        <f>Table1[[#This Row],[قيمة الفاتورة]]*0.94-Table1[[#This Row],[قيمة المشاركة]]</f>
        <v>14.1846</v>
      </c>
      <c r="K723">
        <v>14.183999999999999</v>
      </c>
      <c r="L723" s="3">
        <f t="shared" si="11"/>
        <v>6.0000000000037801E-4</v>
      </c>
      <c r="M723" t="s">
        <v>1398</v>
      </c>
      <c r="N723" t="s">
        <v>19</v>
      </c>
    </row>
    <row r="724" spans="1:14" x14ac:dyDescent="0.3">
      <c r="A724">
        <v>582</v>
      </c>
      <c r="B724" t="s">
        <v>20</v>
      </c>
      <c r="C724" t="s">
        <v>21</v>
      </c>
      <c r="D724" t="s">
        <v>1740</v>
      </c>
      <c r="E724" t="s">
        <v>17</v>
      </c>
      <c r="F724" t="s">
        <v>1737</v>
      </c>
      <c r="G724" s="3">
        <v>19.63</v>
      </c>
      <c r="H724" s="3">
        <v>2.944</v>
      </c>
      <c r="I724" s="3">
        <v>16.686</v>
      </c>
      <c r="J724" s="3">
        <f>Table1[[#This Row],[قيمة الفاتورة]]*0.94-Table1[[#This Row],[قيمة المشاركة]]</f>
        <v>15.508199999999999</v>
      </c>
      <c r="K724">
        <v>15.49</v>
      </c>
      <c r="L724" s="3">
        <f t="shared" si="11"/>
        <v>1.819999999999844E-2</v>
      </c>
      <c r="M724" t="s">
        <v>1398</v>
      </c>
      <c r="N724" t="s">
        <v>19</v>
      </c>
    </row>
    <row r="725" spans="1:14" x14ac:dyDescent="0.3">
      <c r="A725">
        <v>140</v>
      </c>
      <c r="B725" t="s">
        <v>411</v>
      </c>
      <c r="C725" t="s">
        <v>412</v>
      </c>
      <c r="D725" t="s">
        <v>1741</v>
      </c>
      <c r="E725" t="s">
        <v>23</v>
      </c>
      <c r="F725" t="s">
        <v>1737</v>
      </c>
      <c r="G725" s="3">
        <v>19.75</v>
      </c>
      <c r="H725" s="3">
        <v>0</v>
      </c>
      <c r="I725" s="3">
        <v>19.75</v>
      </c>
      <c r="J725" s="3">
        <f>Table1[[#This Row],[قيمة الفاتورة]]*0.94-Table1[[#This Row],[قيمة المشاركة]]</f>
        <v>18.564999999999998</v>
      </c>
      <c r="K725">
        <v>18.305</v>
      </c>
      <c r="L725" s="3">
        <f t="shared" si="11"/>
        <v>0.25999999999999801</v>
      </c>
      <c r="M725" t="s">
        <v>1398</v>
      </c>
      <c r="N725" t="s">
        <v>19</v>
      </c>
    </row>
    <row r="726" spans="1:14" x14ac:dyDescent="0.3">
      <c r="A726">
        <v>143</v>
      </c>
      <c r="B726" t="s">
        <v>1742</v>
      </c>
      <c r="C726" t="s">
        <v>1743</v>
      </c>
      <c r="D726" t="s">
        <v>1744</v>
      </c>
      <c r="E726" t="s">
        <v>17</v>
      </c>
      <c r="F726" t="s">
        <v>1745</v>
      </c>
      <c r="G726" s="3">
        <v>16.62</v>
      </c>
      <c r="H726" s="3">
        <v>2.4929999999999999</v>
      </c>
      <c r="I726" s="3">
        <v>14.127000000000001</v>
      </c>
      <c r="J726" s="3">
        <f>Table1[[#This Row],[قيمة الفاتورة]]*0.94-Table1[[#This Row],[قيمة المشاركة]]</f>
        <v>13.129799999999999</v>
      </c>
      <c r="K726">
        <v>13.13</v>
      </c>
      <c r="L726" s="3">
        <f t="shared" si="11"/>
        <v>-2.0000000000131024E-4</v>
      </c>
      <c r="M726" t="s">
        <v>1398</v>
      </c>
      <c r="N726" t="s">
        <v>19</v>
      </c>
    </row>
    <row r="727" spans="1:14" x14ac:dyDescent="0.3">
      <c r="A727">
        <v>583</v>
      </c>
      <c r="B727" t="s">
        <v>1746</v>
      </c>
      <c r="C727" t="s">
        <v>1747</v>
      </c>
      <c r="D727" t="s">
        <v>1748</v>
      </c>
      <c r="E727" t="s">
        <v>23</v>
      </c>
      <c r="F727" t="s">
        <v>1749</v>
      </c>
      <c r="G727" s="3">
        <v>6.81</v>
      </c>
      <c r="H727" s="3">
        <v>0</v>
      </c>
      <c r="I727" s="3">
        <v>6.81</v>
      </c>
      <c r="J727" s="3">
        <f>Table1[[#This Row],[قيمة الفاتورة]]*0.94-Table1[[#This Row],[قيمة المشاركة]]</f>
        <v>6.4013999999999989</v>
      </c>
      <c r="K727">
        <v>6.4009999999999998</v>
      </c>
      <c r="L727" s="3">
        <f t="shared" si="11"/>
        <v>3.9999999999906777E-4</v>
      </c>
      <c r="M727" t="s">
        <v>1398</v>
      </c>
      <c r="N727" t="s">
        <v>19</v>
      </c>
    </row>
    <row r="728" spans="1:14" x14ac:dyDescent="0.3">
      <c r="A728">
        <v>585</v>
      </c>
      <c r="B728" t="s">
        <v>1750</v>
      </c>
      <c r="C728" t="s">
        <v>354</v>
      </c>
      <c r="D728" t="s">
        <v>1751</v>
      </c>
      <c r="E728" t="s">
        <v>23</v>
      </c>
      <c r="F728" t="s">
        <v>1752</v>
      </c>
      <c r="G728" s="3">
        <v>7.12</v>
      </c>
      <c r="H728" s="3">
        <v>0</v>
      </c>
      <c r="I728" s="3">
        <v>7.12</v>
      </c>
      <c r="J728" s="3">
        <f>Table1[[#This Row],[قيمة الفاتورة]]*0.94-Table1[[#This Row],[قيمة المشاركة]]</f>
        <v>6.6928000000000001</v>
      </c>
      <c r="K728">
        <v>6.6929999999999996</v>
      </c>
      <c r="L728" s="3">
        <f t="shared" si="11"/>
        <v>-1.9999999999953388E-4</v>
      </c>
      <c r="M728" t="s">
        <v>1398</v>
      </c>
      <c r="N728" t="s">
        <v>19</v>
      </c>
    </row>
    <row r="729" spans="1:14" x14ac:dyDescent="0.3">
      <c r="A729">
        <v>584</v>
      </c>
      <c r="B729" t="s">
        <v>1753</v>
      </c>
      <c r="C729" t="s">
        <v>1754</v>
      </c>
      <c r="D729" t="s">
        <v>1755</v>
      </c>
      <c r="E729" t="s">
        <v>23</v>
      </c>
      <c r="F729" t="s">
        <v>1752</v>
      </c>
      <c r="G729" s="3">
        <v>15.95</v>
      </c>
      <c r="H729" s="3">
        <v>0</v>
      </c>
      <c r="I729" s="3">
        <v>15.95</v>
      </c>
      <c r="J729" s="3">
        <f>Table1[[#This Row],[قيمة الفاتورة]]*0.94-Table1[[#This Row],[قيمة المشاركة]]</f>
        <v>14.992999999999999</v>
      </c>
      <c r="K729">
        <v>14.683</v>
      </c>
      <c r="L729" s="3">
        <f t="shared" si="11"/>
        <v>0.30999999999999872</v>
      </c>
      <c r="M729" t="s">
        <v>1398</v>
      </c>
      <c r="N729" t="s">
        <v>19</v>
      </c>
    </row>
    <row r="730" spans="1:14" x14ac:dyDescent="0.3">
      <c r="A730">
        <v>144</v>
      </c>
      <c r="B730" t="s">
        <v>774</v>
      </c>
      <c r="C730" t="s">
        <v>775</v>
      </c>
      <c r="D730" t="s">
        <v>1756</v>
      </c>
      <c r="E730" t="s">
        <v>17</v>
      </c>
      <c r="F730" t="s">
        <v>1752</v>
      </c>
      <c r="G730" s="3">
        <v>19.87</v>
      </c>
      <c r="H730" s="3">
        <v>0</v>
      </c>
      <c r="I730" s="3">
        <v>19.87</v>
      </c>
      <c r="J730" s="3">
        <f>Table1[[#This Row],[قيمة الفاتورة]]*0.94-Table1[[#This Row],[قيمة المشاركة]]</f>
        <v>18.677800000000001</v>
      </c>
      <c r="K730">
        <v>16.788</v>
      </c>
      <c r="L730" s="3">
        <f t="shared" si="11"/>
        <v>1.889800000000001</v>
      </c>
      <c r="M730" t="s">
        <v>1398</v>
      </c>
      <c r="N730" t="s">
        <v>19</v>
      </c>
    </row>
    <row r="731" spans="1:14" x14ac:dyDescent="0.3">
      <c r="A731">
        <v>586</v>
      </c>
      <c r="B731" t="s">
        <v>1757</v>
      </c>
      <c r="C731" t="s">
        <v>1758</v>
      </c>
      <c r="D731" t="s">
        <v>1759</v>
      </c>
      <c r="E731" t="s">
        <v>23</v>
      </c>
      <c r="F731" t="s">
        <v>1760</v>
      </c>
      <c r="G731" s="3">
        <v>6.02</v>
      </c>
      <c r="H731" s="3">
        <v>0</v>
      </c>
      <c r="I731" s="3">
        <v>6.02</v>
      </c>
      <c r="J731" s="3">
        <f>Table1[[#This Row],[قيمة الفاتورة]]*0.94-Table1[[#This Row],[قيمة المشاركة]]</f>
        <v>5.6587999999999994</v>
      </c>
      <c r="K731">
        <v>5.6589999999999998</v>
      </c>
      <c r="L731" s="3">
        <f t="shared" si="11"/>
        <v>-2.0000000000042206E-4</v>
      </c>
      <c r="M731" t="s">
        <v>1398</v>
      </c>
      <c r="N731" t="s">
        <v>19</v>
      </c>
    </row>
    <row r="732" spans="1:14" x14ac:dyDescent="0.3">
      <c r="A732">
        <v>595</v>
      </c>
      <c r="B732" t="s">
        <v>343</v>
      </c>
      <c r="C732" t="s">
        <v>344</v>
      </c>
      <c r="D732" t="s">
        <v>1761</v>
      </c>
      <c r="E732" t="s">
        <v>17</v>
      </c>
      <c r="F732" t="s">
        <v>1762</v>
      </c>
      <c r="G732" s="3">
        <v>27.72</v>
      </c>
      <c r="H732" s="3">
        <v>0</v>
      </c>
      <c r="I732" s="3">
        <v>27.72</v>
      </c>
      <c r="J732" s="3">
        <f>Table1[[#This Row],[قيمة الفاتورة]]*0.94-Table1[[#This Row],[قيمة المشاركة]]</f>
        <v>26.056799999999999</v>
      </c>
      <c r="K732">
        <v>26.056999999999999</v>
      </c>
      <c r="L732" s="3">
        <f t="shared" si="11"/>
        <v>-1.9999999999953388E-4</v>
      </c>
      <c r="M732" t="s">
        <v>1398</v>
      </c>
      <c r="N732" t="s">
        <v>19</v>
      </c>
    </row>
    <row r="733" spans="1:14" x14ac:dyDescent="0.3">
      <c r="A733">
        <v>587</v>
      </c>
      <c r="B733" t="s">
        <v>1763</v>
      </c>
      <c r="C733" t="s">
        <v>1764</v>
      </c>
      <c r="D733" t="s">
        <v>1765</v>
      </c>
      <c r="E733" t="s">
        <v>17</v>
      </c>
      <c r="F733" t="s">
        <v>1762</v>
      </c>
      <c r="G733" s="3">
        <v>6.33</v>
      </c>
      <c r="H733" s="3">
        <v>0</v>
      </c>
      <c r="I733" s="3">
        <v>6.33</v>
      </c>
      <c r="J733" s="3">
        <f>Table1[[#This Row],[قيمة الفاتورة]]*0.94-Table1[[#This Row],[قيمة المشاركة]]</f>
        <v>5.9501999999999997</v>
      </c>
      <c r="K733">
        <v>5.95</v>
      </c>
      <c r="L733" s="3">
        <f t="shared" si="11"/>
        <v>1.9999999999953388E-4</v>
      </c>
      <c r="M733" t="s">
        <v>1398</v>
      </c>
      <c r="N733" t="s">
        <v>19</v>
      </c>
    </row>
    <row r="734" spans="1:14" x14ac:dyDescent="0.3">
      <c r="A734">
        <v>594</v>
      </c>
      <c r="B734" t="s">
        <v>1753</v>
      </c>
      <c r="C734" t="s">
        <v>1754</v>
      </c>
      <c r="D734" t="s">
        <v>1766</v>
      </c>
      <c r="E734" t="s">
        <v>23</v>
      </c>
      <c r="F734" t="s">
        <v>1762</v>
      </c>
      <c r="G734" s="3">
        <v>6.43</v>
      </c>
      <c r="H734" s="3">
        <v>0</v>
      </c>
      <c r="I734" s="3">
        <v>6.43</v>
      </c>
      <c r="J734" s="3">
        <f>Table1[[#This Row],[قيمة الفاتورة]]*0.94-Table1[[#This Row],[قيمة المشاركة]]</f>
        <v>6.0441999999999991</v>
      </c>
      <c r="K734">
        <v>6.0439999999999996</v>
      </c>
      <c r="L734" s="3">
        <f t="shared" si="11"/>
        <v>1.9999999999953388E-4</v>
      </c>
      <c r="M734" t="s">
        <v>1398</v>
      </c>
      <c r="N734" t="s">
        <v>19</v>
      </c>
    </row>
    <row r="735" spans="1:14" x14ac:dyDescent="0.3">
      <c r="A735">
        <v>591</v>
      </c>
      <c r="B735" t="s">
        <v>385</v>
      </c>
      <c r="C735" t="s">
        <v>743</v>
      </c>
      <c r="D735" t="s">
        <v>1767</v>
      </c>
      <c r="E735" t="s">
        <v>17</v>
      </c>
      <c r="F735" t="s">
        <v>1762</v>
      </c>
      <c r="G735" s="3">
        <v>33.93</v>
      </c>
      <c r="H735" s="3">
        <v>0</v>
      </c>
      <c r="I735" s="3">
        <v>33.93</v>
      </c>
      <c r="J735" s="3">
        <f>Table1[[#This Row],[قيمة الفاتورة]]*0.94-Table1[[#This Row],[قيمة المشاركة]]</f>
        <v>31.894199999999998</v>
      </c>
      <c r="K735">
        <v>31.893999999999998</v>
      </c>
      <c r="L735" s="3">
        <f t="shared" si="11"/>
        <v>1.9999999999953388E-4</v>
      </c>
      <c r="M735" t="s">
        <v>1398</v>
      </c>
      <c r="N735" t="s">
        <v>19</v>
      </c>
    </row>
    <row r="736" spans="1:14" x14ac:dyDescent="0.3">
      <c r="A736">
        <v>589</v>
      </c>
      <c r="B736" t="s">
        <v>1572</v>
      </c>
      <c r="C736" t="s">
        <v>614</v>
      </c>
      <c r="D736" t="s">
        <v>1768</v>
      </c>
      <c r="E736" t="s">
        <v>17</v>
      </c>
      <c r="F736" t="s">
        <v>1762</v>
      </c>
      <c r="G736" s="3">
        <v>16.66</v>
      </c>
      <c r="H736" s="3">
        <v>0</v>
      </c>
      <c r="I736" s="3">
        <v>16.66</v>
      </c>
      <c r="J736" s="3">
        <f>Table1[[#This Row],[قيمة الفاتورة]]*0.94-Table1[[#This Row],[قيمة المشاركة]]</f>
        <v>15.660399999999999</v>
      </c>
      <c r="K736">
        <v>15.66</v>
      </c>
      <c r="L736" s="3">
        <f t="shared" si="11"/>
        <v>3.9999999999906777E-4</v>
      </c>
      <c r="M736" t="s">
        <v>1398</v>
      </c>
      <c r="N736" t="s">
        <v>19</v>
      </c>
    </row>
    <row r="737" spans="1:14" x14ac:dyDescent="0.3">
      <c r="A737">
        <v>588</v>
      </c>
      <c r="B737" t="s">
        <v>1769</v>
      </c>
      <c r="C737" t="s">
        <v>1770</v>
      </c>
      <c r="D737" t="s">
        <v>1771</v>
      </c>
      <c r="E737" t="s">
        <v>17</v>
      </c>
      <c r="F737" t="s">
        <v>1762</v>
      </c>
      <c r="G737" s="3">
        <v>17.600000000000001</v>
      </c>
      <c r="H737" s="3">
        <v>0</v>
      </c>
      <c r="I737" s="3">
        <v>17.600000000000001</v>
      </c>
      <c r="J737" s="3">
        <f>Table1[[#This Row],[قيمة الفاتورة]]*0.94-Table1[[#This Row],[قيمة المشاركة]]</f>
        <v>16.544</v>
      </c>
      <c r="K737">
        <v>16.309000000000001</v>
      </c>
      <c r="L737" s="3">
        <f t="shared" si="11"/>
        <v>0.23499999999999943</v>
      </c>
      <c r="M737" t="s">
        <v>1398</v>
      </c>
      <c r="N737" t="s">
        <v>19</v>
      </c>
    </row>
    <row r="738" spans="1:14" x14ac:dyDescent="0.3">
      <c r="A738">
        <v>592</v>
      </c>
      <c r="B738" t="s">
        <v>32</v>
      </c>
      <c r="C738" t="s">
        <v>33</v>
      </c>
      <c r="D738" t="s">
        <v>1772</v>
      </c>
      <c r="E738" t="s">
        <v>17</v>
      </c>
      <c r="F738" t="s">
        <v>1762</v>
      </c>
      <c r="G738" s="3">
        <v>46.64</v>
      </c>
      <c r="H738" s="3">
        <v>13.992000000000001</v>
      </c>
      <c r="I738" s="3">
        <v>32.648000000000003</v>
      </c>
      <c r="J738" s="3">
        <f>Table1[[#This Row],[قيمة الفاتورة]]*0.94-Table1[[#This Row],[قيمة المشاركة]]</f>
        <v>29.849599999999999</v>
      </c>
      <c r="K738">
        <v>29.58</v>
      </c>
      <c r="L738" s="3">
        <f t="shared" si="11"/>
        <v>0.26960000000000051</v>
      </c>
      <c r="M738" t="s">
        <v>1398</v>
      </c>
      <c r="N738" t="s">
        <v>19</v>
      </c>
    </row>
    <row r="739" spans="1:14" x14ac:dyDescent="0.3">
      <c r="A739">
        <v>590</v>
      </c>
      <c r="B739" t="s">
        <v>905</v>
      </c>
      <c r="C739" t="s">
        <v>906</v>
      </c>
      <c r="D739" t="s">
        <v>1773</v>
      </c>
      <c r="E739" t="s">
        <v>23</v>
      </c>
      <c r="F739" t="s">
        <v>1762</v>
      </c>
      <c r="G739" s="3">
        <v>4.92</v>
      </c>
      <c r="H739" s="3">
        <v>0</v>
      </c>
      <c r="I739" s="3">
        <v>4.92</v>
      </c>
      <c r="J739" s="3">
        <f>Table1[[#This Row],[قيمة الفاتورة]]*0.94-Table1[[#This Row],[قيمة المشاركة]]</f>
        <v>4.6247999999999996</v>
      </c>
      <c r="K739">
        <v>4.1740000000000004</v>
      </c>
      <c r="L739" s="3">
        <f t="shared" si="11"/>
        <v>0.4507999999999992</v>
      </c>
      <c r="M739" t="s">
        <v>1398</v>
      </c>
      <c r="N739" t="s">
        <v>19</v>
      </c>
    </row>
    <row r="740" spans="1:14" x14ac:dyDescent="0.3">
      <c r="A740">
        <v>593</v>
      </c>
      <c r="B740" t="s">
        <v>1774</v>
      </c>
      <c r="C740" t="s">
        <v>1775</v>
      </c>
      <c r="D740" t="s">
        <v>1776</v>
      </c>
      <c r="E740" t="s">
        <v>23</v>
      </c>
      <c r="F740" t="s">
        <v>1762</v>
      </c>
      <c r="G740" s="3">
        <v>9.9600000000000009</v>
      </c>
      <c r="H740" s="3">
        <v>1.494</v>
      </c>
      <c r="I740" s="3">
        <v>8.4659999999999993</v>
      </c>
      <c r="J740" s="3">
        <f>Table1[[#This Row],[قيمة الفاتورة]]*0.94-Table1[[#This Row],[قيمة المشاركة]]</f>
        <v>7.8684000000000012</v>
      </c>
      <c r="K740">
        <v>7.1920000000000002</v>
      </c>
      <c r="L740" s="3">
        <f t="shared" si="11"/>
        <v>0.676400000000001</v>
      </c>
      <c r="M740" t="s">
        <v>1398</v>
      </c>
      <c r="N740" t="s">
        <v>19</v>
      </c>
    </row>
    <row r="741" spans="1:14" x14ac:dyDescent="0.3">
      <c r="A741">
        <v>145</v>
      </c>
      <c r="B741" t="s">
        <v>539</v>
      </c>
      <c r="C741" t="s">
        <v>906</v>
      </c>
      <c r="D741" t="s">
        <v>539</v>
      </c>
      <c r="E741" t="s">
        <v>17</v>
      </c>
      <c r="F741" t="s">
        <v>1762</v>
      </c>
      <c r="G741" s="3">
        <v>2.81</v>
      </c>
      <c r="H741" s="3">
        <v>0</v>
      </c>
      <c r="I741" s="3">
        <v>2.81</v>
      </c>
      <c r="J741" s="3">
        <f>Table1[[#This Row],[قيمة الفاتورة]]*0.94-Table1[[#This Row],[قيمة المشاركة]]</f>
        <v>2.6414</v>
      </c>
      <c r="L741" s="3" t="str">
        <f t="shared" si="11"/>
        <v/>
      </c>
      <c r="N741" t="s">
        <v>19</v>
      </c>
    </row>
    <row r="742" spans="1:14" x14ac:dyDescent="0.3">
      <c r="A742">
        <v>596</v>
      </c>
      <c r="B742" t="s">
        <v>581</v>
      </c>
      <c r="C742" t="s">
        <v>582</v>
      </c>
      <c r="D742" t="s">
        <v>1777</v>
      </c>
      <c r="E742" t="s">
        <v>17</v>
      </c>
      <c r="F742" t="s">
        <v>1778</v>
      </c>
      <c r="G742" s="3">
        <v>18.2</v>
      </c>
      <c r="H742" s="3">
        <v>0</v>
      </c>
      <c r="I742" s="3">
        <v>18.2</v>
      </c>
      <c r="J742" s="3">
        <f>Table1[[#This Row],[قيمة الفاتورة]]*0.94-Table1[[#This Row],[قيمة المشاركة]]</f>
        <v>17.107999999999997</v>
      </c>
      <c r="K742">
        <v>17.108000000000001</v>
      </c>
      <c r="L742" s="3">
        <f t="shared" si="11"/>
        <v>-3.5527136788005009E-15</v>
      </c>
      <c r="M742" t="s">
        <v>1398</v>
      </c>
      <c r="N742" t="s">
        <v>19</v>
      </c>
    </row>
    <row r="743" spans="1:14" x14ac:dyDescent="0.3">
      <c r="A743">
        <v>597</v>
      </c>
      <c r="B743" t="s">
        <v>1779</v>
      </c>
      <c r="C743" t="s">
        <v>663</v>
      </c>
      <c r="D743" t="s">
        <v>1780</v>
      </c>
      <c r="E743" t="s">
        <v>17</v>
      </c>
      <c r="F743" t="s">
        <v>1778</v>
      </c>
      <c r="G743" s="3">
        <v>25.5</v>
      </c>
      <c r="H743" s="3">
        <v>0</v>
      </c>
      <c r="I743" s="3">
        <v>25.5</v>
      </c>
      <c r="J743" s="3">
        <f>Table1[[#This Row],[قيمة الفاتورة]]*0.94-Table1[[#This Row],[قيمة المشاركة]]</f>
        <v>23.97</v>
      </c>
      <c r="K743">
        <v>23.97</v>
      </c>
      <c r="L743" s="3">
        <f t="shared" si="11"/>
        <v>0</v>
      </c>
      <c r="M743" t="s">
        <v>1398</v>
      </c>
      <c r="N743" t="s">
        <v>19</v>
      </c>
    </row>
    <row r="744" spans="1:14" x14ac:dyDescent="0.3">
      <c r="A744">
        <v>146</v>
      </c>
      <c r="B744" t="s">
        <v>774</v>
      </c>
      <c r="C744" t="s">
        <v>775</v>
      </c>
      <c r="D744" t="s">
        <v>539</v>
      </c>
      <c r="E744" t="s">
        <v>17</v>
      </c>
      <c r="F744" t="s">
        <v>1781</v>
      </c>
      <c r="G744" s="3">
        <v>14.97</v>
      </c>
      <c r="H744" s="3">
        <v>0</v>
      </c>
      <c r="I744" s="3">
        <v>14.97</v>
      </c>
      <c r="J744" s="3">
        <f>Table1[[#This Row],[قيمة الفاتورة]]*0.94-Table1[[#This Row],[قيمة المشاركة]]</f>
        <v>14.0718</v>
      </c>
      <c r="K744">
        <v>17.701000000000001</v>
      </c>
      <c r="L744" s="3">
        <f t="shared" si="11"/>
        <v>-3.6292000000000009</v>
      </c>
      <c r="M744" t="s">
        <v>1398</v>
      </c>
      <c r="N744" t="s">
        <v>19</v>
      </c>
    </row>
    <row r="745" spans="1:14" x14ac:dyDescent="0.3">
      <c r="A745">
        <v>599</v>
      </c>
      <c r="B745" t="s">
        <v>1782</v>
      </c>
      <c r="C745" t="s">
        <v>1783</v>
      </c>
      <c r="D745" t="s">
        <v>1784</v>
      </c>
      <c r="E745" t="s">
        <v>17</v>
      </c>
      <c r="F745" t="s">
        <v>1781</v>
      </c>
      <c r="G745" s="3">
        <v>6.42</v>
      </c>
      <c r="H745" s="3">
        <v>0</v>
      </c>
      <c r="I745" s="3">
        <v>6.42</v>
      </c>
      <c r="J745" s="3">
        <f>Table1[[#This Row],[قيمة الفاتورة]]*0.94-Table1[[#This Row],[قيمة المشاركة]]</f>
        <v>6.0347999999999997</v>
      </c>
      <c r="K745">
        <v>6.0350000000000001</v>
      </c>
      <c r="L745" s="3">
        <f t="shared" si="11"/>
        <v>-2.0000000000042206E-4</v>
      </c>
      <c r="M745" t="s">
        <v>1398</v>
      </c>
      <c r="N745" t="s">
        <v>19</v>
      </c>
    </row>
    <row r="746" spans="1:14" x14ac:dyDescent="0.3">
      <c r="A746">
        <v>600</v>
      </c>
      <c r="B746" t="s">
        <v>1785</v>
      </c>
      <c r="C746" t="s">
        <v>201</v>
      </c>
      <c r="D746" t="s">
        <v>1786</v>
      </c>
      <c r="E746" t="s">
        <v>17</v>
      </c>
      <c r="F746" t="s">
        <v>1781</v>
      </c>
      <c r="G746" s="3">
        <v>45.6</v>
      </c>
      <c r="H746" s="3">
        <v>0</v>
      </c>
      <c r="I746" s="3">
        <v>45.6</v>
      </c>
      <c r="J746" s="3">
        <f>Table1[[#This Row],[قيمة الفاتورة]]*0.94-Table1[[#This Row],[قيمة المشاركة]]</f>
        <v>42.863999999999997</v>
      </c>
      <c r="K746">
        <v>42.863999999999997</v>
      </c>
      <c r="L746" s="3">
        <f t="shared" si="11"/>
        <v>0</v>
      </c>
      <c r="M746" t="s">
        <v>1398</v>
      </c>
      <c r="N746" t="s">
        <v>19</v>
      </c>
    </row>
    <row r="747" spans="1:14" x14ac:dyDescent="0.3">
      <c r="A747">
        <v>598</v>
      </c>
      <c r="B747" t="s">
        <v>302</v>
      </c>
      <c r="C747" t="s">
        <v>303</v>
      </c>
      <c r="D747" t="s">
        <v>1787</v>
      </c>
      <c r="E747" t="s">
        <v>17</v>
      </c>
      <c r="F747" t="s">
        <v>1781</v>
      </c>
      <c r="G747" s="3">
        <v>50.95</v>
      </c>
      <c r="H747" s="3">
        <v>0</v>
      </c>
      <c r="I747" s="3">
        <v>50.95</v>
      </c>
      <c r="J747" s="3">
        <f>Table1[[#This Row],[قيمة الفاتورة]]*0.94-Table1[[#This Row],[قيمة المشاركة]]</f>
        <v>47.893000000000001</v>
      </c>
      <c r="K747">
        <v>47.893000000000001</v>
      </c>
      <c r="L747" s="3">
        <f t="shared" si="11"/>
        <v>0</v>
      </c>
      <c r="M747" t="s">
        <v>1398</v>
      </c>
      <c r="N747" t="s">
        <v>19</v>
      </c>
    </row>
    <row r="748" spans="1:14" x14ac:dyDescent="0.3">
      <c r="A748">
        <v>602</v>
      </c>
      <c r="B748" t="s">
        <v>581</v>
      </c>
      <c r="C748" t="s">
        <v>582</v>
      </c>
      <c r="D748" t="s">
        <v>1788</v>
      </c>
      <c r="E748" t="s">
        <v>23</v>
      </c>
      <c r="F748" t="s">
        <v>1789</v>
      </c>
      <c r="G748" s="3">
        <v>28.71</v>
      </c>
      <c r="H748" s="3">
        <v>0</v>
      </c>
      <c r="I748" s="3">
        <v>28.71</v>
      </c>
      <c r="J748" s="3">
        <f>Table1[[#This Row],[قيمة الفاتورة]]*0.94-Table1[[#This Row],[قيمة المشاركة]]</f>
        <v>26.987400000000001</v>
      </c>
      <c r="K748">
        <v>26.065999999999999</v>
      </c>
      <c r="L748" s="3">
        <f t="shared" si="11"/>
        <v>0.921400000000002</v>
      </c>
      <c r="M748" t="s">
        <v>1398</v>
      </c>
      <c r="N748" t="s">
        <v>19</v>
      </c>
    </row>
    <row r="749" spans="1:14" x14ac:dyDescent="0.3">
      <c r="A749">
        <v>601</v>
      </c>
      <c r="B749" t="s">
        <v>1565</v>
      </c>
      <c r="C749" t="s">
        <v>1566</v>
      </c>
      <c r="D749" t="s">
        <v>1790</v>
      </c>
      <c r="E749" t="s">
        <v>23</v>
      </c>
      <c r="F749" t="s">
        <v>1789</v>
      </c>
      <c r="G749" s="3">
        <v>37.299999999999997</v>
      </c>
      <c r="H749" s="3">
        <v>0</v>
      </c>
      <c r="I749" s="3">
        <v>37.299999999999997</v>
      </c>
      <c r="J749" s="3">
        <f>Table1[[#This Row],[قيمة الفاتورة]]*0.94-Table1[[#This Row],[قيمة المشاركة]]</f>
        <v>35.061999999999998</v>
      </c>
      <c r="K749">
        <v>34.046999999999997</v>
      </c>
      <c r="L749" s="3">
        <f t="shared" si="11"/>
        <v>1.0150000000000006</v>
      </c>
      <c r="M749" t="s">
        <v>1398</v>
      </c>
      <c r="N749" t="s">
        <v>19</v>
      </c>
    </row>
    <row r="750" spans="1:14" x14ac:dyDescent="0.3">
      <c r="A750">
        <v>605</v>
      </c>
      <c r="B750" t="s">
        <v>1791</v>
      </c>
      <c r="C750" t="s">
        <v>1792</v>
      </c>
      <c r="D750" t="s">
        <v>1793</v>
      </c>
      <c r="E750" t="s">
        <v>17</v>
      </c>
      <c r="F750" t="s">
        <v>1794</v>
      </c>
      <c r="G750" s="3">
        <v>23.71</v>
      </c>
      <c r="H750" s="3">
        <v>0</v>
      </c>
      <c r="I750" s="3">
        <v>23.71</v>
      </c>
      <c r="J750" s="3">
        <f>Table1[[#This Row],[قيمة الفاتورة]]*0.94-Table1[[#This Row],[قيمة المشاركة]]</f>
        <v>22.287399999999998</v>
      </c>
      <c r="K750">
        <v>22.286999999999999</v>
      </c>
      <c r="L750" s="3">
        <f t="shared" si="11"/>
        <v>3.9999999999906777E-4</v>
      </c>
      <c r="M750" t="s">
        <v>1398</v>
      </c>
      <c r="N750" t="s">
        <v>19</v>
      </c>
    </row>
    <row r="751" spans="1:14" x14ac:dyDescent="0.3">
      <c r="A751">
        <v>606</v>
      </c>
      <c r="B751" t="s">
        <v>127</v>
      </c>
      <c r="C751" t="s">
        <v>128</v>
      </c>
      <c r="D751" t="s">
        <v>1795</v>
      </c>
      <c r="E751" t="s">
        <v>23</v>
      </c>
      <c r="F751" t="s">
        <v>1794</v>
      </c>
      <c r="G751" s="3">
        <v>21.31</v>
      </c>
      <c r="H751" s="3">
        <v>2.1309999999999998</v>
      </c>
      <c r="I751" s="3">
        <v>19.178999999999998</v>
      </c>
      <c r="J751" s="3">
        <f>Table1[[#This Row],[قيمة الفاتورة]]*0.94-Table1[[#This Row],[قيمة المشاركة]]</f>
        <v>17.900399999999998</v>
      </c>
      <c r="K751">
        <v>17.899999999999999</v>
      </c>
      <c r="L751" s="3">
        <f t="shared" si="11"/>
        <v>3.9999999999906777E-4</v>
      </c>
      <c r="M751" t="s">
        <v>1796</v>
      </c>
      <c r="N751" t="s">
        <v>126</v>
      </c>
    </row>
    <row r="752" spans="1:14" x14ac:dyDescent="0.3">
      <c r="A752">
        <v>603</v>
      </c>
      <c r="B752" t="s">
        <v>1797</v>
      </c>
      <c r="C752" t="s">
        <v>1798</v>
      </c>
      <c r="D752" t="s">
        <v>1799</v>
      </c>
      <c r="E752" t="s">
        <v>23</v>
      </c>
      <c r="F752" t="s">
        <v>1794</v>
      </c>
      <c r="G752" s="3">
        <v>20.302</v>
      </c>
      <c r="H752" s="3">
        <v>0</v>
      </c>
      <c r="I752" s="3">
        <v>20.302</v>
      </c>
      <c r="J752" s="3">
        <f>Table1[[#This Row],[قيمة الفاتورة]]*0.94-Table1[[#This Row],[قيمة المشاركة]]</f>
        <v>19.083879999999997</v>
      </c>
      <c r="K752">
        <v>18.931999999999999</v>
      </c>
      <c r="L752" s="3">
        <f t="shared" si="11"/>
        <v>0.15187999999999846</v>
      </c>
      <c r="M752" t="s">
        <v>1398</v>
      </c>
      <c r="N752" t="s">
        <v>19</v>
      </c>
    </row>
    <row r="753" spans="1:14" x14ac:dyDescent="0.3">
      <c r="A753">
        <v>147</v>
      </c>
      <c r="B753" t="s">
        <v>1800</v>
      </c>
      <c r="C753" t="s">
        <v>1801</v>
      </c>
      <c r="D753" t="s">
        <v>1802</v>
      </c>
      <c r="E753" t="s">
        <v>23</v>
      </c>
      <c r="F753" t="s">
        <v>1794</v>
      </c>
      <c r="G753" s="3">
        <v>21.9</v>
      </c>
      <c r="H753" s="3">
        <v>3.2850000000000001</v>
      </c>
      <c r="I753" s="3">
        <v>18.614999999999998</v>
      </c>
      <c r="J753" s="3">
        <f>Table1[[#This Row],[قيمة الفاتورة]]*0.94-Table1[[#This Row],[قيمة المشاركة]]</f>
        <v>17.300999999999998</v>
      </c>
      <c r="K753">
        <v>16.690000000000001</v>
      </c>
      <c r="L753" s="3">
        <f t="shared" si="11"/>
        <v>0.6109999999999971</v>
      </c>
      <c r="M753" t="s">
        <v>1398</v>
      </c>
      <c r="N753" t="s">
        <v>19</v>
      </c>
    </row>
    <row r="754" spans="1:14" x14ac:dyDescent="0.3">
      <c r="A754">
        <v>604</v>
      </c>
      <c r="B754" t="s">
        <v>659</v>
      </c>
      <c r="C754" t="s">
        <v>660</v>
      </c>
      <c r="D754" t="s">
        <v>1803</v>
      </c>
      <c r="E754" t="s">
        <v>17</v>
      </c>
      <c r="F754" t="s">
        <v>1794</v>
      </c>
      <c r="G754" s="3">
        <v>48.63</v>
      </c>
      <c r="H754" s="3">
        <v>0</v>
      </c>
      <c r="I754" s="3">
        <v>48.63</v>
      </c>
      <c r="J754" s="3">
        <f>Table1[[#This Row],[قيمة الفاتورة]]*0.94-Table1[[#This Row],[قيمة المشاركة]]</f>
        <v>45.712200000000003</v>
      </c>
      <c r="K754">
        <v>44.8</v>
      </c>
      <c r="L754" s="3">
        <f t="shared" si="11"/>
        <v>0.91220000000000567</v>
      </c>
      <c r="M754" t="s">
        <v>1398</v>
      </c>
      <c r="N754" t="s">
        <v>19</v>
      </c>
    </row>
    <row r="755" spans="1:14" x14ac:dyDescent="0.3">
      <c r="A755">
        <v>608</v>
      </c>
      <c r="B755" t="s">
        <v>1380</v>
      </c>
      <c r="C755" t="s">
        <v>1381</v>
      </c>
      <c r="D755" t="s">
        <v>1804</v>
      </c>
      <c r="E755" t="s">
        <v>23</v>
      </c>
      <c r="F755" t="s">
        <v>1805</v>
      </c>
      <c r="G755" s="3">
        <v>58.55</v>
      </c>
      <c r="H755" s="3">
        <v>8.782</v>
      </c>
      <c r="I755" s="3">
        <v>49.768000000000001</v>
      </c>
      <c r="J755" s="3">
        <f>Table1[[#This Row],[قيمة الفاتورة]]*0.94-Table1[[#This Row],[قيمة المشاركة]]</f>
        <v>46.254999999999995</v>
      </c>
      <c r="K755">
        <v>49.180999999999997</v>
      </c>
      <c r="L755" s="3">
        <f t="shared" si="11"/>
        <v>-2.9260000000000019</v>
      </c>
      <c r="M755" t="s">
        <v>1806</v>
      </c>
      <c r="N755" t="s">
        <v>328</v>
      </c>
    </row>
    <row r="756" spans="1:14" x14ac:dyDescent="0.3">
      <c r="A756">
        <v>611</v>
      </c>
      <c r="B756" t="s">
        <v>49</v>
      </c>
      <c r="C756" t="s">
        <v>50</v>
      </c>
      <c r="D756" t="s">
        <v>1807</v>
      </c>
      <c r="E756" t="s">
        <v>17</v>
      </c>
      <c r="F756" t="s">
        <v>1805</v>
      </c>
      <c r="G756" s="3">
        <v>14.2</v>
      </c>
      <c r="H756" s="3">
        <v>0</v>
      </c>
      <c r="I756" s="3">
        <v>14.2</v>
      </c>
      <c r="J756" s="3">
        <f>Table1[[#This Row],[قيمة الفاتورة]]*0.94-Table1[[#This Row],[قيمة المشاركة]]</f>
        <v>13.347999999999999</v>
      </c>
      <c r="K756">
        <v>13.348000000000001</v>
      </c>
      <c r="L756" s="3">
        <f t="shared" si="11"/>
        <v>-1.7763568394002505E-15</v>
      </c>
      <c r="M756" t="s">
        <v>1398</v>
      </c>
      <c r="N756" t="s">
        <v>19</v>
      </c>
    </row>
    <row r="757" spans="1:14" x14ac:dyDescent="0.3">
      <c r="A757">
        <v>612</v>
      </c>
      <c r="B757" t="s">
        <v>1808</v>
      </c>
      <c r="C757" t="s">
        <v>430</v>
      </c>
      <c r="D757" t="s">
        <v>1809</v>
      </c>
      <c r="E757" t="s">
        <v>23</v>
      </c>
      <c r="F757" t="s">
        <v>1805</v>
      </c>
      <c r="G757" s="3">
        <v>19.55</v>
      </c>
      <c r="H757" s="3">
        <v>0</v>
      </c>
      <c r="I757" s="3">
        <v>19.55</v>
      </c>
      <c r="J757" s="3">
        <f>Table1[[#This Row],[قيمة الفاتورة]]*0.94-Table1[[#This Row],[قيمة المشاركة]]</f>
        <v>18.376999999999999</v>
      </c>
      <c r="K757">
        <v>18.376999999999999</v>
      </c>
      <c r="L757" s="3">
        <f t="shared" si="11"/>
        <v>0</v>
      </c>
      <c r="M757" t="s">
        <v>1398</v>
      </c>
      <c r="N757" t="s">
        <v>19</v>
      </c>
    </row>
    <row r="758" spans="1:14" x14ac:dyDescent="0.3">
      <c r="A758">
        <v>148</v>
      </c>
      <c r="B758" t="s">
        <v>1810</v>
      </c>
      <c r="C758" t="s">
        <v>1811</v>
      </c>
      <c r="D758" t="s">
        <v>1812</v>
      </c>
      <c r="E758" t="s">
        <v>23</v>
      </c>
      <c r="F758" t="s">
        <v>1805</v>
      </c>
      <c r="G758" s="3">
        <v>3.43</v>
      </c>
      <c r="H758" s="3">
        <v>0</v>
      </c>
      <c r="I758" s="3">
        <v>3.43</v>
      </c>
      <c r="J758" s="3">
        <f>Table1[[#This Row],[قيمة الفاتورة]]*0.94-Table1[[#This Row],[قيمة المشاركة]]</f>
        <v>3.2242000000000002</v>
      </c>
      <c r="K758">
        <v>3.2240000000000002</v>
      </c>
      <c r="L758" s="3">
        <f t="shared" si="11"/>
        <v>1.9999999999997797E-4</v>
      </c>
      <c r="M758" t="s">
        <v>1398</v>
      </c>
      <c r="N758" t="s">
        <v>19</v>
      </c>
    </row>
    <row r="759" spans="1:14" x14ac:dyDescent="0.3">
      <c r="A759">
        <v>613</v>
      </c>
      <c r="B759" t="s">
        <v>1791</v>
      </c>
      <c r="C759" t="s">
        <v>1792</v>
      </c>
      <c r="D759" t="s">
        <v>1813</v>
      </c>
      <c r="E759" t="s">
        <v>17</v>
      </c>
      <c r="F759" t="s">
        <v>1805</v>
      </c>
      <c r="G759" s="3">
        <v>26.78</v>
      </c>
      <c r="H759" s="3">
        <v>0</v>
      </c>
      <c r="I759" s="3">
        <v>26.78</v>
      </c>
      <c r="J759" s="3">
        <f>Table1[[#This Row],[قيمة الفاتورة]]*0.94-Table1[[#This Row],[قيمة المشاركة]]</f>
        <v>25.173200000000001</v>
      </c>
      <c r="K759">
        <v>25.172999999999998</v>
      </c>
      <c r="L759" s="3">
        <f t="shared" si="11"/>
        <v>2.000000000030866E-4</v>
      </c>
      <c r="M759" t="s">
        <v>1398</v>
      </c>
      <c r="N759" t="s">
        <v>19</v>
      </c>
    </row>
    <row r="760" spans="1:14" x14ac:dyDescent="0.3">
      <c r="A760">
        <v>610</v>
      </c>
      <c r="B760" t="s">
        <v>710</v>
      </c>
      <c r="C760" t="s">
        <v>1120</v>
      </c>
      <c r="D760" t="s">
        <v>1814</v>
      </c>
      <c r="E760" t="s">
        <v>23</v>
      </c>
      <c r="F760" t="s">
        <v>1805</v>
      </c>
      <c r="G760" s="3">
        <v>42.61</v>
      </c>
      <c r="H760" s="3">
        <v>4.2610000000000001</v>
      </c>
      <c r="I760" s="3">
        <v>38.348999999999997</v>
      </c>
      <c r="J760" s="3">
        <f>Table1[[#This Row],[قيمة الفاتورة]]*0.94-Table1[[#This Row],[قيمة المشاركة]]</f>
        <v>35.792399999999994</v>
      </c>
      <c r="K760">
        <v>35.792000000000002</v>
      </c>
      <c r="L760" s="3">
        <f t="shared" si="11"/>
        <v>3.9999999999196234E-4</v>
      </c>
      <c r="M760" t="s">
        <v>1806</v>
      </c>
      <c r="N760" t="s">
        <v>328</v>
      </c>
    </row>
    <row r="761" spans="1:14" x14ac:dyDescent="0.3">
      <c r="A761">
        <v>607</v>
      </c>
      <c r="B761" t="s">
        <v>1797</v>
      </c>
      <c r="C761" t="s">
        <v>1798</v>
      </c>
      <c r="D761" t="s">
        <v>1815</v>
      </c>
      <c r="E761" t="s">
        <v>17</v>
      </c>
      <c r="F761" t="s">
        <v>1805</v>
      </c>
      <c r="G761" s="3">
        <v>24.89</v>
      </c>
      <c r="H761" s="3">
        <v>0</v>
      </c>
      <c r="I761" s="3">
        <v>24.89</v>
      </c>
      <c r="J761" s="3">
        <f>Table1[[#This Row],[قيمة الفاتورة]]*0.94-Table1[[#This Row],[قيمة المشاركة]]</f>
        <v>23.396599999999999</v>
      </c>
      <c r="K761">
        <v>23.396000000000001</v>
      </c>
      <c r="L761" s="3">
        <f t="shared" si="11"/>
        <v>5.9999999999860165E-4</v>
      </c>
      <c r="M761" t="s">
        <v>1398</v>
      </c>
      <c r="N761" t="s">
        <v>19</v>
      </c>
    </row>
    <row r="762" spans="1:14" x14ac:dyDescent="0.3">
      <c r="A762">
        <v>609</v>
      </c>
      <c r="B762" t="s">
        <v>745</v>
      </c>
      <c r="C762" t="s">
        <v>1657</v>
      </c>
      <c r="D762" t="s">
        <v>1816</v>
      </c>
      <c r="E762" t="s">
        <v>23</v>
      </c>
      <c r="F762" t="s">
        <v>1805</v>
      </c>
      <c r="G762" s="3">
        <v>41.88</v>
      </c>
      <c r="H762" s="3">
        <v>4.1879999999999997</v>
      </c>
      <c r="I762" s="3">
        <v>37.692</v>
      </c>
      <c r="J762" s="3">
        <f>Table1[[#This Row],[قيمة الفاتورة]]*0.94-Table1[[#This Row],[قيمة المشاركة]]</f>
        <v>35.179199999999994</v>
      </c>
      <c r="K762">
        <v>32.182000000000002</v>
      </c>
      <c r="L762" s="3">
        <f t="shared" si="11"/>
        <v>2.9971999999999923</v>
      </c>
      <c r="M762" t="s">
        <v>1806</v>
      </c>
      <c r="N762" t="s">
        <v>328</v>
      </c>
    </row>
    <row r="763" spans="1:14" x14ac:dyDescent="0.3">
      <c r="A763">
        <v>615</v>
      </c>
      <c r="B763" t="s">
        <v>1094</v>
      </c>
      <c r="C763" t="s">
        <v>1817</v>
      </c>
      <c r="D763" t="s">
        <v>1818</v>
      </c>
      <c r="E763" t="s">
        <v>23</v>
      </c>
      <c r="F763" t="s">
        <v>1819</v>
      </c>
      <c r="G763" s="3">
        <v>14.68</v>
      </c>
      <c r="H763" s="3">
        <v>2.202</v>
      </c>
      <c r="I763" s="3">
        <v>12.478</v>
      </c>
      <c r="J763" s="3">
        <f>Table1[[#This Row],[قيمة الفاتورة]]*0.94-Table1[[#This Row],[قيمة المشاركة]]</f>
        <v>11.597199999999999</v>
      </c>
      <c r="K763">
        <v>11.598000000000001</v>
      </c>
      <c r="L763" s="3">
        <f t="shared" si="11"/>
        <v>-8.0000000000168825E-4</v>
      </c>
      <c r="M763" t="s">
        <v>1398</v>
      </c>
      <c r="N763" t="s">
        <v>19</v>
      </c>
    </row>
    <row r="764" spans="1:14" x14ac:dyDescent="0.3">
      <c r="A764">
        <v>616</v>
      </c>
      <c r="B764" t="s">
        <v>1820</v>
      </c>
      <c r="C764" t="s">
        <v>1821</v>
      </c>
      <c r="D764" t="s">
        <v>1822</v>
      </c>
      <c r="E764" t="s">
        <v>17</v>
      </c>
      <c r="F764" t="s">
        <v>1819</v>
      </c>
      <c r="G764" s="3">
        <v>27.51</v>
      </c>
      <c r="H764" s="3">
        <v>4.1260000000000003</v>
      </c>
      <c r="I764" s="3">
        <v>23.384</v>
      </c>
      <c r="J764" s="3">
        <f>Table1[[#This Row],[قيمة الفاتورة]]*0.94-Table1[[#This Row],[قيمة المشاركة]]</f>
        <v>21.7334</v>
      </c>
      <c r="K764">
        <v>21.731999999999999</v>
      </c>
      <c r="L764" s="3">
        <f t="shared" si="11"/>
        <v>1.4000000000002899E-3</v>
      </c>
      <c r="M764" t="s">
        <v>1398</v>
      </c>
      <c r="N764" t="s">
        <v>19</v>
      </c>
    </row>
    <row r="765" spans="1:14" x14ac:dyDescent="0.3">
      <c r="A765">
        <v>614</v>
      </c>
      <c r="B765" t="s">
        <v>1430</v>
      </c>
      <c r="C765" t="s">
        <v>1431</v>
      </c>
      <c r="D765" t="s">
        <v>1823</v>
      </c>
      <c r="E765" t="s">
        <v>17</v>
      </c>
      <c r="F765" t="s">
        <v>1819</v>
      </c>
      <c r="G765" s="3">
        <v>41.41</v>
      </c>
      <c r="H765" s="3">
        <v>8.282</v>
      </c>
      <c r="I765" s="3">
        <v>33.128</v>
      </c>
      <c r="J765" s="3">
        <f>Table1[[#This Row],[قيمة الفاتورة]]*0.94-Table1[[#This Row],[قيمة المشاركة]]</f>
        <v>30.643399999999996</v>
      </c>
      <c r="L765" s="3" t="str">
        <f t="shared" si="11"/>
        <v/>
      </c>
      <c r="N765" t="s">
        <v>328</v>
      </c>
    </row>
    <row r="766" spans="1:14" x14ac:dyDescent="0.3">
      <c r="A766">
        <v>618</v>
      </c>
      <c r="B766" t="s">
        <v>1824</v>
      </c>
      <c r="C766" t="s">
        <v>1825</v>
      </c>
      <c r="D766" t="s">
        <v>1826</v>
      </c>
      <c r="E766" t="s">
        <v>17</v>
      </c>
      <c r="F766" t="s">
        <v>1827</v>
      </c>
      <c r="G766" s="3">
        <v>19.7</v>
      </c>
      <c r="H766" s="3">
        <v>0</v>
      </c>
      <c r="I766" s="3">
        <v>19.7</v>
      </c>
      <c r="J766" s="3">
        <f>Table1[[#This Row],[قيمة الفاتورة]]*0.94-Table1[[#This Row],[قيمة المشاركة]]</f>
        <v>18.517999999999997</v>
      </c>
      <c r="K766">
        <v>18.724</v>
      </c>
      <c r="L766" s="3">
        <f t="shared" si="11"/>
        <v>-0.20600000000000307</v>
      </c>
      <c r="M766" t="s">
        <v>1398</v>
      </c>
      <c r="N766" t="s">
        <v>19</v>
      </c>
    </row>
    <row r="767" spans="1:14" x14ac:dyDescent="0.3">
      <c r="A767">
        <v>619</v>
      </c>
      <c r="B767" t="s">
        <v>75</v>
      </c>
      <c r="C767" t="s">
        <v>791</v>
      </c>
      <c r="D767" t="s">
        <v>1828</v>
      </c>
      <c r="E767" t="s">
        <v>23</v>
      </c>
      <c r="F767" t="s">
        <v>1827</v>
      </c>
      <c r="G767" s="3">
        <v>4.1500000000000004</v>
      </c>
      <c r="H767" s="3">
        <v>0</v>
      </c>
      <c r="I767" s="3">
        <v>4.1500000000000004</v>
      </c>
      <c r="J767" s="3">
        <f>Table1[[#This Row],[قيمة الفاتورة]]*0.94-Table1[[#This Row],[قيمة المشاركة]]</f>
        <v>3.9010000000000002</v>
      </c>
      <c r="K767">
        <v>3.9009999999999998</v>
      </c>
      <c r="L767" s="3">
        <f t="shared" si="11"/>
        <v>4.4408920985006262E-16</v>
      </c>
      <c r="M767" t="s">
        <v>1398</v>
      </c>
      <c r="N767" t="s">
        <v>19</v>
      </c>
    </row>
    <row r="768" spans="1:14" x14ac:dyDescent="0.3">
      <c r="A768">
        <v>620</v>
      </c>
      <c r="B768" t="s">
        <v>1559</v>
      </c>
      <c r="C768" t="s">
        <v>1560</v>
      </c>
      <c r="D768" t="s">
        <v>1829</v>
      </c>
      <c r="E768" t="s">
        <v>23</v>
      </c>
      <c r="F768" t="s">
        <v>1827</v>
      </c>
      <c r="G768" s="3">
        <v>5.98</v>
      </c>
      <c r="H768" s="3">
        <v>0</v>
      </c>
      <c r="I768" s="3">
        <v>5.98</v>
      </c>
      <c r="J768" s="3">
        <f>Table1[[#This Row],[قيمة الفاتورة]]*0.94-Table1[[#This Row],[قيمة المشاركة]]</f>
        <v>5.6212</v>
      </c>
      <c r="K768">
        <v>5.6210000000000004</v>
      </c>
      <c r="L768" s="3">
        <f t="shared" si="11"/>
        <v>1.9999999999953388E-4</v>
      </c>
      <c r="M768" t="s">
        <v>1398</v>
      </c>
      <c r="N768" t="s">
        <v>19</v>
      </c>
    </row>
    <row r="769" spans="1:14" x14ac:dyDescent="0.3">
      <c r="A769">
        <v>617</v>
      </c>
      <c r="B769" t="s">
        <v>75</v>
      </c>
      <c r="C769" t="s">
        <v>791</v>
      </c>
      <c r="D769" t="s">
        <v>1830</v>
      </c>
      <c r="E769" t="s">
        <v>17</v>
      </c>
      <c r="F769" t="s">
        <v>1827</v>
      </c>
      <c r="G769" s="3">
        <v>5.9660000000000002</v>
      </c>
      <c r="H769" s="3">
        <v>0</v>
      </c>
      <c r="I769" s="3">
        <v>5.9660000000000002</v>
      </c>
      <c r="J769" s="3">
        <f>Table1[[#This Row],[قيمة الفاتورة]]*0.94-Table1[[#This Row],[قيمة المشاركة]]</f>
        <v>5.6080399999999999</v>
      </c>
      <c r="K769">
        <v>5.4109999999999996</v>
      </c>
      <c r="L769" s="3">
        <f t="shared" si="11"/>
        <v>0.19704000000000033</v>
      </c>
      <c r="M769" t="s">
        <v>1398</v>
      </c>
      <c r="N769" t="s">
        <v>19</v>
      </c>
    </row>
    <row r="770" spans="1:14" x14ac:dyDescent="0.3">
      <c r="A770">
        <v>621</v>
      </c>
      <c r="B770" t="s">
        <v>1831</v>
      </c>
      <c r="C770" t="s">
        <v>1832</v>
      </c>
      <c r="D770" t="s">
        <v>1833</v>
      </c>
      <c r="E770" t="s">
        <v>23</v>
      </c>
      <c r="F770" t="s">
        <v>1834</v>
      </c>
      <c r="G770" s="3">
        <v>19.940000000000001</v>
      </c>
      <c r="H770" s="3">
        <v>0</v>
      </c>
      <c r="I770" s="3">
        <v>19.940000000000001</v>
      </c>
      <c r="J770" s="3">
        <f>Table1[[#This Row],[قيمة الفاتورة]]*0.94-Table1[[#This Row],[قيمة المشاركة]]</f>
        <v>18.743600000000001</v>
      </c>
      <c r="K770">
        <v>18.978999999999999</v>
      </c>
      <c r="L770" s="3">
        <f t="shared" ref="L770:L833" si="12">IF(ISNUMBER(K770), J770-K770, "")</f>
        <v>-0.2353999999999985</v>
      </c>
      <c r="M770" t="s">
        <v>1398</v>
      </c>
      <c r="N770" t="s">
        <v>19</v>
      </c>
    </row>
    <row r="771" spans="1:14" x14ac:dyDescent="0.3">
      <c r="A771">
        <v>622</v>
      </c>
      <c r="B771" t="s">
        <v>1835</v>
      </c>
      <c r="C771" t="s">
        <v>1836</v>
      </c>
      <c r="D771" t="s">
        <v>1837</v>
      </c>
      <c r="E771" t="s">
        <v>17</v>
      </c>
      <c r="F771" t="s">
        <v>1834</v>
      </c>
      <c r="G771" s="3">
        <v>25.33</v>
      </c>
      <c r="H771" s="3">
        <v>0</v>
      </c>
      <c r="I771" s="3">
        <v>25.33</v>
      </c>
      <c r="J771" s="3">
        <f>Table1[[#This Row],[قيمة الفاتورة]]*0.94-Table1[[#This Row],[قيمة المشاركة]]</f>
        <v>23.810199999999998</v>
      </c>
      <c r="K771">
        <v>23.81</v>
      </c>
      <c r="L771" s="3">
        <f t="shared" si="12"/>
        <v>1.9999999999953388E-4</v>
      </c>
      <c r="M771" t="s">
        <v>1398</v>
      </c>
      <c r="N771" t="s">
        <v>19</v>
      </c>
    </row>
    <row r="772" spans="1:14" x14ac:dyDescent="0.3">
      <c r="A772">
        <v>623</v>
      </c>
      <c r="B772" t="s">
        <v>1207</v>
      </c>
      <c r="C772" t="s">
        <v>1208</v>
      </c>
      <c r="D772" t="s">
        <v>1838</v>
      </c>
      <c r="E772" t="s">
        <v>17</v>
      </c>
      <c r="F772" t="s">
        <v>1834</v>
      </c>
      <c r="G772" s="3">
        <v>19.61</v>
      </c>
      <c r="H772" s="3">
        <v>0</v>
      </c>
      <c r="I772" s="3">
        <v>19.61</v>
      </c>
      <c r="J772" s="3">
        <f>Table1[[#This Row],[قيمة الفاتورة]]*0.94-Table1[[#This Row],[قيمة المشاركة]]</f>
        <v>18.433399999999999</v>
      </c>
      <c r="K772">
        <v>18.302</v>
      </c>
      <c r="L772" s="3">
        <f t="shared" si="12"/>
        <v>0.1313999999999993</v>
      </c>
      <c r="M772" t="s">
        <v>1398</v>
      </c>
      <c r="N772" t="s">
        <v>19</v>
      </c>
    </row>
    <row r="773" spans="1:14" x14ac:dyDescent="0.3">
      <c r="A773">
        <v>624</v>
      </c>
      <c r="B773" t="s">
        <v>166</v>
      </c>
      <c r="C773" t="s">
        <v>167</v>
      </c>
      <c r="D773" t="s">
        <v>1839</v>
      </c>
      <c r="E773" t="s">
        <v>17</v>
      </c>
      <c r="F773" t="s">
        <v>1840</v>
      </c>
      <c r="G773" s="3">
        <v>8.25</v>
      </c>
      <c r="H773" s="3">
        <v>0</v>
      </c>
      <c r="I773" s="3">
        <v>8.25</v>
      </c>
      <c r="J773" s="3">
        <f>Table1[[#This Row],[قيمة الفاتورة]]*0.94-Table1[[#This Row],[قيمة المشاركة]]</f>
        <v>7.7549999999999999</v>
      </c>
      <c r="K773">
        <v>7.7549999999999999</v>
      </c>
      <c r="L773" s="3">
        <f t="shared" si="12"/>
        <v>0</v>
      </c>
      <c r="M773" t="s">
        <v>1398</v>
      </c>
      <c r="N773" t="s">
        <v>19</v>
      </c>
    </row>
    <row r="774" spans="1:14" x14ac:dyDescent="0.3">
      <c r="A774">
        <v>149</v>
      </c>
      <c r="B774" t="s">
        <v>1841</v>
      </c>
      <c r="C774" t="s">
        <v>1842</v>
      </c>
      <c r="D774" t="s">
        <v>1843</v>
      </c>
      <c r="E774" t="s">
        <v>23</v>
      </c>
      <c r="F774" t="s">
        <v>1844</v>
      </c>
      <c r="G774" s="3">
        <v>1.82</v>
      </c>
      <c r="H774" s="3">
        <v>0</v>
      </c>
      <c r="I774" s="3">
        <v>1.82</v>
      </c>
      <c r="J774" s="3">
        <f>Table1[[#This Row],[قيمة الفاتورة]]*0.94-Table1[[#This Row],[قيمة المشاركة]]</f>
        <v>1.7107999999999999</v>
      </c>
      <c r="K774">
        <v>1.7110000000000001</v>
      </c>
      <c r="L774" s="3">
        <f t="shared" si="12"/>
        <v>-2.0000000000020002E-4</v>
      </c>
      <c r="M774" t="s">
        <v>1398</v>
      </c>
      <c r="N774" t="s">
        <v>19</v>
      </c>
    </row>
    <row r="775" spans="1:14" x14ac:dyDescent="0.3">
      <c r="A775">
        <v>150</v>
      </c>
      <c r="B775" t="s">
        <v>1841</v>
      </c>
      <c r="C775" t="s">
        <v>1842</v>
      </c>
      <c r="D775" t="s">
        <v>1845</v>
      </c>
      <c r="E775" t="s">
        <v>23</v>
      </c>
      <c r="F775" t="s">
        <v>1844</v>
      </c>
      <c r="G775" s="3">
        <v>32.15</v>
      </c>
      <c r="H775" s="3">
        <v>0</v>
      </c>
      <c r="I775" s="3">
        <v>32.15</v>
      </c>
      <c r="J775" s="3">
        <f>Table1[[#This Row],[قيمة الفاتورة]]*0.94-Table1[[#This Row],[قيمة المشاركة]]</f>
        <v>30.220999999999997</v>
      </c>
      <c r="K775">
        <v>29.271000000000001</v>
      </c>
      <c r="L775" s="3">
        <f t="shared" si="12"/>
        <v>0.94999999999999574</v>
      </c>
      <c r="M775" t="s">
        <v>1398</v>
      </c>
      <c r="N775" t="s">
        <v>19</v>
      </c>
    </row>
    <row r="776" spans="1:14" x14ac:dyDescent="0.3">
      <c r="A776">
        <v>625</v>
      </c>
      <c r="B776" t="s">
        <v>1846</v>
      </c>
      <c r="C776" t="s">
        <v>1847</v>
      </c>
      <c r="D776" t="s">
        <v>1848</v>
      </c>
      <c r="E776" t="s">
        <v>17</v>
      </c>
      <c r="F776" t="s">
        <v>1849</v>
      </c>
      <c r="G776" s="3">
        <v>8.26</v>
      </c>
      <c r="H776" s="3">
        <v>0</v>
      </c>
      <c r="I776" s="3">
        <v>8.26</v>
      </c>
      <c r="J776" s="3">
        <f>Table1[[#This Row],[قيمة الفاتورة]]*0.94-Table1[[#This Row],[قيمة المشاركة]]</f>
        <v>7.7643999999999993</v>
      </c>
      <c r="K776">
        <v>7.7649999999999997</v>
      </c>
      <c r="L776" s="3">
        <f t="shared" si="12"/>
        <v>-6.0000000000037801E-4</v>
      </c>
      <c r="M776" t="s">
        <v>1398</v>
      </c>
      <c r="N776" t="s">
        <v>19</v>
      </c>
    </row>
    <row r="777" spans="1:14" x14ac:dyDescent="0.3">
      <c r="A777">
        <v>626</v>
      </c>
      <c r="B777" t="s">
        <v>1546</v>
      </c>
      <c r="C777" t="s">
        <v>1850</v>
      </c>
      <c r="D777" t="s">
        <v>539</v>
      </c>
      <c r="E777" t="s">
        <v>23</v>
      </c>
      <c r="F777" t="s">
        <v>1849</v>
      </c>
      <c r="G777" s="3">
        <v>26.73</v>
      </c>
      <c r="H777" s="3">
        <v>0</v>
      </c>
      <c r="I777" s="3">
        <v>26.73</v>
      </c>
      <c r="J777" s="3">
        <f>Table1[[#This Row],[قيمة الفاتورة]]*0.94-Table1[[#This Row],[قيمة المشاركة]]</f>
        <v>25.126199999999997</v>
      </c>
      <c r="K777">
        <v>25.117000000000001</v>
      </c>
      <c r="L777" s="3">
        <f t="shared" si="12"/>
        <v>9.1999999999963222E-3</v>
      </c>
      <c r="M777" t="s">
        <v>1398</v>
      </c>
      <c r="N777" t="s">
        <v>19</v>
      </c>
    </row>
    <row r="778" spans="1:14" x14ac:dyDescent="0.3">
      <c r="A778">
        <v>627</v>
      </c>
      <c r="B778" t="s">
        <v>1067</v>
      </c>
      <c r="C778" t="s">
        <v>1851</v>
      </c>
      <c r="D778" t="s">
        <v>1852</v>
      </c>
      <c r="E778" t="s">
        <v>23</v>
      </c>
      <c r="F778" t="s">
        <v>1853</v>
      </c>
      <c r="G778" s="3">
        <v>26.13</v>
      </c>
      <c r="H778" s="3">
        <v>0</v>
      </c>
      <c r="I778" s="3">
        <v>26.13</v>
      </c>
      <c r="J778" s="3">
        <f>Table1[[#This Row],[قيمة الفاتورة]]*0.94-Table1[[#This Row],[قيمة المشاركة]]</f>
        <v>24.562199999999997</v>
      </c>
      <c r="K778">
        <v>25.483000000000001</v>
      </c>
      <c r="L778" s="3">
        <f t="shared" si="12"/>
        <v>-0.92080000000000339</v>
      </c>
      <c r="M778" t="s">
        <v>1398</v>
      </c>
      <c r="N778" t="s">
        <v>19</v>
      </c>
    </row>
    <row r="779" spans="1:14" x14ac:dyDescent="0.3">
      <c r="A779">
        <v>152</v>
      </c>
      <c r="B779" t="s">
        <v>216</v>
      </c>
      <c r="C779" t="s">
        <v>217</v>
      </c>
      <c r="D779" t="s">
        <v>1854</v>
      </c>
      <c r="E779" t="s">
        <v>17</v>
      </c>
      <c r="F779" t="s">
        <v>1853</v>
      </c>
      <c r="G779" s="3">
        <v>8.6829999999999998</v>
      </c>
      <c r="H779" s="3">
        <v>0</v>
      </c>
      <c r="I779" s="3">
        <v>8.6829999999999998</v>
      </c>
      <c r="J779" s="3">
        <f>Table1[[#This Row],[قيمة الفاتورة]]*0.94-Table1[[#This Row],[قيمة المشاركة]]</f>
        <v>8.1620200000000001</v>
      </c>
      <c r="K779">
        <v>8.5350000000000001</v>
      </c>
      <c r="L779" s="3">
        <f t="shared" si="12"/>
        <v>-0.37298000000000009</v>
      </c>
      <c r="M779" t="s">
        <v>1398</v>
      </c>
      <c r="N779" t="s">
        <v>19</v>
      </c>
    </row>
    <row r="780" spans="1:14" x14ac:dyDescent="0.3">
      <c r="A780">
        <v>629</v>
      </c>
      <c r="B780" t="s">
        <v>1594</v>
      </c>
      <c r="C780" t="s">
        <v>1595</v>
      </c>
      <c r="D780" t="s">
        <v>1855</v>
      </c>
      <c r="E780" t="s">
        <v>17</v>
      </c>
      <c r="F780" t="s">
        <v>1853</v>
      </c>
      <c r="G780" s="3">
        <v>9.43</v>
      </c>
      <c r="H780" s="3">
        <v>0</v>
      </c>
      <c r="I780" s="3">
        <v>9.43</v>
      </c>
      <c r="J780" s="3">
        <f>Table1[[#This Row],[قيمة الفاتورة]]*0.94-Table1[[#This Row],[قيمة المشاركة]]</f>
        <v>8.8641999999999985</v>
      </c>
      <c r="K780">
        <v>8.8640000000000008</v>
      </c>
      <c r="L780" s="3">
        <f t="shared" si="12"/>
        <v>1.9999999999775753E-4</v>
      </c>
      <c r="M780" t="s">
        <v>1398</v>
      </c>
      <c r="N780" t="s">
        <v>19</v>
      </c>
    </row>
    <row r="781" spans="1:14" x14ac:dyDescent="0.3">
      <c r="A781">
        <v>151</v>
      </c>
      <c r="B781" t="s">
        <v>1572</v>
      </c>
      <c r="C781" t="s">
        <v>614</v>
      </c>
      <c r="D781" t="s">
        <v>1856</v>
      </c>
      <c r="E781" t="s">
        <v>17</v>
      </c>
      <c r="F781" t="s">
        <v>1853</v>
      </c>
      <c r="G781" s="3">
        <v>7.09</v>
      </c>
      <c r="H781" s="3">
        <v>0</v>
      </c>
      <c r="I781" s="3">
        <v>7.09</v>
      </c>
      <c r="J781" s="3">
        <f>Table1[[#This Row],[قيمة الفاتورة]]*0.94-Table1[[#This Row],[قيمة المشاركة]]</f>
        <v>6.6645999999999992</v>
      </c>
      <c r="K781">
        <v>6.6639999999999997</v>
      </c>
      <c r="L781" s="3">
        <f t="shared" si="12"/>
        <v>5.9999999999948983E-4</v>
      </c>
      <c r="M781" t="s">
        <v>1398</v>
      </c>
      <c r="N781" t="s">
        <v>19</v>
      </c>
    </row>
    <row r="782" spans="1:14" x14ac:dyDescent="0.3">
      <c r="A782">
        <v>628</v>
      </c>
      <c r="B782" t="s">
        <v>216</v>
      </c>
      <c r="C782" t="s">
        <v>217</v>
      </c>
      <c r="D782" t="s">
        <v>1857</v>
      </c>
      <c r="E782" t="s">
        <v>17</v>
      </c>
      <c r="F782" t="s">
        <v>1853</v>
      </c>
      <c r="G782" s="3">
        <v>29.07</v>
      </c>
      <c r="H782" s="3">
        <v>0</v>
      </c>
      <c r="I782" s="3">
        <v>29.07</v>
      </c>
      <c r="J782" s="3">
        <f>Table1[[#This Row],[قيمة الفاتورة]]*0.94-Table1[[#This Row],[قيمة المشاركة]]</f>
        <v>27.325799999999997</v>
      </c>
      <c r="K782">
        <v>27.324999999999999</v>
      </c>
      <c r="L782" s="3">
        <f t="shared" si="12"/>
        <v>7.9999999999813554E-4</v>
      </c>
      <c r="M782" t="s">
        <v>1398</v>
      </c>
      <c r="N782" t="s">
        <v>19</v>
      </c>
    </row>
    <row r="783" spans="1:14" x14ac:dyDescent="0.3">
      <c r="A783">
        <v>634</v>
      </c>
      <c r="B783" t="s">
        <v>360</v>
      </c>
      <c r="C783" t="s">
        <v>361</v>
      </c>
      <c r="D783" t="s">
        <v>1858</v>
      </c>
      <c r="E783" t="s">
        <v>17</v>
      </c>
      <c r="F783" t="s">
        <v>1859</v>
      </c>
      <c r="G783" s="3">
        <v>4.67</v>
      </c>
      <c r="H783" s="3">
        <v>0</v>
      </c>
      <c r="I783" s="3">
        <v>4.67</v>
      </c>
      <c r="J783" s="3">
        <f>Table1[[#This Row],[قيمة الفاتورة]]*0.94-Table1[[#This Row],[قيمة المشاركة]]</f>
        <v>4.3897999999999993</v>
      </c>
      <c r="K783">
        <v>4.3899999999999997</v>
      </c>
      <c r="L783" s="3">
        <f t="shared" si="12"/>
        <v>-2.0000000000042206E-4</v>
      </c>
      <c r="M783" t="s">
        <v>1398</v>
      </c>
      <c r="N783" t="s">
        <v>19</v>
      </c>
    </row>
    <row r="784" spans="1:14" x14ac:dyDescent="0.3">
      <c r="A784">
        <v>632</v>
      </c>
      <c r="B784" t="s">
        <v>308</v>
      </c>
      <c r="C784" t="s">
        <v>309</v>
      </c>
      <c r="D784" t="s">
        <v>1860</v>
      </c>
      <c r="E784" t="s">
        <v>23</v>
      </c>
      <c r="F784" t="s">
        <v>1859</v>
      </c>
      <c r="G784" s="3">
        <v>6.02</v>
      </c>
      <c r="H784" s="3">
        <v>0</v>
      </c>
      <c r="I784" s="3">
        <v>6.02</v>
      </c>
      <c r="J784" s="3">
        <f>Table1[[#This Row],[قيمة الفاتورة]]*0.94-Table1[[#This Row],[قيمة المشاركة]]</f>
        <v>5.6587999999999994</v>
      </c>
      <c r="K784">
        <v>5.6589999999999998</v>
      </c>
      <c r="L784" s="3">
        <f t="shared" si="12"/>
        <v>-2.0000000000042206E-4</v>
      </c>
      <c r="M784" t="s">
        <v>1398</v>
      </c>
      <c r="N784" t="s">
        <v>19</v>
      </c>
    </row>
    <row r="785" spans="1:14" x14ac:dyDescent="0.3">
      <c r="A785">
        <v>153</v>
      </c>
      <c r="B785" t="s">
        <v>948</v>
      </c>
      <c r="C785" t="s">
        <v>949</v>
      </c>
      <c r="D785" t="s">
        <v>1861</v>
      </c>
      <c r="E785" t="s">
        <v>17</v>
      </c>
      <c r="F785" t="s">
        <v>1859</v>
      </c>
      <c r="G785" s="3">
        <v>0.75</v>
      </c>
      <c r="H785" s="3">
        <v>0</v>
      </c>
      <c r="I785" s="3">
        <v>0.75</v>
      </c>
      <c r="J785" s="3">
        <f>Table1[[#This Row],[قيمة الفاتورة]]*0.94-Table1[[#This Row],[قيمة المشاركة]]</f>
        <v>0.70499999999999996</v>
      </c>
      <c r="K785">
        <v>0.70499999999999996</v>
      </c>
      <c r="L785" s="3">
        <f t="shared" si="12"/>
        <v>0</v>
      </c>
      <c r="M785" t="s">
        <v>1398</v>
      </c>
      <c r="N785" t="s">
        <v>19</v>
      </c>
    </row>
    <row r="786" spans="1:14" x14ac:dyDescent="0.3">
      <c r="A786">
        <v>630</v>
      </c>
      <c r="B786" t="s">
        <v>854</v>
      </c>
      <c r="C786" t="s">
        <v>855</v>
      </c>
      <c r="D786" t="s">
        <v>1862</v>
      </c>
      <c r="E786" t="s">
        <v>23</v>
      </c>
      <c r="F786" t="s">
        <v>1859</v>
      </c>
      <c r="G786" s="3">
        <v>23.18</v>
      </c>
      <c r="H786" s="3">
        <v>0</v>
      </c>
      <c r="I786" s="3">
        <v>23.18</v>
      </c>
      <c r="J786" s="3">
        <f>Table1[[#This Row],[قيمة الفاتورة]]*0.94-Table1[[#This Row],[قيمة المشاركة]]</f>
        <v>21.789199999999997</v>
      </c>
      <c r="K786">
        <v>21.789000000000001</v>
      </c>
      <c r="L786" s="3">
        <f t="shared" si="12"/>
        <v>1.9999999999598117E-4</v>
      </c>
      <c r="M786" t="s">
        <v>1398</v>
      </c>
      <c r="N786" t="s">
        <v>19</v>
      </c>
    </row>
    <row r="787" spans="1:14" x14ac:dyDescent="0.3">
      <c r="A787">
        <v>154</v>
      </c>
      <c r="B787" t="s">
        <v>477</v>
      </c>
      <c r="C787" t="s">
        <v>1863</v>
      </c>
      <c r="D787" t="s">
        <v>1864</v>
      </c>
      <c r="E787" t="s">
        <v>23</v>
      </c>
      <c r="F787" t="s">
        <v>1859</v>
      </c>
      <c r="G787" s="3">
        <v>18.48</v>
      </c>
      <c r="H787" s="3">
        <v>0</v>
      </c>
      <c r="I787" s="3">
        <v>18.48</v>
      </c>
      <c r="J787" s="3">
        <f>Table1[[#This Row],[قيمة الفاتورة]]*0.94-Table1[[#This Row],[قيمة المشاركة]]</f>
        <v>17.371199999999998</v>
      </c>
      <c r="K787">
        <v>17.370999999999999</v>
      </c>
      <c r="L787" s="3">
        <f t="shared" si="12"/>
        <v>1.9999999999953388E-4</v>
      </c>
      <c r="M787" t="s">
        <v>1398</v>
      </c>
      <c r="N787" t="s">
        <v>19</v>
      </c>
    </row>
    <row r="788" spans="1:14" x14ac:dyDescent="0.3">
      <c r="A788">
        <v>631</v>
      </c>
      <c r="B788" t="s">
        <v>656</v>
      </c>
      <c r="C788" t="s">
        <v>1715</v>
      </c>
      <c r="D788" t="s">
        <v>1865</v>
      </c>
      <c r="E788" t="s">
        <v>23</v>
      </c>
      <c r="F788" t="s">
        <v>1859</v>
      </c>
      <c r="G788" s="3">
        <v>39.42</v>
      </c>
      <c r="H788" s="3">
        <v>0</v>
      </c>
      <c r="I788" s="3">
        <v>39.42</v>
      </c>
      <c r="J788" s="3">
        <f>Table1[[#This Row],[قيمة الفاتورة]]*0.94-Table1[[#This Row],[قيمة المشاركة]]</f>
        <v>37.0548</v>
      </c>
      <c r="K788">
        <v>37.043999999999997</v>
      </c>
      <c r="L788" s="3">
        <f t="shared" si="12"/>
        <v>1.0800000000003251E-2</v>
      </c>
      <c r="M788" t="s">
        <v>1398</v>
      </c>
      <c r="N788" t="s">
        <v>19</v>
      </c>
    </row>
    <row r="789" spans="1:14" x14ac:dyDescent="0.3">
      <c r="A789">
        <v>633</v>
      </c>
      <c r="B789" t="s">
        <v>1627</v>
      </c>
      <c r="C789" t="s">
        <v>1628</v>
      </c>
      <c r="D789" t="s">
        <v>1866</v>
      </c>
      <c r="E789" t="s">
        <v>17</v>
      </c>
      <c r="F789" t="s">
        <v>1859</v>
      </c>
      <c r="G789" s="3">
        <v>22.593</v>
      </c>
      <c r="H789" s="3">
        <v>0</v>
      </c>
      <c r="I789" s="3">
        <v>22.593</v>
      </c>
      <c r="J789" s="3">
        <f>Table1[[#This Row],[قيمة الفاتورة]]*0.94-Table1[[#This Row],[قيمة المشاركة]]</f>
        <v>21.23742</v>
      </c>
      <c r="K789">
        <v>20.896000000000001</v>
      </c>
      <c r="L789" s="3">
        <f t="shared" si="12"/>
        <v>0.34141999999999939</v>
      </c>
      <c r="M789" t="s">
        <v>1398</v>
      </c>
      <c r="N789" t="s">
        <v>19</v>
      </c>
    </row>
    <row r="790" spans="1:14" x14ac:dyDescent="0.3">
      <c r="A790">
        <v>637</v>
      </c>
      <c r="B790" t="s">
        <v>1846</v>
      </c>
      <c r="C790" t="s">
        <v>1867</v>
      </c>
      <c r="D790" t="s">
        <v>1868</v>
      </c>
      <c r="E790" t="s">
        <v>17</v>
      </c>
      <c r="F790" t="s">
        <v>1869</v>
      </c>
      <c r="G790" s="3">
        <v>15.6</v>
      </c>
      <c r="H790" s="3">
        <v>0</v>
      </c>
      <c r="I790" s="3">
        <v>15.6</v>
      </c>
      <c r="J790" s="3">
        <f>Table1[[#This Row],[قيمة الفاتورة]]*0.94-Table1[[#This Row],[قيمة المشاركة]]</f>
        <v>14.664</v>
      </c>
      <c r="K790">
        <v>14.664</v>
      </c>
      <c r="L790" s="3">
        <f t="shared" si="12"/>
        <v>0</v>
      </c>
      <c r="M790" t="s">
        <v>1398</v>
      </c>
      <c r="N790" t="s">
        <v>19</v>
      </c>
    </row>
    <row r="791" spans="1:14" x14ac:dyDescent="0.3">
      <c r="A791">
        <v>636</v>
      </c>
      <c r="B791" t="s">
        <v>812</v>
      </c>
      <c r="C791" t="s">
        <v>167</v>
      </c>
      <c r="D791" t="s">
        <v>1870</v>
      </c>
      <c r="E791" t="s">
        <v>23</v>
      </c>
      <c r="F791" t="s">
        <v>1869</v>
      </c>
      <c r="G791" s="3">
        <v>14.58</v>
      </c>
      <c r="H791" s="3">
        <v>0</v>
      </c>
      <c r="I791" s="3">
        <v>14.58</v>
      </c>
      <c r="J791" s="3">
        <f>Table1[[#This Row],[قيمة الفاتورة]]*0.94-Table1[[#This Row],[قيمة المشاركة]]</f>
        <v>13.7052</v>
      </c>
      <c r="K791">
        <v>13.705</v>
      </c>
      <c r="L791" s="3">
        <f t="shared" si="12"/>
        <v>1.9999999999953388E-4</v>
      </c>
      <c r="M791" t="s">
        <v>1398</v>
      </c>
      <c r="N791" t="s">
        <v>19</v>
      </c>
    </row>
    <row r="792" spans="1:14" x14ac:dyDescent="0.3">
      <c r="A792">
        <v>635</v>
      </c>
      <c r="B792" t="s">
        <v>1871</v>
      </c>
      <c r="C792" t="s">
        <v>1872</v>
      </c>
      <c r="D792" t="s">
        <v>1873</v>
      </c>
      <c r="E792" t="s">
        <v>17</v>
      </c>
      <c r="F792" t="s">
        <v>1869</v>
      </c>
      <c r="G792" s="3">
        <v>24.83</v>
      </c>
      <c r="H792" s="3">
        <v>0</v>
      </c>
      <c r="I792" s="3">
        <v>24.83</v>
      </c>
      <c r="J792" s="3">
        <f>Table1[[#This Row],[قيمة الفاتورة]]*0.94-Table1[[#This Row],[قيمة المشاركة]]</f>
        <v>23.340199999999996</v>
      </c>
      <c r="L792" s="3" t="str">
        <f t="shared" si="12"/>
        <v/>
      </c>
      <c r="N792" t="s">
        <v>19</v>
      </c>
    </row>
    <row r="793" spans="1:14" x14ac:dyDescent="0.3">
      <c r="A793">
        <v>642</v>
      </c>
      <c r="B793" t="s">
        <v>85</v>
      </c>
      <c r="C793" t="s">
        <v>1874</v>
      </c>
      <c r="D793" t="s">
        <v>1875</v>
      </c>
      <c r="E793" t="s">
        <v>23</v>
      </c>
      <c r="F793" t="s">
        <v>1876</v>
      </c>
      <c r="G793" s="3">
        <v>7.98</v>
      </c>
      <c r="H793" s="3">
        <v>0</v>
      </c>
      <c r="I793" s="3">
        <v>7.98</v>
      </c>
      <c r="J793" s="3">
        <f>Table1[[#This Row],[قيمة الفاتورة]]*0.94-Table1[[#This Row],[قيمة المشاركة]]</f>
        <v>7.5011999999999999</v>
      </c>
      <c r="K793">
        <v>7.5010000000000003</v>
      </c>
      <c r="L793" s="3">
        <f t="shared" si="12"/>
        <v>1.9999999999953388E-4</v>
      </c>
      <c r="M793" t="s">
        <v>1398</v>
      </c>
      <c r="N793" t="s">
        <v>19</v>
      </c>
    </row>
    <row r="794" spans="1:14" x14ac:dyDescent="0.3">
      <c r="A794">
        <v>155</v>
      </c>
      <c r="B794" t="s">
        <v>1877</v>
      </c>
      <c r="C794" t="s">
        <v>1878</v>
      </c>
      <c r="D794" t="s">
        <v>1879</v>
      </c>
      <c r="E794" t="s">
        <v>17</v>
      </c>
      <c r="F794" t="s">
        <v>1876</v>
      </c>
      <c r="G794" s="3">
        <v>9.81</v>
      </c>
      <c r="H794" s="3">
        <v>0</v>
      </c>
      <c r="I794" s="3">
        <v>9.81</v>
      </c>
      <c r="J794" s="3">
        <f>Table1[[#This Row],[قيمة الفاتورة]]*0.94-Table1[[#This Row],[قيمة المشاركة]]</f>
        <v>9.2213999999999992</v>
      </c>
      <c r="K794">
        <v>9.2210000000000001</v>
      </c>
      <c r="L794" s="3">
        <f t="shared" si="12"/>
        <v>3.9999999999906777E-4</v>
      </c>
      <c r="M794" t="s">
        <v>1398</v>
      </c>
      <c r="N794" t="s">
        <v>19</v>
      </c>
    </row>
    <row r="795" spans="1:14" x14ac:dyDescent="0.3">
      <c r="A795">
        <v>638</v>
      </c>
      <c r="B795" t="s">
        <v>774</v>
      </c>
      <c r="C795" t="s">
        <v>775</v>
      </c>
      <c r="D795" t="s">
        <v>1880</v>
      </c>
      <c r="E795" t="s">
        <v>17</v>
      </c>
      <c r="F795" t="s">
        <v>1876</v>
      </c>
      <c r="G795" s="3">
        <v>28.09</v>
      </c>
      <c r="H795" s="3">
        <v>0</v>
      </c>
      <c r="I795" s="3">
        <v>28.09</v>
      </c>
      <c r="J795" s="3">
        <f>Table1[[#This Row],[قيمة الفاتورة]]*0.94-Table1[[#This Row],[قيمة المشاركة]]</f>
        <v>26.404599999999999</v>
      </c>
      <c r="K795">
        <v>25.484000000000002</v>
      </c>
      <c r="L795" s="3">
        <f t="shared" si="12"/>
        <v>0.92059999999999675</v>
      </c>
      <c r="M795" t="s">
        <v>1398</v>
      </c>
      <c r="N795" t="s">
        <v>19</v>
      </c>
    </row>
    <row r="796" spans="1:14" x14ac:dyDescent="0.3">
      <c r="A796">
        <v>641</v>
      </c>
      <c r="B796" t="s">
        <v>243</v>
      </c>
      <c r="C796" t="s">
        <v>244</v>
      </c>
      <c r="D796" t="s">
        <v>1881</v>
      </c>
      <c r="E796" t="s">
        <v>17</v>
      </c>
      <c r="F796" t="s">
        <v>1876</v>
      </c>
      <c r="G796" s="3">
        <v>13.57</v>
      </c>
      <c r="H796" s="3">
        <v>0</v>
      </c>
      <c r="I796" s="3">
        <v>13.57</v>
      </c>
      <c r="J796" s="3">
        <f>Table1[[#This Row],[قيمة الفاتورة]]*0.94-Table1[[#This Row],[قيمة المشاركة]]</f>
        <v>12.755799999999999</v>
      </c>
      <c r="K796">
        <v>11.618</v>
      </c>
      <c r="L796" s="3">
        <f t="shared" si="12"/>
        <v>1.1377999999999986</v>
      </c>
      <c r="M796" t="s">
        <v>1398</v>
      </c>
      <c r="N796" t="s">
        <v>19</v>
      </c>
    </row>
    <row r="797" spans="1:14" x14ac:dyDescent="0.3">
      <c r="A797">
        <v>639</v>
      </c>
      <c r="B797" t="s">
        <v>1882</v>
      </c>
      <c r="C797" t="s">
        <v>1883</v>
      </c>
      <c r="D797" t="s">
        <v>1884</v>
      </c>
      <c r="E797" t="s">
        <v>17</v>
      </c>
      <c r="F797" t="s">
        <v>1876</v>
      </c>
      <c r="G797" s="3">
        <v>21.59</v>
      </c>
      <c r="H797" s="3">
        <v>0</v>
      </c>
      <c r="I797" s="3">
        <v>21.59</v>
      </c>
      <c r="J797" s="3">
        <f>Table1[[#This Row],[قيمة الفاتورة]]*0.94-Table1[[#This Row],[قيمة المشاركة]]</f>
        <v>20.294599999999999</v>
      </c>
      <c r="K797">
        <v>18.414000000000001</v>
      </c>
      <c r="L797" s="3">
        <f t="shared" si="12"/>
        <v>1.8805999999999976</v>
      </c>
      <c r="M797" t="s">
        <v>1398</v>
      </c>
      <c r="N797" t="s">
        <v>19</v>
      </c>
    </row>
    <row r="798" spans="1:14" x14ac:dyDescent="0.3">
      <c r="A798">
        <v>640</v>
      </c>
      <c r="B798" t="s">
        <v>1885</v>
      </c>
      <c r="C798" t="s">
        <v>1825</v>
      </c>
      <c r="D798" t="s">
        <v>1886</v>
      </c>
      <c r="E798" t="s">
        <v>17</v>
      </c>
      <c r="F798" t="s">
        <v>1876</v>
      </c>
      <c r="G798" s="3">
        <v>21.31</v>
      </c>
      <c r="H798" s="3">
        <v>0</v>
      </c>
      <c r="I798" s="3">
        <v>21.31</v>
      </c>
      <c r="J798" s="3">
        <f>Table1[[#This Row],[قيمة الفاتورة]]*0.94-Table1[[#This Row],[قيمة المشاركة]]</f>
        <v>20.031399999999998</v>
      </c>
      <c r="K798">
        <v>16.834</v>
      </c>
      <c r="L798" s="3">
        <f t="shared" si="12"/>
        <v>3.1973999999999982</v>
      </c>
      <c r="M798" t="s">
        <v>1398</v>
      </c>
      <c r="N798" t="s">
        <v>19</v>
      </c>
    </row>
    <row r="799" spans="1:14" x14ac:dyDescent="0.3">
      <c r="A799">
        <v>644</v>
      </c>
      <c r="B799" t="s">
        <v>234</v>
      </c>
      <c r="C799" t="s">
        <v>235</v>
      </c>
      <c r="D799" t="s">
        <v>1887</v>
      </c>
      <c r="E799" t="s">
        <v>17</v>
      </c>
      <c r="F799" t="s">
        <v>1888</v>
      </c>
      <c r="G799" s="3">
        <v>24.84</v>
      </c>
      <c r="H799" s="3">
        <v>0</v>
      </c>
      <c r="I799" s="3">
        <v>24.84</v>
      </c>
      <c r="J799" s="3">
        <f>Table1[[#This Row],[قيمة الفاتورة]]*0.94-Table1[[#This Row],[قيمة المشاركة]]</f>
        <v>23.349599999999999</v>
      </c>
      <c r="K799">
        <v>23.349</v>
      </c>
      <c r="L799" s="3">
        <f t="shared" si="12"/>
        <v>5.9999999999860165E-4</v>
      </c>
      <c r="M799" t="s">
        <v>1398</v>
      </c>
      <c r="N799" t="s">
        <v>19</v>
      </c>
    </row>
    <row r="800" spans="1:14" x14ac:dyDescent="0.3">
      <c r="A800">
        <v>643</v>
      </c>
      <c r="B800" t="s">
        <v>1797</v>
      </c>
      <c r="C800" t="s">
        <v>1798</v>
      </c>
      <c r="D800" t="s">
        <v>1889</v>
      </c>
      <c r="E800" t="s">
        <v>23</v>
      </c>
      <c r="F800" t="s">
        <v>1888</v>
      </c>
      <c r="G800" s="3">
        <v>21.6</v>
      </c>
      <c r="H800" s="3">
        <v>0</v>
      </c>
      <c r="I800" s="3">
        <v>21.6</v>
      </c>
      <c r="J800" s="3">
        <f>Table1[[#This Row],[قيمة الفاتورة]]*0.94-Table1[[#This Row],[قيمة المشاركة]]</f>
        <v>20.303999999999998</v>
      </c>
      <c r="K800">
        <v>18.978999999999999</v>
      </c>
      <c r="L800" s="3">
        <f t="shared" si="12"/>
        <v>1.3249999999999993</v>
      </c>
      <c r="M800" t="s">
        <v>1398</v>
      </c>
      <c r="N800" t="s">
        <v>19</v>
      </c>
    </row>
    <row r="801" spans="1:14" x14ac:dyDescent="0.3">
      <c r="A801">
        <v>645</v>
      </c>
      <c r="B801" t="s">
        <v>85</v>
      </c>
      <c r="C801" t="s">
        <v>86</v>
      </c>
      <c r="D801" t="s">
        <v>1890</v>
      </c>
      <c r="E801" t="s">
        <v>17</v>
      </c>
      <c r="F801" t="s">
        <v>1891</v>
      </c>
      <c r="G801" s="3">
        <v>13.475</v>
      </c>
      <c r="H801" s="3">
        <v>0</v>
      </c>
      <c r="I801" s="3">
        <v>13.475</v>
      </c>
      <c r="J801" s="3">
        <f>Table1[[#This Row],[قيمة الفاتورة]]*0.94-Table1[[#This Row],[قيمة المشاركة]]</f>
        <v>12.666499999999999</v>
      </c>
      <c r="K801">
        <v>12.737</v>
      </c>
      <c r="L801" s="3">
        <f t="shared" si="12"/>
        <v>-7.0500000000000895E-2</v>
      </c>
      <c r="M801" t="s">
        <v>1398</v>
      </c>
      <c r="N801" t="s">
        <v>19</v>
      </c>
    </row>
    <row r="802" spans="1:14" x14ac:dyDescent="0.3">
      <c r="A802">
        <v>646</v>
      </c>
      <c r="B802" t="s">
        <v>1892</v>
      </c>
      <c r="C802" t="s">
        <v>1893</v>
      </c>
      <c r="D802" t="s">
        <v>1894</v>
      </c>
      <c r="E802" t="s">
        <v>23</v>
      </c>
      <c r="F802" t="s">
        <v>1891</v>
      </c>
      <c r="G802" s="3">
        <v>30.57</v>
      </c>
      <c r="H802" s="3">
        <v>6.1139999999999999</v>
      </c>
      <c r="I802" s="3">
        <v>24.456</v>
      </c>
      <c r="J802" s="3">
        <f>Table1[[#This Row],[قيمة الفاتورة]]*0.94-Table1[[#This Row],[قيمة المشاركة]]</f>
        <v>22.621799999999997</v>
      </c>
      <c r="L802" s="3" t="str">
        <f t="shared" si="12"/>
        <v/>
      </c>
      <c r="N802" t="s">
        <v>328</v>
      </c>
    </row>
    <row r="803" spans="1:14" x14ac:dyDescent="0.3">
      <c r="A803">
        <v>156</v>
      </c>
      <c r="B803" t="s">
        <v>1742</v>
      </c>
      <c r="C803" t="s">
        <v>1743</v>
      </c>
      <c r="D803" t="s">
        <v>1895</v>
      </c>
      <c r="E803" t="s">
        <v>17</v>
      </c>
      <c r="F803" t="s">
        <v>1896</v>
      </c>
      <c r="G803" s="3">
        <v>19.440000000000001</v>
      </c>
      <c r="H803" s="3">
        <v>2.9159999999999999</v>
      </c>
      <c r="I803" s="3">
        <v>16.524000000000001</v>
      </c>
      <c r="J803" s="3">
        <f>Table1[[#This Row],[قيمة الفاتورة]]*0.94-Table1[[#This Row],[قيمة المشاركة]]</f>
        <v>15.357600000000001</v>
      </c>
      <c r="K803">
        <v>16.541</v>
      </c>
      <c r="L803" s="3">
        <f t="shared" si="12"/>
        <v>-1.1833999999999989</v>
      </c>
      <c r="M803" t="s">
        <v>1398</v>
      </c>
      <c r="N803" t="s">
        <v>19</v>
      </c>
    </row>
    <row r="804" spans="1:14" x14ac:dyDescent="0.3">
      <c r="A804">
        <v>647</v>
      </c>
      <c r="B804" t="s">
        <v>1721</v>
      </c>
      <c r="C804" t="s">
        <v>1722</v>
      </c>
      <c r="D804" t="s">
        <v>1897</v>
      </c>
      <c r="E804" t="s">
        <v>17</v>
      </c>
      <c r="F804" t="s">
        <v>1896</v>
      </c>
      <c r="G804" s="3">
        <v>13.09</v>
      </c>
      <c r="H804" s="3">
        <v>0</v>
      </c>
      <c r="I804" s="3">
        <v>13.09</v>
      </c>
      <c r="J804" s="3">
        <f>Table1[[#This Row],[قيمة الفاتورة]]*0.94-Table1[[#This Row],[قيمة المشاركة]]</f>
        <v>12.304599999999999</v>
      </c>
      <c r="K804">
        <v>12.305</v>
      </c>
      <c r="L804" s="3">
        <f t="shared" si="12"/>
        <v>-4.0000000000084412E-4</v>
      </c>
      <c r="M804" t="s">
        <v>1398</v>
      </c>
      <c r="N804" t="s">
        <v>19</v>
      </c>
    </row>
    <row r="805" spans="1:14" x14ac:dyDescent="0.3">
      <c r="A805">
        <v>648</v>
      </c>
      <c r="B805" t="s">
        <v>85</v>
      </c>
      <c r="C805" t="s">
        <v>86</v>
      </c>
      <c r="D805" t="s">
        <v>1898</v>
      </c>
      <c r="E805" t="s">
        <v>17</v>
      </c>
      <c r="F805" t="s">
        <v>1896</v>
      </c>
      <c r="G805" s="3">
        <v>11.43</v>
      </c>
      <c r="H805" s="3">
        <v>0</v>
      </c>
      <c r="I805" s="3">
        <v>11.43</v>
      </c>
      <c r="J805" s="3">
        <f>Table1[[#This Row],[قيمة الفاتورة]]*0.94-Table1[[#This Row],[قيمة المشاركة]]</f>
        <v>10.744199999999999</v>
      </c>
      <c r="K805">
        <v>10.744</v>
      </c>
      <c r="L805" s="3">
        <f t="shared" si="12"/>
        <v>1.9999999999953388E-4</v>
      </c>
      <c r="M805" t="s">
        <v>1398</v>
      </c>
      <c r="N805" t="s">
        <v>19</v>
      </c>
    </row>
    <row r="806" spans="1:14" x14ac:dyDescent="0.3">
      <c r="A806">
        <v>649</v>
      </c>
      <c r="B806" t="s">
        <v>1774</v>
      </c>
      <c r="C806" t="s">
        <v>1775</v>
      </c>
      <c r="D806" t="s">
        <v>1899</v>
      </c>
      <c r="E806" t="s">
        <v>23</v>
      </c>
      <c r="F806" t="s">
        <v>1896</v>
      </c>
      <c r="G806" s="3">
        <v>4.59</v>
      </c>
      <c r="H806" s="3">
        <v>0.68799999999999994</v>
      </c>
      <c r="I806" s="3">
        <v>3.9020000000000001</v>
      </c>
      <c r="J806" s="3">
        <f>Table1[[#This Row],[قيمة الفاتورة]]*0.94-Table1[[#This Row],[قيمة المشاركة]]</f>
        <v>3.6265999999999998</v>
      </c>
      <c r="K806">
        <v>3.625</v>
      </c>
      <c r="L806" s="3">
        <f t="shared" si="12"/>
        <v>1.5999999999998238E-3</v>
      </c>
      <c r="M806" t="s">
        <v>1398</v>
      </c>
      <c r="N806" t="s">
        <v>19</v>
      </c>
    </row>
    <row r="807" spans="1:14" x14ac:dyDescent="0.3">
      <c r="A807">
        <v>157</v>
      </c>
      <c r="B807" t="s">
        <v>1742</v>
      </c>
      <c r="C807" t="s">
        <v>1900</v>
      </c>
      <c r="D807" t="s">
        <v>1901</v>
      </c>
      <c r="E807" t="s">
        <v>17</v>
      </c>
      <c r="F807" t="s">
        <v>1896</v>
      </c>
      <c r="G807" s="3">
        <v>1.5</v>
      </c>
      <c r="H807" s="3">
        <v>0.22500000000000001</v>
      </c>
      <c r="I807" s="3">
        <v>1.2749999999999999</v>
      </c>
      <c r="J807" s="3">
        <f>Table1[[#This Row],[قيمة الفاتورة]]*0.94-Table1[[#This Row],[قيمة المشاركة]]</f>
        <v>1.1849999999999998</v>
      </c>
      <c r="L807" s="3" t="str">
        <f t="shared" si="12"/>
        <v/>
      </c>
      <c r="N807" t="s">
        <v>19</v>
      </c>
    </row>
    <row r="808" spans="1:14" x14ac:dyDescent="0.3">
      <c r="A808">
        <v>158</v>
      </c>
      <c r="B808" t="s">
        <v>578</v>
      </c>
      <c r="C808" t="s">
        <v>579</v>
      </c>
      <c r="D808" t="s">
        <v>1902</v>
      </c>
      <c r="E808" t="s">
        <v>17</v>
      </c>
      <c r="F808" t="s">
        <v>1903</v>
      </c>
      <c r="G808" s="3">
        <v>5.42</v>
      </c>
      <c r="H808" s="3">
        <v>0</v>
      </c>
      <c r="I808" s="3">
        <v>5.42</v>
      </c>
      <c r="J808" s="3">
        <f>Table1[[#This Row],[قيمة الفاتورة]]*0.94-Table1[[#This Row],[قيمة المشاركة]]</f>
        <v>5.0947999999999993</v>
      </c>
      <c r="K808">
        <v>5.0949999999999998</v>
      </c>
      <c r="L808" s="3">
        <f t="shared" si="12"/>
        <v>-2.0000000000042206E-4</v>
      </c>
      <c r="M808" t="s">
        <v>1398</v>
      </c>
      <c r="N808" t="s">
        <v>19</v>
      </c>
    </row>
    <row r="809" spans="1:14" x14ac:dyDescent="0.3">
      <c r="A809">
        <v>650</v>
      </c>
      <c r="B809" t="s">
        <v>578</v>
      </c>
      <c r="C809" t="s">
        <v>1309</v>
      </c>
      <c r="D809" t="s">
        <v>1902</v>
      </c>
      <c r="E809" t="s">
        <v>17</v>
      </c>
      <c r="F809" t="s">
        <v>1903</v>
      </c>
      <c r="G809" s="3">
        <v>7.38</v>
      </c>
      <c r="H809" s="3">
        <v>0</v>
      </c>
      <c r="I809" s="3">
        <v>7.38</v>
      </c>
      <c r="J809" s="3">
        <f>Table1[[#This Row],[قيمة الفاتورة]]*0.94-Table1[[#This Row],[قيمة المشاركة]]</f>
        <v>6.9371999999999998</v>
      </c>
      <c r="K809">
        <v>6.9370000000000003</v>
      </c>
      <c r="L809" s="3">
        <f t="shared" si="12"/>
        <v>1.9999999999953388E-4</v>
      </c>
      <c r="M809" t="s">
        <v>1398</v>
      </c>
      <c r="N809" t="s">
        <v>19</v>
      </c>
    </row>
    <row r="810" spans="1:14" x14ac:dyDescent="0.3">
      <c r="A810">
        <v>652</v>
      </c>
      <c r="B810" t="s">
        <v>720</v>
      </c>
      <c r="C810" t="s">
        <v>1904</v>
      </c>
      <c r="D810" t="s">
        <v>1905</v>
      </c>
      <c r="E810" t="s">
        <v>17</v>
      </c>
      <c r="F810" t="s">
        <v>1903</v>
      </c>
      <c r="G810" s="3">
        <v>32.159999999999997</v>
      </c>
      <c r="H810" s="3">
        <v>0</v>
      </c>
      <c r="I810" s="3">
        <v>32.159999999999997</v>
      </c>
      <c r="J810" s="3">
        <f>Table1[[#This Row],[قيمة الفاتورة]]*0.94-Table1[[#This Row],[قيمة المشاركة]]</f>
        <v>30.230399999999996</v>
      </c>
      <c r="K810">
        <v>30.23</v>
      </c>
      <c r="L810" s="3">
        <f t="shared" si="12"/>
        <v>3.9999999999551505E-4</v>
      </c>
      <c r="M810" t="s">
        <v>1398</v>
      </c>
      <c r="N810" t="s">
        <v>19</v>
      </c>
    </row>
    <row r="811" spans="1:14" x14ac:dyDescent="0.3">
      <c r="A811">
        <v>653</v>
      </c>
      <c r="B811" t="s">
        <v>98</v>
      </c>
      <c r="C811" t="s">
        <v>99</v>
      </c>
      <c r="D811" t="s">
        <v>1906</v>
      </c>
      <c r="E811" t="s">
        <v>17</v>
      </c>
      <c r="F811" t="s">
        <v>1903</v>
      </c>
      <c r="G811" s="3">
        <v>14.55</v>
      </c>
      <c r="H811" s="3">
        <v>0</v>
      </c>
      <c r="I811" s="3">
        <v>14.55</v>
      </c>
      <c r="J811" s="3">
        <f>Table1[[#This Row],[قيمة الفاتورة]]*0.94-Table1[[#This Row],[قيمة المشاركة]]</f>
        <v>13.677</v>
      </c>
      <c r="K811">
        <v>13.385</v>
      </c>
      <c r="L811" s="3">
        <f t="shared" si="12"/>
        <v>0.29199999999999982</v>
      </c>
      <c r="M811" t="s">
        <v>1398</v>
      </c>
      <c r="N811" t="s">
        <v>19</v>
      </c>
    </row>
    <row r="812" spans="1:14" x14ac:dyDescent="0.3">
      <c r="A812">
        <v>651</v>
      </c>
      <c r="B812" t="s">
        <v>1051</v>
      </c>
      <c r="C812" t="s">
        <v>377</v>
      </c>
      <c r="D812" t="s">
        <v>1907</v>
      </c>
      <c r="E812" t="s">
        <v>17</v>
      </c>
      <c r="F812" t="s">
        <v>1903</v>
      </c>
      <c r="G812" s="3">
        <v>14.73</v>
      </c>
      <c r="H812" s="3">
        <v>0</v>
      </c>
      <c r="I812" s="3">
        <v>14.73</v>
      </c>
      <c r="J812" s="3">
        <f>Table1[[#This Row],[قيمة الفاتورة]]*0.94-Table1[[#This Row],[قيمة المشاركة]]</f>
        <v>13.8462</v>
      </c>
      <c r="K812">
        <v>13.489000000000001</v>
      </c>
      <c r="L812" s="3">
        <f t="shared" si="12"/>
        <v>0.35719999999999885</v>
      </c>
      <c r="M812" t="s">
        <v>1398</v>
      </c>
      <c r="N812" t="s">
        <v>19</v>
      </c>
    </row>
    <row r="813" spans="1:14" x14ac:dyDescent="0.3">
      <c r="A813">
        <v>654</v>
      </c>
      <c r="B813" t="s">
        <v>1908</v>
      </c>
      <c r="C813" t="s">
        <v>1909</v>
      </c>
      <c r="D813" t="s">
        <v>1910</v>
      </c>
      <c r="E813" t="s">
        <v>17</v>
      </c>
      <c r="F813" t="s">
        <v>1911</v>
      </c>
      <c r="G813" s="3">
        <v>12.47</v>
      </c>
      <c r="H813" s="3">
        <v>0</v>
      </c>
      <c r="I813" s="3">
        <v>12.47</v>
      </c>
      <c r="J813" s="3">
        <f>Table1[[#This Row],[قيمة الفاتورة]]*0.94-Table1[[#This Row],[قيمة المشاركة]]</f>
        <v>11.7218</v>
      </c>
      <c r="K813">
        <v>11.722</v>
      </c>
      <c r="L813" s="3">
        <f t="shared" si="12"/>
        <v>-1.9999999999953388E-4</v>
      </c>
      <c r="M813" t="s">
        <v>1398</v>
      </c>
      <c r="N813" t="s">
        <v>19</v>
      </c>
    </row>
    <row r="814" spans="1:14" x14ac:dyDescent="0.3">
      <c r="A814">
        <v>655</v>
      </c>
      <c r="B814" t="s">
        <v>474</v>
      </c>
      <c r="C814" t="s">
        <v>573</v>
      </c>
      <c r="D814" t="s">
        <v>1912</v>
      </c>
      <c r="E814" t="s">
        <v>17</v>
      </c>
      <c r="F814" t="s">
        <v>1911</v>
      </c>
      <c r="G814" s="3">
        <v>25.51</v>
      </c>
      <c r="H814" s="3">
        <v>0</v>
      </c>
      <c r="I814" s="3">
        <v>25.51</v>
      </c>
      <c r="J814" s="3">
        <f>Table1[[#This Row],[قيمة الفاتورة]]*0.94-Table1[[#This Row],[قيمة المشاركة]]</f>
        <v>23.979400000000002</v>
      </c>
      <c r="K814">
        <v>22.803999999999998</v>
      </c>
      <c r="L814" s="3">
        <f t="shared" si="12"/>
        <v>1.1754000000000033</v>
      </c>
      <c r="M814" t="s">
        <v>1398</v>
      </c>
      <c r="N814" t="s">
        <v>19</v>
      </c>
    </row>
    <row r="815" spans="1:14" x14ac:dyDescent="0.3">
      <c r="A815">
        <v>660</v>
      </c>
      <c r="B815" t="s">
        <v>379</v>
      </c>
      <c r="C815" t="s">
        <v>380</v>
      </c>
      <c r="D815" t="s">
        <v>1913</v>
      </c>
      <c r="E815" t="s">
        <v>17</v>
      </c>
      <c r="F815" t="s">
        <v>1914</v>
      </c>
      <c r="G815" s="3">
        <v>14.196</v>
      </c>
      <c r="H815" s="3">
        <v>0</v>
      </c>
      <c r="I815" s="3">
        <v>14.196</v>
      </c>
      <c r="J815" s="3">
        <f>Table1[[#This Row],[قيمة الفاتورة]]*0.94-Table1[[#This Row],[قيمة المشاركة]]</f>
        <v>13.344239999999999</v>
      </c>
      <c r="K815">
        <v>15.058999999999999</v>
      </c>
      <c r="L815" s="3">
        <f t="shared" si="12"/>
        <v>-1.7147600000000001</v>
      </c>
      <c r="M815" t="s">
        <v>1398</v>
      </c>
      <c r="N815" t="s">
        <v>19</v>
      </c>
    </row>
    <row r="816" spans="1:14" x14ac:dyDescent="0.3">
      <c r="A816">
        <v>661</v>
      </c>
      <c r="B816" t="s">
        <v>1915</v>
      </c>
      <c r="C816" t="s">
        <v>1916</v>
      </c>
      <c r="D816" t="s">
        <v>1917</v>
      </c>
      <c r="E816" t="s">
        <v>23</v>
      </c>
      <c r="F816" t="s">
        <v>1914</v>
      </c>
      <c r="G816" s="3">
        <v>6.35</v>
      </c>
      <c r="H816" s="3">
        <v>0.95199999999999996</v>
      </c>
      <c r="I816" s="3">
        <v>5.3979999999999997</v>
      </c>
      <c r="J816" s="3">
        <f>Table1[[#This Row],[قيمة الفاتورة]]*0.94-Table1[[#This Row],[قيمة المشاركة]]</f>
        <v>5.0169999999999995</v>
      </c>
      <c r="K816">
        <v>5.04</v>
      </c>
      <c r="L816" s="3">
        <f t="shared" si="12"/>
        <v>-2.3000000000000576E-2</v>
      </c>
      <c r="M816" t="s">
        <v>1398</v>
      </c>
      <c r="N816" t="s">
        <v>19</v>
      </c>
    </row>
    <row r="817" spans="1:14" x14ac:dyDescent="0.3">
      <c r="A817">
        <v>656</v>
      </c>
      <c r="B817" t="s">
        <v>1174</v>
      </c>
      <c r="C817" t="s">
        <v>405</v>
      </c>
      <c r="D817" t="s">
        <v>1918</v>
      </c>
      <c r="E817" t="s">
        <v>17</v>
      </c>
      <c r="F817" t="s">
        <v>1914</v>
      </c>
      <c r="G817" s="3">
        <v>18.72</v>
      </c>
      <c r="H817" s="3">
        <v>0</v>
      </c>
      <c r="I817" s="3">
        <v>18.72</v>
      </c>
      <c r="J817" s="3">
        <f>Table1[[#This Row],[قيمة الفاتورة]]*0.94-Table1[[#This Row],[قيمة المشاركة]]</f>
        <v>17.596799999999998</v>
      </c>
      <c r="K817">
        <v>17.597000000000001</v>
      </c>
      <c r="L817" s="3">
        <f t="shared" si="12"/>
        <v>-2.000000000030866E-4</v>
      </c>
      <c r="M817" t="s">
        <v>1398</v>
      </c>
      <c r="N817" t="s">
        <v>19</v>
      </c>
    </row>
    <row r="818" spans="1:14" x14ac:dyDescent="0.3">
      <c r="A818">
        <v>659</v>
      </c>
      <c r="B818" t="s">
        <v>369</v>
      </c>
      <c r="C818" t="s">
        <v>370</v>
      </c>
      <c r="D818" t="s">
        <v>1919</v>
      </c>
      <c r="E818" t="s">
        <v>17</v>
      </c>
      <c r="F818" t="s">
        <v>1914</v>
      </c>
      <c r="G818" s="3">
        <v>16.95</v>
      </c>
      <c r="H818" s="3">
        <v>0</v>
      </c>
      <c r="I818" s="3">
        <v>16.95</v>
      </c>
      <c r="J818" s="3">
        <f>Table1[[#This Row],[قيمة الفاتورة]]*0.94-Table1[[#This Row],[قيمة المشاركة]]</f>
        <v>15.932999999999998</v>
      </c>
      <c r="K818">
        <v>15.933</v>
      </c>
      <c r="L818" s="3">
        <f t="shared" si="12"/>
        <v>-1.7763568394002505E-15</v>
      </c>
      <c r="M818" t="s">
        <v>1398</v>
      </c>
      <c r="N818" t="s">
        <v>19</v>
      </c>
    </row>
    <row r="819" spans="1:14" x14ac:dyDescent="0.3">
      <c r="A819">
        <v>159</v>
      </c>
      <c r="B819" t="s">
        <v>1642</v>
      </c>
      <c r="C819" t="s">
        <v>1920</v>
      </c>
      <c r="D819" t="s">
        <v>1921</v>
      </c>
      <c r="E819" t="s">
        <v>23</v>
      </c>
      <c r="F819" t="s">
        <v>1914</v>
      </c>
      <c r="G819" s="3">
        <v>6.5</v>
      </c>
      <c r="H819" s="3">
        <v>0</v>
      </c>
      <c r="I819" s="3">
        <v>6.5</v>
      </c>
      <c r="J819" s="3">
        <f>Table1[[#This Row],[قيمة الفاتورة]]*0.94-Table1[[#This Row],[قيمة المشاركة]]</f>
        <v>6.1099999999999994</v>
      </c>
      <c r="K819">
        <v>6.11</v>
      </c>
      <c r="L819" s="3">
        <f t="shared" si="12"/>
        <v>-8.8817841970012523E-16</v>
      </c>
      <c r="M819" t="s">
        <v>1398</v>
      </c>
      <c r="N819" t="s">
        <v>19</v>
      </c>
    </row>
    <row r="820" spans="1:14" x14ac:dyDescent="0.3">
      <c r="A820">
        <v>657</v>
      </c>
      <c r="B820" t="s">
        <v>1174</v>
      </c>
      <c r="C820" t="s">
        <v>405</v>
      </c>
      <c r="D820" t="s">
        <v>1922</v>
      </c>
      <c r="E820" t="s">
        <v>17</v>
      </c>
      <c r="F820" t="s">
        <v>1914</v>
      </c>
      <c r="G820" s="3">
        <v>5.63</v>
      </c>
      <c r="H820" s="3">
        <v>0</v>
      </c>
      <c r="I820" s="3">
        <v>5.63</v>
      </c>
      <c r="J820" s="3">
        <f>Table1[[#This Row],[قيمة الفاتورة]]*0.94-Table1[[#This Row],[قيمة المشاركة]]</f>
        <v>5.2921999999999993</v>
      </c>
      <c r="K820">
        <v>5.2919999999999998</v>
      </c>
      <c r="L820" s="3">
        <f t="shared" si="12"/>
        <v>1.9999999999953388E-4</v>
      </c>
      <c r="M820" t="s">
        <v>1398</v>
      </c>
      <c r="N820" t="s">
        <v>19</v>
      </c>
    </row>
    <row r="821" spans="1:14" x14ac:dyDescent="0.3">
      <c r="A821">
        <v>658</v>
      </c>
      <c r="B821" t="s">
        <v>678</v>
      </c>
      <c r="C821" t="s">
        <v>679</v>
      </c>
      <c r="D821" t="s">
        <v>1923</v>
      </c>
      <c r="E821" t="s">
        <v>17</v>
      </c>
      <c r="F821" t="s">
        <v>1914</v>
      </c>
      <c r="G821" s="3">
        <v>24.67</v>
      </c>
      <c r="H821" s="3">
        <v>0</v>
      </c>
      <c r="I821" s="3">
        <v>24.67</v>
      </c>
      <c r="J821" s="3">
        <f>Table1[[#This Row],[قيمة الفاتورة]]*0.94-Table1[[#This Row],[قيمة المشاركة]]</f>
        <v>23.189800000000002</v>
      </c>
      <c r="K821">
        <v>21.31</v>
      </c>
      <c r="L821" s="3">
        <f t="shared" si="12"/>
        <v>1.879800000000003</v>
      </c>
      <c r="M821" t="s">
        <v>1398</v>
      </c>
      <c r="N821" t="s">
        <v>19</v>
      </c>
    </row>
    <row r="822" spans="1:14" x14ac:dyDescent="0.3">
      <c r="A822">
        <v>662</v>
      </c>
      <c r="B822" t="s">
        <v>838</v>
      </c>
      <c r="C822" t="s">
        <v>839</v>
      </c>
      <c r="D822" t="s">
        <v>1924</v>
      </c>
      <c r="E822" t="s">
        <v>23</v>
      </c>
      <c r="F822" t="s">
        <v>1925</v>
      </c>
      <c r="G822" s="3">
        <v>15.25</v>
      </c>
      <c r="H822" s="3">
        <v>2.2869999999999999</v>
      </c>
      <c r="I822" s="3">
        <v>12.962999999999999</v>
      </c>
      <c r="J822" s="3">
        <f>Table1[[#This Row],[قيمة الفاتورة]]*0.94-Table1[[#This Row],[قيمة المشاركة]]</f>
        <v>12.047999999999998</v>
      </c>
      <c r="K822">
        <v>11.643000000000001</v>
      </c>
      <c r="L822" s="3">
        <f t="shared" si="12"/>
        <v>0.40499999999999758</v>
      </c>
      <c r="M822" t="s">
        <v>1398</v>
      </c>
      <c r="N822" t="s">
        <v>19</v>
      </c>
    </row>
    <row r="823" spans="1:14" x14ac:dyDescent="0.3">
      <c r="A823">
        <v>161</v>
      </c>
      <c r="B823" t="s">
        <v>1926</v>
      </c>
      <c r="C823" t="s">
        <v>1927</v>
      </c>
      <c r="D823" t="s">
        <v>1928</v>
      </c>
      <c r="E823" t="s">
        <v>17</v>
      </c>
      <c r="F823" t="s">
        <v>1929</v>
      </c>
      <c r="G823" s="3">
        <v>5.7350000000000003</v>
      </c>
      <c r="H823" s="3">
        <v>0</v>
      </c>
      <c r="I823" s="3">
        <v>5.7350000000000003</v>
      </c>
      <c r="J823" s="3">
        <f>Table1[[#This Row],[قيمة الفاتورة]]*0.94-Table1[[#This Row],[قيمة المشاركة]]</f>
        <v>5.3909000000000002</v>
      </c>
      <c r="K823">
        <v>5.3959999999999999</v>
      </c>
      <c r="L823" s="3">
        <f t="shared" si="12"/>
        <v>-5.0999999999996604E-3</v>
      </c>
      <c r="M823" t="s">
        <v>1398</v>
      </c>
      <c r="N823" t="s">
        <v>19</v>
      </c>
    </row>
    <row r="824" spans="1:14" x14ac:dyDescent="0.3">
      <c r="A824">
        <v>665</v>
      </c>
      <c r="B824" t="s">
        <v>1930</v>
      </c>
      <c r="C824" t="s">
        <v>1931</v>
      </c>
      <c r="D824" t="s">
        <v>1932</v>
      </c>
      <c r="E824" t="s">
        <v>23</v>
      </c>
      <c r="F824" t="s">
        <v>1929</v>
      </c>
      <c r="G824" s="3">
        <v>12.83</v>
      </c>
      <c r="H824" s="3">
        <v>0</v>
      </c>
      <c r="I824" s="3">
        <v>12.83</v>
      </c>
      <c r="J824" s="3">
        <f>Table1[[#This Row],[قيمة الفاتورة]]*0.94-Table1[[#This Row],[قيمة المشاركة]]</f>
        <v>12.0602</v>
      </c>
      <c r="K824">
        <v>12.06</v>
      </c>
      <c r="L824" s="3">
        <f t="shared" si="12"/>
        <v>1.9999999999953388E-4</v>
      </c>
      <c r="M824" t="s">
        <v>1398</v>
      </c>
      <c r="N824" t="s">
        <v>19</v>
      </c>
    </row>
    <row r="825" spans="1:14" x14ac:dyDescent="0.3">
      <c r="A825">
        <v>664</v>
      </c>
      <c r="B825" t="s">
        <v>688</v>
      </c>
      <c r="C825" t="s">
        <v>689</v>
      </c>
      <c r="D825" t="s">
        <v>1933</v>
      </c>
      <c r="E825" t="s">
        <v>17</v>
      </c>
      <c r="F825" t="s">
        <v>1929</v>
      </c>
      <c r="G825" s="3">
        <v>9.81</v>
      </c>
      <c r="H825" s="3">
        <v>0</v>
      </c>
      <c r="I825" s="3">
        <v>9.81</v>
      </c>
      <c r="J825" s="3">
        <f>Table1[[#This Row],[قيمة الفاتورة]]*0.94-Table1[[#This Row],[قيمة المشاركة]]</f>
        <v>9.2213999999999992</v>
      </c>
      <c r="K825">
        <v>9.2210000000000001</v>
      </c>
      <c r="L825" s="3">
        <f t="shared" si="12"/>
        <v>3.9999999999906777E-4</v>
      </c>
      <c r="M825" t="s">
        <v>1398</v>
      </c>
      <c r="N825" t="s">
        <v>19</v>
      </c>
    </row>
    <row r="826" spans="1:14" x14ac:dyDescent="0.3">
      <c r="A826">
        <v>666</v>
      </c>
      <c r="B826" t="s">
        <v>519</v>
      </c>
      <c r="C826" t="s">
        <v>520</v>
      </c>
      <c r="D826" t="s">
        <v>1934</v>
      </c>
      <c r="E826" t="s">
        <v>23</v>
      </c>
      <c r="F826" t="s">
        <v>1929</v>
      </c>
      <c r="G826" s="3">
        <v>3.66</v>
      </c>
      <c r="H826" s="3">
        <v>0</v>
      </c>
      <c r="I826" s="3">
        <v>3.66</v>
      </c>
      <c r="J826" s="3">
        <f>Table1[[#This Row],[قيمة الفاتورة]]*0.94-Table1[[#This Row],[قيمة المشاركة]]</f>
        <v>3.4403999999999999</v>
      </c>
      <c r="K826">
        <v>3.0270000000000001</v>
      </c>
      <c r="L826" s="3">
        <f t="shared" si="12"/>
        <v>0.41339999999999977</v>
      </c>
      <c r="M826" t="s">
        <v>1398</v>
      </c>
      <c r="N826" t="s">
        <v>19</v>
      </c>
    </row>
    <row r="827" spans="1:14" x14ac:dyDescent="0.3">
      <c r="A827">
        <v>663</v>
      </c>
      <c r="B827" t="s">
        <v>1174</v>
      </c>
      <c r="C827" t="s">
        <v>405</v>
      </c>
      <c r="D827" t="s">
        <v>1935</v>
      </c>
      <c r="E827" t="s">
        <v>17</v>
      </c>
      <c r="F827" t="s">
        <v>1929</v>
      </c>
      <c r="G827" s="3">
        <v>16.38</v>
      </c>
      <c r="H827" s="3">
        <v>0</v>
      </c>
      <c r="I827" s="3">
        <v>16.38</v>
      </c>
      <c r="J827" s="3">
        <f>Table1[[#This Row],[قيمة الفاتورة]]*0.94-Table1[[#This Row],[قيمة المشاركة]]</f>
        <v>15.397199999999998</v>
      </c>
      <c r="K827">
        <v>14.786</v>
      </c>
      <c r="L827" s="3">
        <f t="shared" si="12"/>
        <v>0.61119999999999841</v>
      </c>
      <c r="M827" t="s">
        <v>1398</v>
      </c>
      <c r="N827" t="s">
        <v>19</v>
      </c>
    </row>
    <row r="828" spans="1:14" x14ac:dyDescent="0.3">
      <c r="A828">
        <v>160</v>
      </c>
      <c r="B828" t="s">
        <v>1038</v>
      </c>
      <c r="C828" t="s">
        <v>1039</v>
      </c>
      <c r="D828" t="s">
        <v>1936</v>
      </c>
      <c r="E828" t="s">
        <v>17</v>
      </c>
      <c r="F828" t="s">
        <v>1929</v>
      </c>
      <c r="G828" s="3">
        <v>23.86</v>
      </c>
      <c r="H828" s="3">
        <v>0</v>
      </c>
      <c r="I828" s="3">
        <v>23.86</v>
      </c>
      <c r="J828" s="3">
        <f>Table1[[#This Row],[قيمة الفاتورة]]*0.94-Table1[[#This Row],[قيمة المشاركة]]</f>
        <v>22.4284</v>
      </c>
      <c r="K828">
        <v>21.695</v>
      </c>
      <c r="L828" s="3">
        <f t="shared" si="12"/>
        <v>0.73339999999999961</v>
      </c>
      <c r="M828" t="s">
        <v>1398</v>
      </c>
      <c r="N828" t="s">
        <v>19</v>
      </c>
    </row>
    <row r="829" spans="1:14" x14ac:dyDescent="0.3">
      <c r="A829">
        <v>667</v>
      </c>
      <c r="B829" t="s">
        <v>1937</v>
      </c>
      <c r="C829" t="s">
        <v>1938</v>
      </c>
      <c r="D829" t="s">
        <v>1939</v>
      </c>
      <c r="E829" t="s">
        <v>17</v>
      </c>
      <c r="F829" t="s">
        <v>1940</v>
      </c>
      <c r="G829" s="3">
        <v>6.35</v>
      </c>
      <c r="H829" s="3">
        <v>0</v>
      </c>
      <c r="I829" s="3">
        <v>6.35</v>
      </c>
      <c r="J829" s="3">
        <f>Table1[[#This Row],[قيمة الفاتورة]]*0.94-Table1[[#This Row],[قيمة المشاركة]]</f>
        <v>5.9689999999999994</v>
      </c>
      <c r="K829">
        <v>5.9690000000000003</v>
      </c>
      <c r="L829" s="3">
        <f t="shared" si="12"/>
        <v>-8.8817841970012523E-16</v>
      </c>
      <c r="M829" t="s">
        <v>1398</v>
      </c>
      <c r="N829" t="s">
        <v>19</v>
      </c>
    </row>
    <row r="830" spans="1:14" x14ac:dyDescent="0.3">
      <c r="A830">
        <v>668</v>
      </c>
      <c r="B830" t="s">
        <v>49</v>
      </c>
      <c r="C830" t="s">
        <v>50</v>
      </c>
      <c r="D830" t="s">
        <v>1941</v>
      </c>
      <c r="E830" t="s">
        <v>17</v>
      </c>
      <c r="F830" t="s">
        <v>1940</v>
      </c>
      <c r="G830" s="3">
        <v>18.78</v>
      </c>
      <c r="H830" s="3">
        <v>0</v>
      </c>
      <c r="I830" s="3">
        <v>18.78</v>
      </c>
      <c r="J830" s="3">
        <f>Table1[[#This Row],[قيمة الفاتورة]]*0.94-Table1[[#This Row],[قيمة المشاركة]]</f>
        <v>17.653200000000002</v>
      </c>
      <c r="K830">
        <v>17.652999999999999</v>
      </c>
      <c r="L830" s="3">
        <f t="shared" si="12"/>
        <v>2.000000000030866E-4</v>
      </c>
      <c r="M830" t="s">
        <v>1398</v>
      </c>
      <c r="N830" t="s">
        <v>19</v>
      </c>
    </row>
    <row r="831" spans="1:14" x14ac:dyDescent="0.3">
      <c r="A831">
        <v>162</v>
      </c>
      <c r="B831" t="s">
        <v>1616</v>
      </c>
      <c r="C831" t="s">
        <v>1942</v>
      </c>
      <c r="D831" t="s">
        <v>1943</v>
      </c>
      <c r="E831" t="s">
        <v>17</v>
      </c>
      <c r="F831" t="s">
        <v>1944</v>
      </c>
      <c r="G831" s="3">
        <v>15.44</v>
      </c>
      <c r="H831" s="3">
        <v>0</v>
      </c>
      <c r="I831" s="3">
        <v>15.44</v>
      </c>
      <c r="J831" s="3">
        <f>Table1[[#This Row],[قيمة الفاتورة]]*0.94-Table1[[#This Row],[قيمة المشاركة]]</f>
        <v>14.513599999999999</v>
      </c>
      <c r="K831">
        <v>13.827</v>
      </c>
      <c r="L831" s="3">
        <f t="shared" si="12"/>
        <v>0.68659999999999854</v>
      </c>
      <c r="M831" t="s">
        <v>1945</v>
      </c>
      <c r="N831" t="s">
        <v>19</v>
      </c>
    </row>
    <row r="832" spans="1:14" x14ac:dyDescent="0.3">
      <c r="A832">
        <v>672</v>
      </c>
      <c r="B832" t="s">
        <v>376</v>
      </c>
      <c r="C832" t="s">
        <v>377</v>
      </c>
      <c r="D832" t="s">
        <v>1946</v>
      </c>
      <c r="E832" t="s">
        <v>17</v>
      </c>
      <c r="F832" t="s">
        <v>1947</v>
      </c>
      <c r="G832" s="3">
        <v>12.98</v>
      </c>
      <c r="H832" s="3">
        <v>0</v>
      </c>
      <c r="I832" s="3">
        <v>12.98</v>
      </c>
      <c r="J832" s="3">
        <f>Table1[[#This Row],[قيمة الفاتورة]]*0.94-Table1[[#This Row],[قيمة المشاركة]]</f>
        <v>12.2012</v>
      </c>
      <c r="K832">
        <v>12.436</v>
      </c>
      <c r="L832" s="3">
        <f t="shared" si="12"/>
        <v>-0.2347999999999999</v>
      </c>
      <c r="M832" t="s">
        <v>1945</v>
      </c>
      <c r="N832" t="s">
        <v>19</v>
      </c>
    </row>
    <row r="833" spans="1:14" x14ac:dyDescent="0.3">
      <c r="A833">
        <v>673</v>
      </c>
      <c r="B833" t="s">
        <v>1948</v>
      </c>
      <c r="C833" t="s">
        <v>1949</v>
      </c>
      <c r="D833" t="s">
        <v>1950</v>
      </c>
      <c r="E833" t="s">
        <v>17</v>
      </c>
      <c r="F833" t="s">
        <v>1947</v>
      </c>
      <c r="G833" s="3">
        <v>10.93</v>
      </c>
      <c r="H833" s="3">
        <v>0</v>
      </c>
      <c r="I833" s="3">
        <v>10.93</v>
      </c>
      <c r="J833" s="3">
        <f>Table1[[#This Row],[قيمة الفاتورة]]*0.94-Table1[[#This Row],[قيمة المشاركة]]</f>
        <v>10.274199999999999</v>
      </c>
      <c r="K833">
        <v>10.275</v>
      </c>
      <c r="L833" s="3">
        <f t="shared" si="12"/>
        <v>-8.0000000000168825E-4</v>
      </c>
      <c r="M833" t="s">
        <v>1945</v>
      </c>
      <c r="N833" t="s">
        <v>19</v>
      </c>
    </row>
    <row r="834" spans="1:14" x14ac:dyDescent="0.3">
      <c r="A834">
        <v>671</v>
      </c>
      <c r="B834" t="s">
        <v>540</v>
      </c>
      <c r="C834" t="s">
        <v>1951</v>
      </c>
      <c r="D834" t="s">
        <v>1952</v>
      </c>
      <c r="E834" t="s">
        <v>17</v>
      </c>
      <c r="F834" t="s">
        <v>1947</v>
      </c>
      <c r="G834" s="3">
        <v>10.88</v>
      </c>
      <c r="H834" s="3">
        <v>0</v>
      </c>
      <c r="I834" s="3">
        <v>10.88</v>
      </c>
      <c r="J834" s="3">
        <f>Table1[[#This Row],[قيمة الفاتورة]]*0.94-Table1[[#This Row],[قيمة المشاركة]]</f>
        <v>10.2272</v>
      </c>
      <c r="K834">
        <v>10.227</v>
      </c>
      <c r="L834" s="3">
        <f t="shared" ref="L834:L897" si="13">IF(ISNUMBER(K834), J834-K834, "")</f>
        <v>1.9999999999953388E-4</v>
      </c>
      <c r="M834" t="s">
        <v>1945</v>
      </c>
      <c r="N834" t="s">
        <v>19</v>
      </c>
    </row>
    <row r="835" spans="1:14" x14ac:dyDescent="0.3">
      <c r="A835">
        <v>669</v>
      </c>
      <c r="B835" t="s">
        <v>1953</v>
      </c>
      <c r="C835" t="s">
        <v>1954</v>
      </c>
      <c r="D835" t="s">
        <v>1955</v>
      </c>
      <c r="E835" t="s">
        <v>23</v>
      </c>
      <c r="F835" t="s">
        <v>1947</v>
      </c>
      <c r="G835" s="3">
        <v>9.26</v>
      </c>
      <c r="H835" s="3">
        <v>1.389</v>
      </c>
      <c r="I835" s="3">
        <v>7.8710000000000004</v>
      </c>
      <c r="J835" s="3">
        <f>Table1[[#This Row],[قيمة الفاتورة]]*0.94-Table1[[#This Row],[قيمة المشاركة]]</f>
        <v>7.3153999999999995</v>
      </c>
      <c r="K835">
        <v>7.306</v>
      </c>
      <c r="L835" s="3">
        <f t="shared" si="13"/>
        <v>9.3999999999994088E-3</v>
      </c>
      <c r="M835" t="s">
        <v>1945</v>
      </c>
      <c r="N835" t="s">
        <v>19</v>
      </c>
    </row>
    <row r="836" spans="1:14" x14ac:dyDescent="0.3">
      <c r="A836">
        <v>670</v>
      </c>
      <c r="B836" t="s">
        <v>32</v>
      </c>
      <c r="C836" t="s">
        <v>33</v>
      </c>
      <c r="D836" t="s">
        <v>1956</v>
      </c>
      <c r="E836" t="s">
        <v>17</v>
      </c>
      <c r="F836" t="s">
        <v>1947</v>
      </c>
      <c r="G836" s="3">
        <v>21.83</v>
      </c>
      <c r="H836" s="3">
        <v>3.274</v>
      </c>
      <c r="I836" s="3">
        <v>18.556000000000001</v>
      </c>
      <c r="J836" s="3">
        <f>Table1[[#This Row],[قيمة الفاتورة]]*0.94-Table1[[#This Row],[قيمة المشاركة]]</f>
        <v>17.246199999999995</v>
      </c>
      <c r="K836">
        <v>17.234999999999999</v>
      </c>
      <c r="L836" s="3">
        <f t="shared" si="13"/>
        <v>1.1199999999995214E-2</v>
      </c>
      <c r="M836" t="s">
        <v>1945</v>
      </c>
      <c r="N836" t="s">
        <v>19</v>
      </c>
    </row>
    <row r="837" spans="1:14" x14ac:dyDescent="0.3">
      <c r="A837">
        <v>674</v>
      </c>
      <c r="B837" t="s">
        <v>1957</v>
      </c>
      <c r="C837" t="s">
        <v>1958</v>
      </c>
      <c r="D837" t="s">
        <v>1959</v>
      </c>
      <c r="E837" t="s">
        <v>17</v>
      </c>
      <c r="F837" t="s">
        <v>1947</v>
      </c>
      <c r="G837" s="3">
        <v>11.27</v>
      </c>
      <c r="H837" s="3">
        <v>1.69</v>
      </c>
      <c r="I837" s="3">
        <v>9.58</v>
      </c>
      <c r="J837" s="3">
        <f>Table1[[#This Row],[قيمة الفاتورة]]*0.94-Table1[[#This Row],[قيمة المشاركة]]</f>
        <v>8.9038000000000004</v>
      </c>
      <c r="K837">
        <v>7.016</v>
      </c>
      <c r="L837" s="3">
        <f t="shared" si="13"/>
        <v>1.8878000000000004</v>
      </c>
      <c r="M837" t="s">
        <v>1945</v>
      </c>
      <c r="N837" t="s">
        <v>19</v>
      </c>
    </row>
    <row r="838" spans="1:14" x14ac:dyDescent="0.3">
      <c r="A838">
        <v>163</v>
      </c>
      <c r="B838" t="s">
        <v>1011</v>
      </c>
      <c r="C838" t="s">
        <v>1960</v>
      </c>
      <c r="D838" t="s">
        <v>1961</v>
      </c>
      <c r="E838" t="s">
        <v>23</v>
      </c>
      <c r="F838" t="s">
        <v>1962</v>
      </c>
      <c r="G838" s="3">
        <v>11.91</v>
      </c>
      <c r="H838" s="3">
        <v>0</v>
      </c>
      <c r="I838" s="3">
        <v>11.91</v>
      </c>
      <c r="J838" s="3">
        <f>Table1[[#This Row],[قيمة الفاتورة]]*0.94-Table1[[#This Row],[قيمة المشاركة]]</f>
        <v>11.195399999999999</v>
      </c>
      <c r="K838">
        <v>11.196</v>
      </c>
      <c r="L838" s="3">
        <f t="shared" si="13"/>
        <v>-6.0000000000037801E-4</v>
      </c>
      <c r="M838" t="s">
        <v>1945</v>
      </c>
      <c r="N838" t="s">
        <v>19</v>
      </c>
    </row>
    <row r="839" spans="1:14" x14ac:dyDescent="0.3">
      <c r="A839">
        <v>677</v>
      </c>
      <c r="B839" t="s">
        <v>419</v>
      </c>
      <c r="C839" t="s">
        <v>841</v>
      </c>
      <c r="D839" t="s">
        <v>1963</v>
      </c>
      <c r="E839" t="s">
        <v>23</v>
      </c>
      <c r="F839" t="s">
        <v>1962</v>
      </c>
      <c r="G839" s="3">
        <v>5.82</v>
      </c>
      <c r="H839" s="3">
        <v>0</v>
      </c>
      <c r="I839" s="3">
        <v>5.82</v>
      </c>
      <c r="J839" s="3">
        <f>Table1[[#This Row],[قيمة الفاتورة]]*0.94-Table1[[#This Row],[قيمة المشاركة]]</f>
        <v>5.4707999999999997</v>
      </c>
      <c r="K839">
        <v>5.4710000000000001</v>
      </c>
      <c r="L839" s="3">
        <f t="shared" si="13"/>
        <v>-2.0000000000042206E-4</v>
      </c>
      <c r="M839" t="s">
        <v>1945</v>
      </c>
      <c r="N839" t="s">
        <v>19</v>
      </c>
    </row>
    <row r="840" spans="1:14" x14ac:dyDescent="0.3">
      <c r="A840">
        <v>678</v>
      </c>
      <c r="B840" t="s">
        <v>468</v>
      </c>
      <c r="C840" t="s">
        <v>167</v>
      </c>
      <c r="D840" t="s">
        <v>1964</v>
      </c>
      <c r="E840" t="s">
        <v>17</v>
      </c>
      <c r="F840" t="s">
        <v>1962</v>
      </c>
      <c r="G840" s="3">
        <v>23.321000000000002</v>
      </c>
      <c r="H840" s="3">
        <v>0</v>
      </c>
      <c r="I840" s="3">
        <v>23.321000000000002</v>
      </c>
      <c r="J840" s="3">
        <f>Table1[[#This Row],[قيمة الفاتورة]]*0.94-Table1[[#This Row],[قيمة المشاركة]]</f>
        <v>21.92174</v>
      </c>
      <c r="K840">
        <v>21.920999999999999</v>
      </c>
      <c r="L840" s="3">
        <f t="shared" si="13"/>
        <v>7.40000000000407E-4</v>
      </c>
      <c r="M840" t="s">
        <v>1945</v>
      </c>
      <c r="N840" t="s">
        <v>19</v>
      </c>
    </row>
    <row r="841" spans="1:14" x14ac:dyDescent="0.3">
      <c r="A841">
        <v>675</v>
      </c>
      <c r="B841" t="s">
        <v>1965</v>
      </c>
      <c r="C841" t="s">
        <v>1966</v>
      </c>
      <c r="D841" t="s">
        <v>1967</v>
      </c>
      <c r="E841" t="s">
        <v>17</v>
      </c>
      <c r="F841" t="s">
        <v>1962</v>
      </c>
      <c r="G841" s="3">
        <v>26.7</v>
      </c>
      <c r="H841" s="3">
        <v>0</v>
      </c>
      <c r="I841" s="3">
        <v>26.7</v>
      </c>
      <c r="J841" s="3">
        <f>Table1[[#This Row],[قيمة الفاتورة]]*0.94-Table1[[#This Row],[قيمة المشاركة]]</f>
        <v>25.097999999999999</v>
      </c>
      <c r="K841">
        <v>24.713000000000001</v>
      </c>
      <c r="L841" s="3">
        <f t="shared" si="13"/>
        <v>0.38499999999999801</v>
      </c>
      <c r="M841" t="s">
        <v>1945</v>
      </c>
      <c r="N841" t="s">
        <v>19</v>
      </c>
    </row>
    <row r="842" spans="1:14" x14ac:dyDescent="0.3">
      <c r="A842">
        <v>676</v>
      </c>
      <c r="B842" t="s">
        <v>419</v>
      </c>
      <c r="C842" t="s">
        <v>841</v>
      </c>
      <c r="D842" t="s">
        <v>1968</v>
      </c>
      <c r="E842" t="s">
        <v>23</v>
      </c>
      <c r="F842" t="s">
        <v>1962</v>
      </c>
      <c r="G842" s="3">
        <v>19.18</v>
      </c>
      <c r="H842" s="3">
        <v>0</v>
      </c>
      <c r="I842" s="3">
        <v>19.18</v>
      </c>
      <c r="J842" s="3">
        <f>Table1[[#This Row],[قيمة الفاتورة]]*0.94-Table1[[#This Row],[قيمة المشاركة]]</f>
        <v>18.029199999999999</v>
      </c>
      <c r="K842">
        <v>17.277000000000001</v>
      </c>
      <c r="L842" s="3">
        <f t="shared" si="13"/>
        <v>0.75219999999999843</v>
      </c>
      <c r="M842" t="s">
        <v>1945</v>
      </c>
      <c r="N842" t="s">
        <v>19</v>
      </c>
    </row>
    <row r="843" spans="1:14" x14ac:dyDescent="0.3">
      <c r="A843">
        <v>164</v>
      </c>
      <c r="B843" t="s">
        <v>648</v>
      </c>
      <c r="C843" t="s">
        <v>1969</v>
      </c>
      <c r="D843" t="s">
        <v>1970</v>
      </c>
      <c r="E843" t="s">
        <v>17</v>
      </c>
      <c r="F843" t="s">
        <v>1971</v>
      </c>
      <c r="G843" s="3">
        <v>16.39</v>
      </c>
      <c r="H843" s="3">
        <v>0</v>
      </c>
      <c r="I843" s="3">
        <v>16.39</v>
      </c>
      <c r="J843" s="3">
        <f>Table1[[#This Row],[قيمة الفاتورة]]*0.94-Table1[[#This Row],[قيمة المشاركة]]</f>
        <v>15.406599999999999</v>
      </c>
      <c r="K843">
        <v>15.407</v>
      </c>
      <c r="L843" s="3">
        <f t="shared" si="13"/>
        <v>-4.0000000000084412E-4</v>
      </c>
      <c r="M843" t="s">
        <v>1945</v>
      </c>
      <c r="N843" t="s">
        <v>19</v>
      </c>
    </row>
    <row r="844" spans="1:14" x14ac:dyDescent="0.3">
      <c r="A844">
        <v>681</v>
      </c>
      <c r="B844" t="s">
        <v>131</v>
      </c>
      <c r="C844" t="s">
        <v>1972</v>
      </c>
      <c r="D844" t="s">
        <v>1973</v>
      </c>
      <c r="E844" t="s">
        <v>23</v>
      </c>
      <c r="F844" t="s">
        <v>1971</v>
      </c>
      <c r="G844" s="3">
        <v>3.29</v>
      </c>
      <c r="H844" s="3">
        <v>0.49299999999999999</v>
      </c>
      <c r="I844" s="3">
        <v>2.7970000000000002</v>
      </c>
      <c r="J844" s="3">
        <f>Table1[[#This Row],[قيمة الفاتورة]]*0.94-Table1[[#This Row],[قيمة المشاركة]]</f>
        <v>2.5996000000000001</v>
      </c>
      <c r="K844">
        <v>2.5979999999999999</v>
      </c>
      <c r="L844" s="3">
        <f t="shared" si="13"/>
        <v>1.6000000000002679E-3</v>
      </c>
      <c r="M844" t="s">
        <v>1945</v>
      </c>
      <c r="N844" t="s">
        <v>19</v>
      </c>
    </row>
    <row r="845" spans="1:14" x14ac:dyDescent="0.3">
      <c r="A845">
        <v>680</v>
      </c>
      <c r="B845" t="s">
        <v>1974</v>
      </c>
      <c r="C845" t="s">
        <v>1975</v>
      </c>
      <c r="D845" t="s">
        <v>1976</v>
      </c>
      <c r="E845" t="s">
        <v>23</v>
      </c>
      <c r="F845" t="s">
        <v>1971</v>
      </c>
      <c r="G845" s="3">
        <v>13.31</v>
      </c>
      <c r="H845" s="3">
        <v>1.996</v>
      </c>
      <c r="I845" s="3">
        <v>11.314</v>
      </c>
      <c r="J845" s="3">
        <f>Table1[[#This Row],[قيمة الفاتورة]]*0.94-Table1[[#This Row],[قيمة المشاركة]]</f>
        <v>10.5154</v>
      </c>
      <c r="K845">
        <v>10.506</v>
      </c>
      <c r="L845" s="3">
        <f t="shared" si="13"/>
        <v>9.3999999999994088E-3</v>
      </c>
      <c r="M845" t="s">
        <v>1945</v>
      </c>
      <c r="N845" t="s">
        <v>19</v>
      </c>
    </row>
    <row r="846" spans="1:14" x14ac:dyDescent="0.3">
      <c r="A846">
        <v>679</v>
      </c>
      <c r="B846" t="s">
        <v>123</v>
      </c>
      <c r="C846" t="s">
        <v>1977</v>
      </c>
      <c r="D846" t="s">
        <v>1978</v>
      </c>
      <c r="E846" t="s">
        <v>17</v>
      </c>
      <c r="F846" t="s">
        <v>1971</v>
      </c>
      <c r="G846" s="3">
        <v>11.66</v>
      </c>
      <c r="H846" s="3">
        <v>0</v>
      </c>
      <c r="I846" s="3">
        <v>11.66</v>
      </c>
      <c r="J846" s="3">
        <f>Table1[[#This Row],[قيمة الفاتورة]]*0.94-Table1[[#This Row],[قيمة المشاركة]]</f>
        <v>10.9604</v>
      </c>
      <c r="K846">
        <v>10.584</v>
      </c>
      <c r="L846" s="3">
        <f t="shared" si="13"/>
        <v>0.37640000000000029</v>
      </c>
      <c r="M846" t="s">
        <v>1796</v>
      </c>
      <c r="N846" t="s">
        <v>126</v>
      </c>
    </row>
    <row r="847" spans="1:14" x14ac:dyDescent="0.3">
      <c r="A847">
        <v>165</v>
      </c>
      <c r="B847" t="s">
        <v>990</v>
      </c>
      <c r="C847" t="s">
        <v>1359</v>
      </c>
      <c r="D847" t="s">
        <v>1979</v>
      </c>
      <c r="E847" t="s">
        <v>23</v>
      </c>
      <c r="F847" t="s">
        <v>1980</v>
      </c>
      <c r="G847" s="3">
        <v>1.49</v>
      </c>
      <c r="H847" s="3">
        <v>0</v>
      </c>
      <c r="I847" s="3">
        <v>1.49</v>
      </c>
      <c r="J847" s="3">
        <f>Table1[[#This Row],[قيمة الفاتورة]]*0.94-Table1[[#This Row],[قيمة المشاركة]]</f>
        <v>1.4005999999999998</v>
      </c>
      <c r="K847">
        <v>1.401</v>
      </c>
      <c r="L847" s="3">
        <f t="shared" si="13"/>
        <v>-4.0000000000017799E-4</v>
      </c>
      <c r="M847" t="s">
        <v>1945</v>
      </c>
      <c r="N847" t="s">
        <v>19</v>
      </c>
    </row>
    <row r="848" spans="1:14" x14ac:dyDescent="0.3">
      <c r="A848">
        <v>166</v>
      </c>
      <c r="B848" t="s">
        <v>987</v>
      </c>
      <c r="C848" t="s">
        <v>988</v>
      </c>
      <c r="D848" t="s">
        <v>1981</v>
      </c>
      <c r="E848" t="s">
        <v>17</v>
      </c>
      <c r="F848" t="s">
        <v>1980</v>
      </c>
      <c r="G848" s="3">
        <v>5.52</v>
      </c>
      <c r="H848" s="3">
        <v>0</v>
      </c>
      <c r="I848" s="3">
        <v>5.52</v>
      </c>
      <c r="J848" s="3">
        <f>Table1[[#This Row],[قيمة الفاتورة]]*0.94-Table1[[#This Row],[قيمة المشاركة]]</f>
        <v>5.1887999999999996</v>
      </c>
      <c r="K848">
        <v>5.1890000000000001</v>
      </c>
      <c r="L848" s="3">
        <f t="shared" si="13"/>
        <v>-2.0000000000042206E-4</v>
      </c>
      <c r="M848" t="s">
        <v>1945</v>
      </c>
      <c r="N848" t="s">
        <v>19</v>
      </c>
    </row>
    <row r="849" spans="1:14" x14ac:dyDescent="0.3">
      <c r="A849">
        <v>686</v>
      </c>
      <c r="B849" t="s">
        <v>745</v>
      </c>
      <c r="C849" t="s">
        <v>1657</v>
      </c>
      <c r="D849" t="s">
        <v>1982</v>
      </c>
      <c r="E849" t="s">
        <v>23</v>
      </c>
      <c r="F849" t="s">
        <v>1980</v>
      </c>
      <c r="G849" s="3">
        <v>34.08</v>
      </c>
      <c r="H849" s="3">
        <v>3.4079999999999999</v>
      </c>
      <c r="I849" s="3">
        <v>30.672000000000001</v>
      </c>
      <c r="J849" s="3">
        <f>Table1[[#This Row],[قيمة الفاتورة]]*0.94-Table1[[#This Row],[قيمة المشاركة]]</f>
        <v>28.627199999999995</v>
      </c>
      <c r="K849">
        <v>28.626999999999999</v>
      </c>
      <c r="L849" s="3">
        <f t="shared" si="13"/>
        <v>1.9999999999598117E-4</v>
      </c>
      <c r="M849" t="s">
        <v>1983</v>
      </c>
      <c r="N849" t="s">
        <v>328</v>
      </c>
    </row>
    <row r="850" spans="1:14" x14ac:dyDescent="0.3">
      <c r="A850">
        <v>685</v>
      </c>
      <c r="B850" t="s">
        <v>898</v>
      </c>
      <c r="C850" t="s">
        <v>899</v>
      </c>
      <c r="D850" t="s">
        <v>1984</v>
      </c>
      <c r="E850" t="s">
        <v>17</v>
      </c>
      <c r="F850" t="s">
        <v>1980</v>
      </c>
      <c r="G850" s="3">
        <v>63.41</v>
      </c>
      <c r="H850" s="3">
        <v>6.3410000000000002</v>
      </c>
      <c r="I850" s="3">
        <v>57.069000000000003</v>
      </c>
      <c r="J850" s="3">
        <f>Table1[[#This Row],[قيمة الفاتورة]]*0.94-Table1[[#This Row],[قيمة المشاركة]]</f>
        <v>53.264399999999995</v>
      </c>
      <c r="K850">
        <v>53.264000000000003</v>
      </c>
      <c r="L850" s="3">
        <f t="shared" si="13"/>
        <v>3.9999999999196234E-4</v>
      </c>
      <c r="M850" t="s">
        <v>1983</v>
      </c>
      <c r="N850" t="s">
        <v>328</v>
      </c>
    </row>
    <row r="851" spans="1:14" x14ac:dyDescent="0.3">
      <c r="A851">
        <v>682</v>
      </c>
      <c r="B851" t="s">
        <v>139</v>
      </c>
      <c r="C851" t="s">
        <v>140</v>
      </c>
      <c r="D851" t="s">
        <v>1985</v>
      </c>
      <c r="E851" t="s">
        <v>23</v>
      </c>
      <c r="F851" t="s">
        <v>1980</v>
      </c>
      <c r="G851" s="3">
        <v>12.96</v>
      </c>
      <c r="H851" s="3">
        <v>0</v>
      </c>
      <c r="I851" s="3">
        <v>12.96</v>
      </c>
      <c r="J851" s="3">
        <f>Table1[[#This Row],[قيمة الفاتورة]]*0.94-Table1[[#This Row],[قيمة المشاركة]]</f>
        <v>12.182399999999999</v>
      </c>
      <c r="K851">
        <v>12.182</v>
      </c>
      <c r="L851" s="3">
        <f t="shared" si="13"/>
        <v>3.9999999999906777E-4</v>
      </c>
      <c r="M851" t="s">
        <v>1945</v>
      </c>
      <c r="N851" t="s">
        <v>19</v>
      </c>
    </row>
    <row r="852" spans="1:14" x14ac:dyDescent="0.3">
      <c r="A852">
        <v>684</v>
      </c>
      <c r="B852" t="s">
        <v>710</v>
      </c>
      <c r="C852" t="s">
        <v>1120</v>
      </c>
      <c r="D852" t="s">
        <v>1986</v>
      </c>
      <c r="E852" t="s">
        <v>23</v>
      </c>
      <c r="F852" t="s">
        <v>1980</v>
      </c>
      <c r="G852" s="3">
        <v>27.11</v>
      </c>
      <c r="H852" s="3">
        <v>2.7109999999999999</v>
      </c>
      <c r="I852" s="3">
        <v>24.399000000000001</v>
      </c>
      <c r="J852" s="3">
        <f>Table1[[#This Row],[قيمة الفاتورة]]*0.94-Table1[[#This Row],[قيمة المشاركة]]</f>
        <v>22.772400000000001</v>
      </c>
      <c r="K852">
        <v>22.771999999999998</v>
      </c>
      <c r="L852" s="3">
        <f t="shared" si="13"/>
        <v>4.0000000000262048E-4</v>
      </c>
      <c r="M852" t="s">
        <v>1983</v>
      </c>
      <c r="N852" t="s">
        <v>328</v>
      </c>
    </row>
    <row r="853" spans="1:14" x14ac:dyDescent="0.3">
      <c r="A853">
        <v>683</v>
      </c>
      <c r="B853" t="s">
        <v>1380</v>
      </c>
      <c r="C853" t="s">
        <v>1381</v>
      </c>
      <c r="D853" t="s">
        <v>1987</v>
      </c>
      <c r="E853" t="s">
        <v>23</v>
      </c>
      <c r="F853" t="s">
        <v>1980</v>
      </c>
      <c r="G853" s="3">
        <v>51.09</v>
      </c>
      <c r="H853" s="3">
        <v>5.109</v>
      </c>
      <c r="I853" s="3">
        <v>45.981000000000002</v>
      </c>
      <c r="J853" s="3">
        <f>Table1[[#This Row],[قيمة الفاتورة]]*0.94-Table1[[#This Row],[قيمة المشاركة]]</f>
        <v>42.915599999999998</v>
      </c>
      <c r="K853">
        <v>42.914999999999999</v>
      </c>
      <c r="L853" s="3">
        <f t="shared" si="13"/>
        <v>5.9999999999860165E-4</v>
      </c>
      <c r="M853" t="s">
        <v>1983</v>
      </c>
      <c r="N853" t="s">
        <v>328</v>
      </c>
    </row>
    <row r="854" spans="1:14" x14ac:dyDescent="0.3">
      <c r="A854">
        <v>687</v>
      </c>
      <c r="B854" t="s">
        <v>360</v>
      </c>
      <c r="C854" t="s">
        <v>361</v>
      </c>
      <c r="D854" t="s">
        <v>1988</v>
      </c>
      <c r="E854" t="s">
        <v>23</v>
      </c>
      <c r="F854" t="s">
        <v>1980</v>
      </c>
      <c r="G854" s="3">
        <v>66.78</v>
      </c>
      <c r="H854" s="3">
        <v>0</v>
      </c>
      <c r="I854" s="3">
        <v>66.78</v>
      </c>
      <c r="J854" s="3">
        <f>Table1[[#This Row],[قيمة الفاتورة]]*0.94-Table1[[#This Row],[قيمة المشاركة]]</f>
        <v>62.773199999999996</v>
      </c>
      <c r="K854">
        <v>59.822000000000003</v>
      </c>
      <c r="L854" s="3">
        <f t="shared" si="13"/>
        <v>2.9511999999999929</v>
      </c>
      <c r="M854" t="s">
        <v>1945</v>
      </c>
      <c r="N854" t="s">
        <v>19</v>
      </c>
    </row>
    <row r="855" spans="1:14" x14ac:dyDescent="0.3">
      <c r="A855">
        <v>688</v>
      </c>
      <c r="B855" t="s">
        <v>917</v>
      </c>
      <c r="C855" t="s">
        <v>918</v>
      </c>
      <c r="D855" t="s">
        <v>1989</v>
      </c>
      <c r="E855" t="s">
        <v>23</v>
      </c>
      <c r="F855" t="s">
        <v>1980</v>
      </c>
      <c r="G855" s="3">
        <v>32.729999999999997</v>
      </c>
      <c r="H855" s="3">
        <v>0</v>
      </c>
      <c r="I855" s="3">
        <v>32.729999999999997</v>
      </c>
      <c r="J855" s="3">
        <f>Table1[[#This Row],[قيمة الفاتورة]]*0.94-Table1[[#This Row],[قيمة المشاركة]]</f>
        <v>30.766199999999994</v>
      </c>
      <c r="K855">
        <v>25.756</v>
      </c>
      <c r="L855" s="3">
        <f t="shared" si="13"/>
        <v>5.010199999999994</v>
      </c>
      <c r="M855" t="s">
        <v>1945</v>
      </c>
      <c r="N855" t="s">
        <v>19</v>
      </c>
    </row>
    <row r="856" spans="1:14" x14ac:dyDescent="0.3">
      <c r="A856">
        <v>691</v>
      </c>
      <c r="B856" t="s">
        <v>1800</v>
      </c>
      <c r="C856" t="s">
        <v>1990</v>
      </c>
      <c r="D856" t="s">
        <v>1991</v>
      </c>
      <c r="E856" t="s">
        <v>17</v>
      </c>
      <c r="F856" t="s">
        <v>1992</v>
      </c>
      <c r="G856" s="3">
        <v>2.57</v>
      </c>
      <c r="H856" s="3">
        <v>0.38500000000000001</v>
      </c>
      <c r="I856" s="3">
        <v>2.1850000000000001</v>
      </c>
      <c r="J856" s="3">
        <f>Table1[[#This Row],[قيمة الفاتورة]]*0.94-Table1[[#This Row],[قيمة المشاركة]]</f>
        <v>2.0307999999999993</v>
      </c>
      <c r="K856">
        <v>2.0299999999999998</v>
      </c>
      <c r="L856" s="3">
        <f t="shared" si="13"/>
        <v>7.999999999994678E-4</v>
      </c>
      <c r="M856" t="s">
        <v>1945</v>
      </c>
      <c r="N856" t="s">
        <v>19</v>
      </c>
    </row>
    <row r="857" spans="1:14" x14ac:dyDescent="0.3">
      <c r="A857">
        <v>689</v>
      </c>
      <c r="B857" t="s">
        <v>200</v>
      </c>
      <c r="C857" t="s">
        <v>201</v>
      </c>
      <c r="D857" t="s">
        <v>1993</v>
      </c>
      <c r="E857" t="s">
        <v>17</v>
      </c>
      <c r="F857" t="s">
        <v>1992</v>
      </c>
      <c r="G857" s="3">
        <v>33.770000000000003</v>
      </c>
      <c r="H857" s="3">
        <v>0</v>
      </c>
      <c r="I857" s="3">
        <v>33.770000000000003</v>
      </c>
      <c r="J857" s="3">
        <f>Table1[[#This Row],[قيمة الفاتورة]]*0.94-Table1[[#This Row],[قيمة المشاركة]]</f>
        <v>31.7438</v>
      </c>
      <c r="K857">
        <v>31.742999999999999</v>
      </c>
      <c r="L857" s="3">
        <f t="shared" si="13"/>
        <v>8.0000000000168825E-4</v>
      </c>
      <c r="M857" t="s">
        <v>1945</v>
      </c>
      <c r="N857" t="s">
        <v>19</v>
      </c>
    </row>
    <row r="858" spans="1:14" x14ac:dyDescent="0.3">
      <c r="A858">
        <v>167</v>
      </c>
      <c r="B858" t="s">
        <v>1099</v>
      </c>
      <c r="C858" t="s">
        <v>1994</v>
      </c>
      <c r="D858" t="s">
        <v>1995</v>
      </c>
      <c r="E858" t="s">
        <v>23</v>
      </c>
      <c r="F858" t="s">
        <v>1992</v>
      </c>
      <c r="G858" s="3">
        <v>21.89</v>
      </c>
      <c r="H858" s="3">
        <v>0</v>
      </c>
      <c r="I858" s="3">
        <v>21.89</v>
      </c>
      <c r="J858" s="3">
        <f>Table1[[#This Row],[قيمة الفاتورة]]*0.94-Table1[[#This Row],[قيمة المشاركة]]</f>
        <v>20.576599999999999</v>
      </c>
      <c r="K858">
        <v>20.567</v>
      </c>
      <c r="L858" s="3">
        <f t="shared" si="13"/>
        <v>9.5999999999989427E-3</v>
      </c>
      <c r="M858" t="s">
        <v>1945</v>
      </c>
      <c r="N858" t="s">
        <v>19</v>
      </c>
    </row>
    <row r="859" spans="1:14" x14ac:dyDescent="0.3">
      <c r="A859">
        <v>690</v>
      </c>
      <c r="B859" t="s">
        <v>1800</v>
      </c>
      <c r="C859" t="s">
        <v>1990</v>
      </c>
      <c r="D859" t="s">
        <v>1996</v>
      </c>
      <c r="E859" t="s">
        <v>17</v>
      </c>
      <c r="F859" t="s">
        <v>1992</v>
      </c>
      <c r="G859" s="3">
        <v>2.57</v>
      </c>
      <c r="H859" s="3">
        <v>0</v>
      </c>
      <c r="I859" s="3">
        <v>2.57</v>
      </c>
      <c r="J859" s="3">
        <f>Table1[[#This Row],[قيمة الفاتورة]]*0.94-Table1[[#This Row],[قيمة المشاركة]]</f>
        <v>2.4157999999999995</v>
      </c>
      <c r="K859">
        <v>2.0310000000000001</v>
      </c>
      <c r="L859" s="3">
        <f t="shared" si="13"/>
        <v>0.38479999999999936</v>
      </c>
      <c r="M859" t="s">
        <v>1945</v>
      </c>
      <c r="N859" t="s">
        <v>19</v>
      </c>
    </row>
    <row r="860" spans="1:14" x14ac:dyDescent="0.3">
      <c r="A860">
        <v>168</v>
      </c>
      <c r="B860" t="s">
        <v>1997</v>
      </c>
      <c r="C860" t="s">
        <v>1998</v>
      </c>
      <c r="D860" t="s">
        <v>1999</v>
      </c>
      <c r="E860" t="s">
        <v>23</v>
      </c>
      <c r="F860" t="s">
        <v>2000</v>
      </c>
      <c r="G860" s="3">
        <v>9.3699999999999992</v>
      </c>
      <c r="H860" s="3">
        <v>0</v>
      </c>
      <c r="I860" s="3">
        <v>9.3699999999999992</v>
      </c>
      <c r="J860" s="3">
        <f>Table1[[#This Row],[قيمة الفاتورة]]*0.94-Table1[[#This Row],[قيمة المشاركة]]</f>
        <v>8.8077999999999985</v>
      </c>
      <c r="K860">
        <v>8.8079999999999998</v>
      </c>
      <c r="L860" s="3">
        <f t="shared" si="13"/>
        <v>-2.0000000000131024E-4</v>
      </c>
      <c r="M860" t="s">
        <v>1945</v>
      </c>
      <c r="N860" t="s">
        <v>19</v>
      </c>
    </row>
    <row r="861" spans="1:14" x14ac:dyDescent="0.3">
      <c r="A861">
        <v>170</v>
      </c>
      <c r="B861" t="s">
        <v>2001</v>
      </c>
      <c r="C861" t="s">
        <v>2002</v>
      </c>
      <c r="D861" t="s">
        <v>2003</v>
      </c>
      <c r="E861" t="s">
        <v>17</v>
      </c>
      <c r="F861" t="s">
        <v>2004</v>
      </c>
      <c r="G861" s="3">
        <v>21.077000000000002</v>
      </c>
      <c r="H861" s="3">
        <v>0</v>
      </c>
      <c r="I861" s="3">
        <v>21.077000000000002</v>
      </c>
      <c r="J861" s="3">
        <f>Table1[[#This Row],[قيمة الفاتورة]]*0.94-Table1[[#This Row],[قيمة المشاركة]]</f>
        <v>19.812380000000001</v>
      </c>
      <c r="K861">
        <v>20.106999999999999</v>
      </c>
      <c r="L861" s="3">
        <f t="shared" si="13"/>
        <v>-0.29461999999999833</v>
      </c>
      <c r="M861" t="s">
        <v>1945</v>
      </c>
      <c r="N861" t="s">
        <v>19</v>
      </c>
    </row>
    <row r="862" spans="1:14" x14ac:dyDescent="0.3">
      <c r="A862">
        <v>169</v>
      </c>
      <c r="B862" t="s">
        <v>945</v>
      </c>
      <c r="C862" t="s">
        <v>2005</v>
      </c>
      <c r="D862" t="s">
        <v>2006</v>
      </c>
      <c r="E862" t="s">
        <v>17</v>
      </c>
      <c r="F862" t="s">
        <v>2004</v>
      </c>
      <c r="G862" s="3">
        <v>26.87</v>
      </c>
      <c r="H862" s="3">
        <v>0</v>
      </c>
      <c r="I862" s="3">
        <v>26.87</v>
      </c>
      <c r="J862" s="3">
        <f>Table1[[#This Row],[قيمة الفاتورة]]*0.94-Table1[[#This Row],[قيمة المشاركة]]</f>
        <v>25.2578</v>
      </c>
      <c r="K862">
        <v>25.154</v>
      </c>
      <c r="L862" s="3">
        <f t="shared" si="13"/>
        <v>0.10379999999999967</v>
      </c>
      <c r="M862" t="s">
        <v>1945</v>
      </c>
      <c r="N862" t="s">
        <v>19</v>
      </c>
    </row>
    <row r="863" spans="1:14" x14ac:dyDescent="0.3">
      <c r="A863">
        <v>692</v>
      </c>
      <c r="B863" t="s">
        <v>2007</v>
      </c>
      <c r="C863" t="s">
        <v>2008</v>
      </c>
      <c r="D863" t="s">
        <v>2009</v>
      </c>
      <c r="E863" t="s">
        <v>23</v>
      </c>
      <c r="F863" t="s">
        <v>2010</v>
      </c>
      <c r="G863" s="3">
        <v>28.91</v>
      </c>
      <c r="H863" s="3">
        <v>5.782</v>
      </c>
      <c r="I863" s="3">
        <v>23.128</v>
      </c>
      <c r="J863" s="3">
        <f>Table1[[#This Row],[قيمة الفاتورة]]*0.94-Table1[[#This Row],[قيمة المشاركة]]</f>
        <v>21.3934</v>
      </c>
      <c r="K863">
        <v>16.806000000000001</v>
      </c>
      <c r="L863" s="3">
        <f t="shared" si="13"/>
        <v>4.5873999999999988</v>
      </c>
      <c r="M863" t="s">
        <v>1983</v>
      </c>
      <c r="N863" t="s">
        <v>328</v>
      </c>
    </row>
    <row r="864" spans="1:14" x14ac:dyDescent="0.3">
      <c r="A864">
        <v>693</v>
      </c>
      <c r="B864" t="s">
        <v>1430</v>
      </c>
      <c r="C864" t="s">
        <v>1431</v>
      </c>
      <c r="D864" t="s">
        <v>2011</v>
      </c>
      <c r="E864" t="s">
        <v>17</v>
      </c>
      <c r="F864" t="s">
        <v>2012</v>
      </c>
      <c r="G864" s="3">
        <v>68.23</v>
      </c>
      <c r="H864" s="3">
        <v>13.646000000000001</v>
      </c>
      <c r="I864" s="3">
        <v>54.584000000000003</v>
      </c>
      <c r="J864" s="3">
        <f>Table1[[#This Row],[قيمة الفاتورة]]*0.94-Table1[[#This Row],[قيمة المشاركة]]</f>
        <v>50.490200000000002</v>
      </c>
      <c r="K864">
        <v>50.49</v>
      </c>
      <c r="L864" s="3">
        <f t="shared" si="13"/>
        <v>1.9999999999953388E-4</v>
      </c>
      <c r="M864" t="s">
        <v>1983</v>
      </c>
      <c r="N864" t="s">
        <v>328</v>
      </c>
    </row>
    <row r="865" spans="1:14" x14ac:dyDescent="0.3">
      <c r="A865">
        <v>694</v>
      </c>
      <c r="B865" t="s">
        <v>1247</v>
      </c>
      <c r="C865" t="s">
        <v>312</v>
      </c>
      <c r="D865" t="s">
        <v>2013</v>
      </c>
      <c r="E865" t="s">
        <v>17</v>
      </c>
      <c r="F865" t="s">
        <v>2014</v>
      </c>
      <c r="G865" s="3">
        <v>52.12</v>
      </c>
      <c r="H865" s="3">
        <v>10.423999999999999</v>
      </c>
      <c r="I865" s="3">
        <v>41.695999999999998</v>
      </c>
      <c r="J865" s="3">
        <f>Table1[[#This Row],[قيمة الفاتورة]]*0.94-Table1[[#This Row],[قيمة المشاركة]]</f>
        <v>38.568799999999996</v>
      </c>
      <c r="K865">
        <v>38.569000000000003</v>
      </c>
      <c r="L865" s="3">
        <f t="shared" si="13"/>
        <v>-2.0000000000663931E-4</v>
      </c>
      <c r="M865" t="s">
        <v>1983</v>
      </c>
      <c r="N865" t="s">
        <v>328</v>
      </c>
    </row>
    <row r="866" spans="1:14" x14ac:dyDescent="0.3">
      <c r="A866">
        <v>695</v>
      </c>
      <c r="B866" t="s">
        <v>2007</v>
      </c>
      <c r="C866" t="s">
        <v>2008</v>
      </c>
      <c r="D866" t="s">
        <v>2015</v>
      </c>
      <c r="E866" t="s">
        <v>23</v>
      </c>
      <c r="F866" t="s">
        <v>2016</v>
      </c>
      <c r="G866" s="3">
        <v>7.98</v>
      </c>
      <c r="H866" s="3">
        <v>1.5960000000000001</v>
      </c>
      <c r="I866" s="3">
        <v>6.3840000000000003</v>
      </c>
      <c r="J866" s="3">
        <f>Table1[[#This Row],[قيمة الفاتورة]]*0.94-Table1[[#This Row],[قيمة المشاركة]]</f>
        <v>5.9051999999999998</v>
      </c>
      <c r="K866">
        <v>5.9050000000000002</v>
      </c>
      <c r="L866" s="3">
        <f t="shared" si="13"/>
        <v>1.9999999999953388E-4</v>
      </c>
      <c r="M866" t="s">
        <v>1796</v>
      </c>
      <c r="N866" t="s">
        <v>328</v>
      </c>
    </row>
    <row r="867" spans="1:14" x14ac:dyDescent="0.3">
      <c r="A867">
        <v>696</v>
      </c>
      <c r="B867" t="s">
        <v>1247</v>
      </c>
      <c r="C867" t="s">
        <v>312</v>
      </c>
      <c r="D867" t="s">
        <v>2017</v>
      </c>
      <c r="E867" t="s">
        <v>17</v>
      </c>
      <c r="F867" t="s">
        <v>2018</v>
      </c>
      <c r="G867" s="3">
        <v>12.34</v>
      </c>
      <c r="H867" s="3">
        <v>2.468</v>
      </c>
      <c r="I867" s="3">
        <v>9.8719999999999999</v>
      </c>
      <c r="J867" s="3">
        <f>Table1[[#This Row],[قيمة الفاتورة]]*0.94-Table1[[#This Row],[قيمة المشاركة]]</f>
        <v>9.1315999999999988</v>
      </c>
      <c r="K867">
        <v>9.1310000000000002</v>
      </c>
      <c r="L867" s="3">
        <f t="shared" si="13"/>
        <v>5.9999999999860165E-4</v>
      </c>
      <c r="M867" t="s">
        <v>1796</v>
      </c>
      <c r="N867" t="s">
        <v>328</v>
      </c>
    </row>
    <row r="868" spans="1:14" x14ac:dyDescent="0.3">
      <c r="A868">
        <v>698</v>
      </c>
      <c r="B868" t="s">
        <v>732</v>
      </c>
      <c r="C868" t="s">
        <v>733</v>
      </c>
      <c r="D868" t="s">
        <v>2019</v>
      </c>
      <c r="E868" t="s">
        <v>23</v>
      </c>
      <c r="F868" t="s">
        <v>2020</v>
      </c>
      <c r="G868" s="3">
        <v>12.33</v>
      </c>
      <c r="H868" s="3">
        <v>2.4660000000000002</v>
      </c>
      <c r="I868" s="3">
        <v>9.8640000000000008</v>
      </c>
      <c r="J868" s="3">
        <f>Table1[[#This Row],[قيمة الفاتورة]]*0.94-Table1[[#This Row],[قيمة المشاركة]]</f>
        <v>9.1241999999999983</v>
      </c>
      <c r="K868">
        <v>9.1240000000000006</v>
      </c>
      <c r="L868" s="3">
        <f t="shared" si="13"/>
        <v>1.9999999999775753E-4</v>
      </c>
      <c r="M868" t="s">
        <v>1796</v>
      </c>
      <c r="N868" t="s">
        <v>328</v>
      </c>
    </row>
    <row r="869" spans="1:14" x14ac:dyDescent="0.3">
      <c r="A869">
        <v>697</v>
      </c>
      <c r="B869" t="s">
        <v>324</v>
      </c>
      <c r="C869" t="s">
        <v>325</v>
      </c>
      <c r="D869" t="s">
        <v>2021</v>
      </c>
      <c r="E869" t="s">
        <v>17</v>
      </c>
      <c r="F869" t="s">
        <v>2020</v>
      </c>
      <c r="G869" s="3">
        <v>26.35</v>
      </c>
      <c r="H869" s="3">
        <v>5.27</v>
      </c>
      <c r="I869" s="3">
        <v>21.08</v>
      </c>
      <c r="J869" s="3">
        <f>Table1[[#This Row],[قيمة الفاتورة]]*0.94-Table1[[#This Row],[قيمة المشاركة]]</f>
        <v>19.498999999999999</v>
      </c>
      <c r="K869">
        <v>19.498000000000001</v>
      </c>
      <c r="L869" s="3">
        <f t="shared" si="13"/>
        <v>9.9999999999766942E-4</v>
      </c>
      <c r="M869" t="s">
        <v>1796</v>
      </c>
      <c r="N869" t="s">
        <v>328</v>
      </c>
    </row>
    <row r="870" spans="1:14" x14ac:dyDescent="0.3">
      <c r="A870">
        <v>699</v>
      </c>
      <c r="B870" t="s">
        <v>123</v>
      </c>
      <c r="C870" t="s">
        <v>124</v>
      </c>
      <c r="D870" t="s">
        <v>2022</v>
      </c>
      <c r="E870" t="s">
        <v>17</v>
      </c>
      <c r="F870" t="s">
        <v>2023</v>
      </c>
      <c r="G870" s="3">
        <v>12.37</v>
      </c>
      <c r="H870" s="3">
        <v>0</v>
      </c>
      <c r="I870" s="3">
        <v>12.37</v>
      </c>
      <c r="J870" s="3">
        <f>Table1[[#This Row],[قيمة الفاتورة]]*0.94-Table1[[#This Row],[قيمة المشاركة]]</f>
        <v>11.627799999999999</v>
      </c>
      <c r="K870">
        <v>11.628</v>
      </c>
      <c r="L870" s="3">
        <f t="shared" si="13"/>
        <v>-2.0000000000131024E-4</v>
      </c>
      <c r="M870" t="s">
        <v>2024</v>
      </c>
      <c r="N870" t="s">
        <v>126</v>
      </c>
    </row>
    <row r="871" spans="1:14" x14ac:dyDescent="0.3">
      <c r="A871">
        <v>700</v>
      </c>
      <c r="B871" t="s">
        <v>2007</v>
      </c>
      <c r="C871" t="s">
        <v>2008</v>
      </c>
      <c r="D871" t="s">
        <v>2025</v>
      </c>
      <c r="E871" t="s">
        <v>23</v>
      </c>
      <c r="F871" t="s">
        <v>2023</v>
      </c>
      <c r="G871" s="3">
        <v>15.06</v>
      </c>
      <c r="H871" s="3">
        <v>3.012</v>
      </c>
      <c r="I871" s="3">
        <v>12.048</v>
      </c>
      <c r="J871" s="3">
        <f>Table1[[#This Row],[قيمة الفاتورة]]*0.94-Table1[[#This Row],[قيمة المشاركة]]</f>
        <v>11.144399999999999</v>
      </c>
      <c r="K871">
        <v>11.144</v>
      </c>
      <c r="L871" s="3">
        <f t="shared" si="13"/>
        <v>3.9999999999906777E-4</v>
      </c>
      <c r="M871" t="s">
        <v>1796</v>
      </c>
      <c r="N871" t="s">
        <v>328</v>
      </c>
    </row>
    <row r="872" spans="1:14" x14ac:dyDescent="0.3">
      <c r="A872">
        <v>701</v>
      </c>
      <c r="B872" t="s">
        <v>324</v>
      </c>
      <c r="C872" t="s">
        <v>325</v>
      </c>
      <c r="D872" t="s">
        <v>2026</v>
      </c>
      <c r="E872" t="s">
        <v>17</v>
      </c>
      <c r="F872" t="s">
        <v>2027</v>
      </c>
      <c r="G872" s="3">
        <v>13.71</v>
      </c>
      <c r="H872" s="3">
        <v>2.742</v>
      </c>
      <c r="I872" s="3">
        <v>10.968</v>
      </c>
      <c r="J872" s="3">
        <f>Table1[[#This Row],[قيمة الفاتورة]]*0.94-Table1[[#This Row],[قيمة المشاركة]]</f>
        <v>10.145399999999999</v>
      </c>
      <c r="K872">
        <v>10.145</v>
      </c>
      <c r="L872" s="3">
        <f t="shared" si="13"/>
        <v>3.9999999999906777E-4</v>
      </c>
      <c r="M872" t="s">
        <v>1796</v>
      </c>
      <c r="N872" t="s">
        <v>328</v>
      </c>
    </row>
    <row r="873" spans="1:14" x14ac:dyDescent="0.3">
      <c r="A873">
        <v>702</v>
      </c>
      <c r="B873" t="s">
        <v>732</v>
      </c>
      <c r="C873" t="s">
        <v>733</v>
      </c>
      <c r="D873" t="s">
        <v>2028</v>
      </c>
      <c r="E873" t="s">
        <v>23</v>
      </c>
      <c r="F873" t="s">
        <v>2027</v>
      </c>
      <c r="G873" s="3">
        <v>32.69</v>
      </c>
      <c r="H873" s="3">
        <v>6.5380000000000003</v>
      </c>
      <c r="I873" s="3">
        <v>26.152000000000001</v>
      </c>
      <c r="J873" s="3">
        <f>Table1[[#This Row],[قيمة الفاتورة]]*0.94-Table1[[#This Row],[قيمة المشاركة]]</f>
        <v>24.190599999999996</v>
      </c>
      <c r="K873">
        <v>23.457000000000001</v>
      </c>
      <c r="L873" s="3">
        <f t="shared" si="13"/>
        <v>0.73359999999999559</v>
      </c>
      <c r="M873" t="s">
        <v>1796</v>
      </c>
      <c r="N873" t="s">
        <v>328</v>
      </c>
    </row>
    <row r="874" spans="1:14" x14ac:dyDescent="0.3">
      <c r="A874">
        <v>704</v>
      </c>
      <c r="B874" t="s">
        <v>2029</v>
      </c>
      <c r="C874" t="s">
        <v>2030</v>
      </c>
      <c r="D874" t="s">
        <v>2031</v>
      </c>
      <c r="E874" t="s">
        <v>23</v>
      </c>
      <c r="F874" t="s">
        <v>2032</v>
      </c>
      <c r="G874" s="3">
        <v>20</v>
      </c>
      <c r="H874" s="3">
        <v>4</v>
      </c>
      <c r="I874" s="3">
        <v>16</v>
      </c>
      <c r="J874" s="3">
        <f>Table1[[#This Row],[قيمة الفاتورة]]*0.94-Table1[[#This Row],[قيمة المشاركة]]</f>
        <v>14.799999999999997</v>
      </c>
      <c r="K874">
        <v>14.762</v>
      </c>
      <c r="L874" s="3">
        <f t="shared" si="13"/>
        <v>3.7999999999996703E-2</v>
      </c>
      <c r="M874" t="s">
        <v>1796</v>
      </c>
      <c r="N874" t="s">
        <v>328</v>
      </c>
    </row>
    <row r="875" spans="1:14" x14ac:dyDescent="0.3">
      <c r="A875">
        <v>703</v>
      </c>
      <c r="B875" t="s">
        <v>2007</v>
      </c>
      <c r="C875" t="s">
        <v>2008</v>
      </c>
      <c r="D875" t="s">
        <v>2033</v>
      </c>
      <c r="E875" t="s">
        <v>23</v>
      </c>
      <c r="F875" t="s">
        <v>2032</v>
      </c>
      <c r="G875" s="3">
        <v>30.97</v>
      </c>
      <c r="H875" s="3">
        <v>6.194</v>
      </c>
      <c r="I875" s="3">
        <v>24.776</v>
      </c>
      <c r="J875" s="3">
        <f>Table1[[#This Row],[قيمة الفاتورة]]*0.94-Table1[[#This Row],[قيمة المشاركة]]</f>
        <v>22.9178</v>
      </c>
      <c r="K875">
        <v>22.579000000000001</v>
      </c>
      <c r="L875" s="3">
        <f t="shared" si="13"/>
        <v>0.3387999999999991</v>
      </c>
      <c r="M875" t="s">
        <v>1796</v>
      </c>
      <c r="N875" t="s">
        <v>328</v>
      </c>
    </row>
    <row r="876" spans="1:14" x14ac:dyDescent="0.3">
      <c r="A876">
        <v>705</v>
      </c>
      <c r="B876" t="s">
        <v>123</v>
      </c>
      <c r="C876" t="s">
        <v>124</v>
      </c>
      <c r="D876" t="s">
        <v>2034</v>
      </c>
      <c r="E876" t="s">
        <v>17</v>
      </c>
      <c r="F876" t="s">
        <v>2035</v>
      </c>
      <c r="G876" s="3">
        <v>52.48</v>
      </c>
      <c r="H876" s="3">
        <v>0</v>
      </c>
      <c r="I876" s="3">
        <v>52.48</v>
      </c>
      <c r="J876" s="3">
        <f>Table1[[#This Row],[قيمة الفاتورة]]*0.94-Table1[[#This Row],[قيمة المشاركة]]</f>
        <v>49.331199999999995</v>
      </c>
      <c r="K876">
        <v>49.33</v>
      </c>
      <c r="L876" s="3">
        <f t="shared" si="13"/>
        <v>1.1999999999972033E-3</v>
      </c>
      <c r="M876" t="s">
        <v>2024</v>
      </c>
      <c r="N876" t="s">
        <v>126</v>
      </c>
    </row>
    <row r="877" spans="1:14" x14ac:dyDescent="0.3">
      <c r="A877">
        <v>706</v>
      </c>
      <c r="B877" t="s">
        <v>1610</v>
      </c>
      <c r="C877" t="s">
        <v>1611</v>
      </c>
      <c r="D877" t="s">
        <v>2036</v>
      </c>
      <c r="E877" t="s">
        <v>23</v>
      </c>
      <c r="F877" t="s">
        <v>2037</v>
      </c>
      <c r="G877" s="3">
        <v>56.36</v>
      </c>
      <c r="H877" s="3">
        <v>5.6360000000000001</v>
      </c>
      <c r="I877" s="3">
        <v>50.723999999999997</v>
      </c>
      <c r="J877" s="3">
        <f>Table1[[#This Row],[قيمة الفاتورة]]*0.94-Table1[[#This Row],[قيمة المشاركة]]</f>
        <v>47.342399999999991</v>
      </c>
      <c r="K877">
        <v>47.323999999999998</v>
      </c>
      <c r="L877" s="3">
        <f t="shared" si="13"/>
        <v>1.8399999999992644E-2</v>
      </c>
      <c r="M877" t="s">
        <v>1796</v>
      </c>
      <c r="N877" t="s">
        <v>328</v>
      </c>
    </row>
    <row r="878" spans="1:14" x14ac:dyDescent="0.3">
      <c r="A878">
        <v>707</v>
      </c>
      <c r="B878" t="s">
        <v>423</v>
      </c>
      <c r="C878" t="s">
        <v>1401</v>
      </c>
      <c r="D878" t="s">
        <v>2038</v>
      </c>
      <c r="E878" t="s">
        <v>23</v>
      </c>
      <c r="F878" t="s">
        <v>2039</v>
      </c>
      <c r="G878" s="3">
        <v>19.678999999999998</v>
      </c>
      <c r="H878" s="3">
        <v>0</v>
      </c>
      <c r="I878" s="3">
        <v>19.678999999999998</v>
      </c>
      <c r="J878" s="3">
        <f>Table1[[#This Row],[قيمة الفاتورة]]*0.94-Table1[[#This Row],[قيمة المشاركة]]</f>
        <v>18.498259999999998</v>
      </c>
      <c r="K878">
        <v>18.498000000000001</v>
      </c>
      <c r="L878" s="3">
        <f t="shared" si="13"/>
        <v>2.5999999999726242E-4</v>
      </c>
      <c r="M878" t="s">
        <v>1945</v>
      </c>
      <c r="N878" t="s">
        <v>19</v>
      </c>
    </row>
    <row r="879" spans="1:14" x14ac:dyDescent="0.3">
      <c r="A879">
        <v>710</v>
      </c>
      <c r="B879" t="s">
        <v>2040</v>
      </c>
      <c r="C879" t="s">
        <v>2041</v>
      </c>
      <c r="D879" t="s">
        <v>2042</v>
      </c>
      <c r="E879" t="s">
        <v>17</v>
      </c>
      <c r="F879" t="s">
        <v>2039</v>
      </c>
      <c r="G879" s="3">
        <v>15.86</v>
      </c>
      <c r="H879" s="3">
        <v>0</v>
      </c>
      <c r="I879" s="3">
        <v>15.86</v>
      </c>
      <c r="J879" s="3">
        <f>Table1[[#This Row],[قيمة الفاتورة]]*0.94-Table1[[#This Row],[قيمة المشاركة]]</f>
        <v>14.908399999999999</v>
      </c>
      <c r="K879">
        <v>14.907999999999999</v>
      </c>
      <c r="L879" s="3">
        <f t="shared" si="13"/>
        <v>3.9999999999906777E-4</v>
      </c>
      <c r="M879" t="s">
        <v>1945</v>
      </c>
      <c r="N879" t="s">
        <v>19</v>
      </c>
    </row>
    <row r="880" spans="1:14" x14ac:dyDescent="0.3">
      <c r="A880">
        <v>708</v>
      </c>
      <c r="B880" t="s">
        <v>2043</v>
      </c>
      <c r="C880" t="s">
        <v>2044</v>
      </c>
      <c r="D880" t="s">
        <v>2045</v>
      </c>
      <c r="E880" t="s">
        <v>17</v>
      </c>
      <c r="F880" t="s">
        <v>2039</v>
      </c>
      <c r="G880" s="3">
        <v>22.44</v>
      </c>
      <c r="H880" s="3">
        <v>0</v>
      </c>
      <c r="I880" s="3">
        <v>22.44</v>
      </c>
      <c r="J880" s="3">
        <f>Table1[[#This Row],[قيمة الفاتورة]]*0.94-Table1[[#This Row],[قيمة المشاركة]]</f>
        <v>21.093599999999999</v>
      </c>
      <c r="L880" s="3" t="str">
        <f t="shared" si="13"/>
        <v/>
      </c>
      <c r="N880" t="s">
        <v>19</v>
      </c>
    </row>
    <row r="881" spans="1:14" x14ac:dyDescent="0.3">
      <c r="A881">
        <v>709</v>
      </c>
      <c r="B881" t="s">
        <v>2046</v>
      </c>
      <c r="C881" t="s">
        <v>1257</v>
      </c>
      <c r="D881" t="s">
        <v>2047</v>
      </c>
      <c r="E881" t="s">
        <v>17</v>
      </c>
      <c r="F881" t="s">
        <v>2039</v>
      </c>
      <c r="G881" s="3">
        <v>13.76</v>
      </c>
      <c r="H881" s="3">
        <v>0</v>
      </c>
      <c r="I881" s="3">
        <v>13.76</v>
      </c>
      <c r="J881" s="3">
        <f>Table1[[#This Row],[قيمة الفاتورة]]*0.94-Table1[[#This Row],[قيمة المشاركة]]</f>
        <v>12.934399999999998</v>
      </c>
      <c r="L881" s="3" t="str">
        <f t="shared" si="13"/>
        <v/>
      </c>
      <c r="N881" t="s">
        <v>19</v>
      </c>
    </row>
    <row r="882" spans="1:14" x14ac:dyDescent="0.3">
      <c r="A882">
        <v>711</v>
      </c>
      <c r="B882" t="s">
        <v>2048</v>
      </c>
      <c r="C882" t="s">
        <v>2049</v>
      </c>
      <c r="D882" t="s">
        <v>2050</v>
      </c>
      <c r="E882" t="s">
        <v>23</v>
      </c>
      <c r="F882" t="s">
        <v>2051</v>
      </c>
      <c r="G882" s="3">
        <v>7.47</v>
      </c>
      <c r="H882" s="3">
        <v>0</v>
      </c>
      <c r="I882" s="3">
        <v>7.47</v>
      </c>
      <c r="J882" s="3">
        <f>Table1[[#This Row],[قيمة الفاتورة]]*0.94-Table1[[#This Row],[قيمة المشاركة]]</f>
        <v>7.0217999999999989</v>
      </c>
      <c r="K882">
        <v>7.0229999999999997</v>
      </c>
      <c r="L882" s="3">
        <f t="shared" si="13"/>
        <v>-1.200000000000756E-3</v>
      </c>
      <c r="M882" t="s">
        <v>1945</v>
      </c>
      <c r="N882" t="s">
        <v>19</v>
      </c>
    </row>
    <row r="883" spans="1:14" x14ac:dyDescent="0.3">
      <c r="A883">
        <v>713</v>
      </c>
      <c r="B883" t="s">
        <v>2052</v>
      </c>
      <c r="C883" t="s">
        <v>2053</v>
      </c>
      <c r="D883" t="s">
        <v>2054</v>
      </c>
      <c r="E883" t="s">
        <v>23</v>
      </c>
      <c r="F883" t="s">
        <v>2051</v>
      </c>
      <c r="G883" s="3">
        <v>22.31</v>
      </c>
      <c r="H883" s="3">
        <v>0</v>
      </c>
      <c r="I883" s="3">
        <v>22.31</v>
      </c>
      <c r="J883" s="3">
        <f>Table1[[#This Row],[قيمة الفاتورة]]*0.94-Table1[[#This Row],[قيمة المشاركة]]</f>
        <v>20.971399999999999</v>
      </c>
      <c r="K883">
        <v>20.972000000000001</v>
      </c>
      <c r="L883" s="3">
        <f t="shared" si="13"/>
        <v>-6.0000000000215437E-4</v>
      </c>
      <c r="M883" t="s">
        <v>1945</v>
      </c>
      <c r="N883" t="s">
        <v>19</v>
      </c>
    </row>
    <row r="884" spans="1:14" x14ac:dyDescent="0.3">
      <c r="A884">
        <v>714</v>
      </c>
      <c r="B884" t="s">
        <v>766</v>
      </c>
      <c r="C884" t="s">
        <v>2055</v>
      </c>
      <c r="D884" t="s">
        <v>2056</v>
      </c>
      <c r="E884" t="s">
        <v>23</v>
      </c>
      <c r="F884" t="s">
        <v>2051</v>
      </c>
      <c r="G884" s="3">
        <v>17.37</v>
      </c>
      <c r="H884" s="3">
        <v>0</v>
      </c>
      <c r="I884" s="3">
        <v>17.37</v>
      </c>
      <c r="J884" s="3">
        <f>Table1[[#This Row],[قيمة الفاتورة]]*0.94-Table1[[#This Row],[قيمة المشاركة]]</f>
        <v>16.3278</v>
      </c>
      <c r="K884">
        <v>16.327999999999999</v>
      </c>
      <c r="L884" s="3">
        <f t="shared" si="13"/>
        <v>-1.9999999999953388E-4</v>
      </c>
      <c r="M884" t="s">
        <v>1945</v>
      </c>
      <c r="N884" t="s">
        <v>19</v>
      </c>
    </row>
    <row r="885" spans="1:14" x14ac:dyDescent="0.3">
      <c r="A885">
        <v>715</v>
      </c>
      <c r="B885" t="s">
        <v>423</v>
      </c>
      <c r="C885" t="s">
        <v>1401</v>
      </c>
      <c r="D885" t="s">
        <v>2057</v>
      </c>
      <c r="E885" t="s">
        <v>17</v>
      </c>
      <c r="F885" t="s">
        <v>2051</v>
      </c>
      <c r="G885" s="3">
        <v>25.19</v>
      </c>
      <c r="H885" s="3">
        <v>0</v>
      </c>
      <c r="I885" s="3">
        <v>25.19</v>
      </c>
      <c r="J885" s="3">
        <f>Table1[[#This Row],[قيمة الفاتورة]]*0.94-Table1[[#This Row],[قيمة المشاركة]]</f>
        <v>23.678599999999999</v>
      </c>
      <c r="K885">
        <v>23.678000000000001</v>
      </c>
      <c r="L885" s="3">
        <f t="shared" si="13"/>
        <v>5.9999999999860165E-4</v>
      </c>
      <c r="M885" t="s">
        <v>1945</v>
      </c>
      <c r="N885" t="s">
        <v>19</v>
      </c>
    </row>
    <row r="886" spans="1:14" x14ac:dyDescent="0.3">
      <c r="A886">
        <v>712</v>
      </c>
      <c r="B886" t="s">
        <v>72</v>
      </c>
      <c r="C886" t="s">
        <v>73</v>
      </c>
      <c r="D886" t="s">
        <v>2058</v>
      </c>
      <c r="E886" t="s">
        <v>23</v>
      </c>
      <c r="F886" t="s">
        <v>2051</v>
      </c>
      <c r="G886" s="3">
        <v>41.7</v>
      </c>
      <c r="H886" s="3">
        <v>0</v>
      </c>
      <c r="I886" s="3">
        <v>41.7</v>
      </c>
      <c r="J886" s="3">
        <f>Table1[[#This Row],[قيمة الفاتورة]]*0.94-Table1[[#This Row],[قيمة المشاركة]]</f>
        <v>39.198</v>
      </c>
      <c r="K886">
        <v>39.197000000000003</v>
      </c>
      <c r="L886" s="3">
        <f t="shared" si="13"/>
        <v>9.9999999999766942E-4</v>
      </c>
      <c r="M886" t="s">
        <v>1945</v>
      </c>
      <c r="N886" t="s">
        <v>19</v>
      </c>
    </row>
    <row r="887" spans="1:14" x14ac:dyDescent="0.3">
      <c r="A887">
        <v>717</v>
      </c>
      <c r="B887" t="s">
        <v>1311</v>
      </c>
      <c r="C887" t="s">
        <v>1312</v>
      </c>
      <c r="D887" t="s">
        <v>2059</v>
      </c>
      <c r="E887" t="s">
        <v>17</v>
      </c>
      <c r="F887" t="s">
        <v>2060</v>
      </c>
      <c r="G887" s="3">
        <v>26.75</v>
      </c>
      <c r="H887" s="3">
        <v>0</v>
      </c>
      <c r="I887" s="3">
        <v>26.75</v>
      </c>
      <c r="J887" s="3">
        <f>Table1[[#This Row],[قيمة الفاتورة]]*0.94-Table1[[#This Row],[قيمة المشاركة]]</f>
        <v>25.145</v>
      </c>
      <c r="K887">
        <v>25.145</v>
      </c>
      <c r="L887" s="3">
        <f t="shared" si="13"/>
        <v>0</v>
      </c>
      <c r="M887" t="s">
        <v>1945</v>
      </c>
      <c r="N887" t="s">
        <v>19</v>
      </c>
    </row>
    <row r="888" spans="1:14" x14ac:dyDescent="0.3">
      <c r="A888">
        <v>171</v>
      </c>
      <c r="B888" t="s">
        <v>176</v>
      </c>
      <c r="C888" t="s">
        <v>177</v>
      </c>
      <c r="D888" t="s">
        <v>2061</v>
      </c>
      <c r="E888" t="s">
        <v>17</v>
      </c>
      <c r="F888" t="s">
        <v>2060</v>
      </c>
      <c r="G888" s="3">
        <v>41.48</v>
      </c>
      <c r="H888" s="3">
        <v>0</v>
      </c>
      <c r="I888" s="3">
        <v>41.48</v>
      </c>
      <c r="J888" s="3">
        <f>Table1[[#This Row],[قيمة الفاتورة]]*0.94-Table1[[#This Row],[قيمة المشاركة]]</f>
        <v>38.991199999999992</v>
      </c>
      <c r="K888">
        <v>38.991</v>
      </c>
      <c r="L888" s="3">
        <f t="shared" si="13"/>
        <v>1.9999999999242846E-4</v>
      </c>
      <c r="M888" t="s">
        <v>1945</v>
      </c>
      <c r="N888" t="s">
        <v>19</v>
      </c>
    </row>
    <row r="889" spans="1:14" x14ac:dyDescent="0.3">
      <c r="A889">
        <v>716</v>
      </c>
      <c r="B889" t="s">
        <v>917</v>
      </c>
      <c r="C889" t="s">
        <v>918</v>
      </c>
      <c r="D889" t="s">
        <v>2062</v>
      </c>
      <c r="E889" t="s">
        <v>23</v>
      </c>
      <c r="F889" t="s">
        <v>2060</v>
      </c>
      <c r="G889" s="3">
        <v>15.51</v>
      </c>
      <c r="H889" s="3">
        <v>0</v>
      </c>
      <c r="I889" s="3">
        <v>15.51</v>
      </c>
      <c r="J889" s="3">
        <f>Table1[[#This Row],[قيمة الفاتورة]]*0.94-Table1[[#This Row],[قيمة المشاركة]]</f>
        <v>14.5794</v>
      </c>
      <c r="K889">
        <v>14.579000000000001</v>
      </c>
      <c r="L889" s="3">
        <f t="shared" si="13"/>
        <v>3.9999999999906777E-4</v>
      </c>
      <c r="M889" t="s">
        <v>1945</v>
      </c>
      <c r="N889" t="s">
        <v>19</v>
      </c>
    </row>
    <row r="890" spans="1:14" x14ac:dyDescent="0.3">
      <c r="A890">
        <v>718</v>
      </c>
      <c r="B890" t="s">
        <v>2063</v>
      </c>
      <c r="C890" t="s">
        <v>2064</v>
      </c>
      <c r="D890" t="s">
        <v>2065</v>
      </c>
      <c r="E890" t="s">
        <v>23</v>
      </c>
      <c r="F890" t="s">
        <v>2060</v>
      </c>
      <c r="G890" s="3">
        <v>42.9</v>
      </c>
      <c r="H890" s="3">
        <v>8.58</v>
      </c>
      <c r="I890" s="3">
        <v>34.32</v>
      </c>
      <c r="J890" s="3">
        <f>Table1[[#This Row],[قيمة الفاتورة]]*0.94-Table1[[#This Row],[قيمة المشاركة]]</f>
        <v>31.745999999999995</v>
      </c>
      <c r="K890">
        <v>29.614000000000001</v>
      </c>
      <c r="L890" s="3">
        <f t="shared" si="13"/>
        <v>2.1319999999999943</v>
      </c>
      <c r="M890" s="5">
        <v>46113</v>
      </c>
      <c r="N890" s="5" t="s">
        <v>19</v>
      </c>
    </row>
    <row r="891" spans="1:14" x14ac:dyDescent="0.3">
      <c r="A891">
        <v>719</v>
      </c>
      <c r="B891" t="s">
        <v>2066</v>
      </c>
      <c r="C891" t="s">
        <v>43</v>
      </c>
      <c r="D891" t="s">
        <v>2067</v>
      </c>
      <c r="E891" t="s">
        <v>17</v>
      </c>
      <c r="F891" t="s">
        <v>2060</v>
      </c>
      <c r="G891" s="3">
        <v>30.88</v>
      </c>
      <c r="H891" s="3">
        <v>0</v>
      </c>
      <c r="I891" s="3">
        <v>30.88</v>
      </c>
      <c r="J891" s="3">
        <f>Table1[[#This Row],[قيمة الفاتورة]]*0.94-Table1[[#This Row],[قيمة المشاركة]]</f>
        <v>29.027199999999997</v>
      </c>
      <c r="L891" s="3" t="str">
        <f t="shared" si="13"/>
        <v/>
      </c>
      <c r="N891" t="s">
        <v>19</v>
      </c>
    </row>
    <row r="892" spans="1:14" x14ac:dyDescent="0.3">
      <c r="A892">
        <v>722</v>
      </c>
      <c r="B892" t="s">
        <v>1221</v>
      </c>
      <c r="C892" t="s">
        <v>1222</v>
      </c>
      <c r="D892" t="s">
        <v>2068</v>
      </c>
      <c r="E892" t="s">
        <v>23</v>
      </c>
      <c r="F892" t="s">
        <v>2069</v>
      </c>
      <c r="G892" s="3">
        <v>12.06</v>
      </c>
      <c r="H892" s="3">
        <v>0</v>
      </c>
      <c r="I892" s="3">
        <v>12.06</v>
      </c>
      <c r="J892" s="3">
        <f>Table1[[#This Row],[قيمة الفاتورة]]*0.94-Table1[[#This Row],[قيمة المشاركة]]</f>
        <v>11.336399999999999</v>
      </c>
      <c r="K892">
        <v>11.337</v>
      </c>
      <c r="L892" s="3">
        <f t="shared" si="13"/>
        <v>-6.0000000000037801E-4</v>
      </c>
      <c r="M892" t="s">
        <v>1945</v>
      </c>
      <c r="N892" t="s">
        <v>19</v>
      </c>
    </row>
    <row r="893" spans="1:14" x14ac:dyDescent="0.3">
      <c r="A893">
        <v>721</v>
      </c>
      <c r="B893" t="s">
        <v>52</v>
      </c>
      <c r="C893" t="s">
        <v>53</v>
      </c>
      <c r="D893" t="s">
        <v>2070</v>
      </c>
      <c r="E893" t="s">
        <v>17</v>
      </c>
      <c r="F893" t="s">
        <v>2069</v>
      </c>
      <c r="G893" s="3">
        <v>60.99</v>
      </c>
      <c r="H893" s="3">
        <v>0</v>
      </c>
      <c r="I893" s="3">
        <v>60.99</v>
      </c>
      <c r="J893" s="3">
        <f>Table1[[#This Row],[قيمة الفاتورة]]*0.94-Table1[[#This Row],[قيمة المشاركة]]</f>
        <v>57.330599999999997</v>
      </c>
      <c r="K893">
        <v>57.331000000000003</v>
      </c>
      <c r="L893" s="3">
        <f t="shared" si="13"/>
        <v>-4.000000000061732E-4</v>
      </c>
      <c r="M893" t="s">
        <v>1945</v>
      </c>
      <c r="N893" t="s">
        <v>19</v>
      </c>
    </row>
    <row r="894" spans="1:14" x14ac:dyDescent="0.3">
      <c r="A894">
        <v>723</v>
      </c>
      <c r="B894" t="s">
        <v>2071</v>
      </c>
      <c r="C894" t="s">
        <v>2072</v>
      </c>
      <c r="D894" t="s">
        <v>2073</v>
      </c>
      <c r="E894" t="s">
        <v>23</v>
      </c>
      <c r="F894" t="s">
        <v>2069</v>
      </c>
      <c r="G894" s="3">
        <v>14.29</v>
      </c>
      <c r="H894" s="3">
        <v>0</v>
      </c>
      <c r="I894" s="3">
        <v>14.29</v>
      </c>
      <c r="J894" s="3">
        <f>Table1[[#This Row],[قيمة الفاتورة]]*0.94-Table1[[#This Row],[قيمة المشاركة]]</f>
        <v>13.432599999999999</v>
      </c>
      <c r="K894">
        <v>13.433</v>
      </c>
      <c r="L894" s="3">
        <f t="shared" si="13"/>
        <v>-4.0000000000084412E-4</v>
      </c>
      <c r="M894" t="s">
        <v>1945</v>
      </c>
      <c r="N894" t="s">
        <v>19</v>
      </c>
    </row>
    <row r="895" spans="1:14" x14ac:dyDescent="0.3">
      <c r="A895">
        <v>720</v>
      </c>
      <c r="B895" t="s">
        <v>200</v>
      </c>
      <c r="C895" t="s">
        <v>201</v>
      </c>
      <c r="D895" t="s">
        <v>2074</v>
      </c>
      <c r="E895" t="s">
        <v>17</v>
      </c>
      <c r="F895" t="s">
        <v>2069</v>
      </c>
      <c r="G895" s="3">
        <v>25.01</v>
      </c>
      <c r="H895" s="3">
        <v>0</v>
      </c>
      <c r="I895" s="3">
        <v>25.01</v>
      </c>
      <c r="J895" s="3">
        <f>Table1[[#This Row],[قيمة الفاتورة]]*0.94-Table1[[#This Row],[قيمة المشاركة]]</f>
        <v>23.509399999999999</v>
      </c>
      <c r="K895">
        <v>23.509</v>
      </c>
      <c r="L895" s="3">
        <f t="shared" si="13"/>
        <v>3.9999999999906777E-4</v>
      </c>
      <c r="M895" t="s">
        <v>1945</v>
      </c>
      <c r="N895" t="s">
        <v>19</v>
      </c>
    </row>
    <row r="896" spans="1:14" x14ac:dyDescent="0.3">
      <c r="A896">
        <v>726</v>
      </c>
      <c r="B896" t="s">
        <v>812</v>
      </c>
      <c r="C896" t="s">
        <v>167</v>
      </c>
      <c r="D896" t="s">
        <v>2075</v>
      </c>
      <c r="E896" t="s">
        <v>23</v>
      </c>
      <c r="F896" t="s">
        <v>2076</v>
      </c>
      <c r="G896" s="3">
        <v>7.97</v>
      </c>
      <c r="H896" s="3">
        <v>0</v>
      </c>
      <c r="I896" s="3">
        <v>7.97</v>
      </c>
      <c r="J896" s="3">
        <f>Table1[[#This Row],[قيمة الفاتورة]]*0.94-Table1[[#This Row],[قيمة المشاركة]]</f>
        <v>7.4917999999999996</v>
      </c>
      <c r="K896">
        <v>7.492</v>
      </c>
      <c r="L896" s="3">
        <f t="shared" si="13"/>
        <v>-2.0000000000042206E-4</v>
      </c>
      <c r="M896" t="s">
        <v>1945</v>
      </c>
      <c r="N896" t="s">
        <v>19</v>
      </c>
    </row>
    <row r="897" spans="1:14" x14ac:dyDescent="0.3">
      <c r="A897">
        <v>729</v>
      </c>
      <c r="B897" t="s">
        <v>1846</v>
      </c>
      <c r="C897" t="s">
        <v>1867</v>
      </c>
      <c r="D897" t="s">
        <v>2077</v>
      </c>
      <c r="E897" t="s">
        <v>17</v>
      </c>
      <c r="F897" t="s">
        <v>2076</v>
      </c>
      <c r="G897" s="3">
        <v>15.05</v>
      </c>
      <c r="H897" s="3">
        <v>0</v>
      </c>
      <c r="I897" s="3">
        <v>15.05</v>
      </c>
      <c r="J897" s="3">
        <f>Table1[[#This Row],[قيمة الفاتورة]]*0.94-Table1[[#This Row],[قيمة المشاركة]]</f>
        <v>14.147</v>
      </c>
      <c r="K897">
        <v>14.147</v>
      </c>
      <c r="L897" s="3">
        <f t="shared" si="13"/>
        <v>0</v>
      </c>
      <c r="M897" t="s">
        <v>1945</v>
      </c>
      <c r="N897" t="s">
        <v>19</v>
      </c>
    </row>
    <row r="898" spans="1:14" x14ac:dyDescent="0.3">
      <c r="A898">
        <v>724</v>
      </c>
      <c r="B898" t="s">
        <v>2078</v>
      </c>
      <c r="C898" t="s">
        <v>858</v>
      </c>
      <c r="D898" t="s">
        <v>2079</v>
      </c>
      <c r="E898" t="s">
        <v>17</v>
      </c>
      <c r="F898" t="s">
        <v>2076</v>
      </c>
      <c r="G898" s="3">
        <v>39.26</v>
      </c>
      <c r="H898" s="3">
        <v>0</v>
      </c>
      <c r="I898" s="3">
        <v>39.26</v>
      </c>
      <c r="J898" s="3">
        <f>Table1[[#This Row],[قيمة الفاتورة]]*0.94-Table1[[#This Row],[قيمة المشاركة]]</f>
        <v>36.904399999999995</v>
      </c>
      <c r="K898">
        <v>36.904000000000003</v>
      </c>
      <c r="L898" s="3">
        <f t="shared" ref="L898:L961" si="14">IF(ISNUMBER(K898), J898-K898, "")</f>
        <v>3.9999999999196234E-4</v>
      </c>
      <c r="M898" t="s">
        <v>1945</v>
      </c>
      <c r="N898" t="s">
        <v>19</v>
      </c>
    </row>
    <row r="899" spans="1:14" x14ac:dyDescent="0.3">
      <c r="A899">
        <v>730</v>
      </c>
      <c r="B899" t="s">
        <v>1060</v>
      </c>
      <c r="C899" t="s">
        <v>173</v>
      </c>
      <c r="D899" t="s">
        <v>2080</v>
      </c>
      <c r="E899" t="s">
        <v>23</v>
      </c>
      <c r="F899" t="s">
        <v>2076</v>
      </c>
      <c r="G899" s="3">
        <v>9.56</v>
      </c>
      <c r="H899" s="3">
        <v>0</v>
      </c>
      <c r="I899" s="3">
        <v>9.56</v>
      </c>
      <c r="J899" s="3">
        <f>Table1[[#This Row],[قيمة الفاتورة]]*0.94-Table1[[#This Row],[قيمة المشاركة]]</f>
        <v>8.9863999999999997</v>
      </c>
      <c r="K899">
        <v>8.9860000000000007</v>
      </c>
      <c r="L899" s="3">
        <f t="shared" si="14"/>
        <v>3.9999999999906777E-4</v>
      </c>
      <c r="M899" t="s">
        <v>1945</v>
      </c>
      <c r="N899" t="s">
        <v>19</v>
      </c>
    </row>
    <row r="900" spans="1:14" x14ac:dyDescent="0.3">
      <c r="A900">
        <v>731</v>
      </c>
      <c r="B900" t="s">
        <v>392</v>
      </c>
      <c r="C900" t="s">
        <v>393</v>
      </c>
      <c r="D900" t="s">
        <v>2081</v>
      </c>
      <c r="E900" t="s">
        <v>17</v>
      </c>
      <c r="F900" t="s">
        <v>2076</v>
      </c>
      <c r="G900" s="3">
        <v>32.42</v>
      </c>
      <c r="H900" s="3">
        <v>0</v>
      </c>
      <c r="I900" s="3">
        <v>32.42</v>
      </c>
      <c r="J900" s="3">
        <f>Table1[[#This Row],[قيمة الفاتورة]]*0.94-Table1[[#This Row],[قيمة المشاركة]]</f>
        <v>30.474799999999998</v>
      </c>
      <c r="K900">
        <v>30.370999999999999</v>
      </c>
      <c r="L900" s="3">
        <f t="shared" si="14"/>
        <v>0.10379999999999967</v>
      </c>
      <c r="M900" t="s">
        <v>1945</v>
      </c>
      <c r="N900" t="s">
        <v>19</v>
      </c>
    </row>
    <row r="901" spans="1:14" x14ac:dyDescent="0.3">
      <c r="A901">
        <v>728</v>
      </c>
      <c r="B901" t="s">
        <v>2082</v>
      </c>
      <c r="C901" t="s">
        <v>2083</v>
      </c>
      <c r="D901" t="s">
        <v>2084</v>
      </c>
      <c r="E901" t="s">
        <v>23</v>
      </c>
      <c r="F901" t="s">
        <v>2076</v>
      </c>
      <c r="G901" s="3">
        <v>14.92</v>
      </c>
      <c r="H901" s="3">
        <v>0</v>
      </c>
      <c r="I901" s="3">
        <v>14.92</v>
      </c>
      <c r="J901" s="3">
        <f>Table1[[#This Row],[قيمة الفاتورة]]*0.94-Table1[[#This Row],[قيمة المشاركة]]</f>
        <v>14.024799999999999</v>
      </c>
      <c r="K901">
        <v>13.612</v>
      </c>
      <c r="L901" s="3">
        <f t="shared" si="14"/>
        <v>0.41279999999999895</v>
      </c>
      <c r="M901" t="s">
        <v>1945</v>
      </c>
      <c r="N901" t="s">
        <v>19</v>
      </c>
    </row>
    <row r="902" spans="1:14" x14ac:dyDescent="0.3">
      <c r="A902">
        <v>725</v>
      </c>
      <c r="B902" t="s">
        <v>519</v>
      </c>
      <c r="C902" t="s">
        <v>2085</v>
      </c>
      <c r="D902" t="s">
        <v>2086</v>
      </c>
      <c r="E902" t="s">
        <v>23</v>
      </c>
      <c r="F902" t="s">
        <v>2076</v>
      </c>
      <c r="G902" s="3">
        <v>14.3</v>
      </c>
      <c r="H902" s="3">
        <v>0</v>
      </c>
      <c r="I902" s="3">
        <v>14.3</v>
      </c>
      <c r="J902" s="3">
        <f>Table1[[#This Row],[قيمة الفاتورة]]*0.94-Table1[[#This Row],[قيمة المشاركة]]</f>
        <v>13.442</v>
      </c>
      <c r="K902">
        <v>13.02</v>
      </c>
      <c r="L902" s="3">
        <f t="shared" si="14"/>
        <v>0.4220000000000006</v>
      </c>
      <c r="M902" t="s">
        <v>1945</v>
      </c>
      <c r="N902" t="s">
        <v>19</v>
      </c>
    </row>
    <row r="903" spans="1:14" x14ac:dyDescent="0.3">
      <c r="A903">
        <v>727</v>
      </c>
      <c r="B903" t="s">
        <v>809</v>
      </c>
      <c r="C903" t="s">
        <v>810</v>
      </c>
      <c r="D903" t="s">
        <v>2087</v>
      </c>
      <c r="E903" t="s">
        <v>23</v>
      </c>
      <c r="F903" t="s">
        <v>2076</v>
      </c>
      <c r="G903" s="3">
        <v>12.79</v>
      </c>
      <c r="H903" s="3">
        <v>0</v>
      </c>
      <c r="I903" s="3">
        <v>12.79</v>
      </c>
      <c r="J903" s="3">
        <f>Table1[[#This Row],[قيمة الفاتورة]]*0.94-Table1[[#This Row],[قيمة المشاركة]]</f>
        <v>12.022599999999999</v>
      </c>
      <c r="K903">
        <v>11.458</v>
      </c>
      <c r="L903" s="3">
        <f t="shared" si="14"/>
        <v>0.56459999999999866</v>
      </c>
      <c r="M903" t="s">
        <v>1945</v>
      </c>
      <c r="N903" t="s">
        <v>19</v>
      </c>
    </row>
    <row r="904" spans="1:14" x14ac:dyDescent="0.3">
      <c r="A904">
        <v>733</v>
      </c>
      <c r="B904" t="s">
        <v>2088</v>
      </c>
      <c r="C904" t="s">
        <v>354</v>
      </c>
      <c r="D904" t="s">
        <v>2089</v>
      </c>
      <c r="E904" t="s">
        <v>17</v>
      </c>
      <c r="F904" t="s">
        <v>2090</v>
      </c>
      <c r="G904" s="3">
        <v>12.67</v>
      </c>
      <c r="H904" s="3">
        <v>0</v>
      </c>
      <c r="I904" s="3">
        <v>12.67</v>
      </c>
      <c r="J904" s="3">
        <f>Table1[[#This Row],[قيمة الفاتورة]]*0.94-Table1[[#This Row],[قيمة المشاركة]]</f>
        <v>11.909799999999999</v>
      </c>
      <c r="K904">
        <v>11.91</v>
      </c>
      <c r="L904" s="3">
        <f t="shared" si="14"/>
        <v>-2.0000000000131024E-4</v>
      </c>
      <c r="M904" t="s">
        <v>1945</v>
      </c>
      <c r="N904" t="s">
        <v>19</v>
      </c>
    </row>
    <row r="905" spans="1:14" x14ac:dyDescent="0.3">
      <c r="A905">
        <v>734</v>
      </c>
      <c r="B905" t="s">
        <v>1221</v>
      </c>
      <c r="C905" t="s">
        <v>1222</v>
      </c>
      <c r="D905" t="s">
        <v>2091</v>
      </c>
      <c r="E905" t="s">
        <v>17</v>
      </c>
      <c r="F905" t="s">
        <v>2090</v>
      </c>
      <c r="G905" s="3">
        <v>2.37</v>
      </c>
      <c r="H905" s="3">
        <v>0</v>
      </c>
      <c r="I905" s="3">
        <v>2.37</v>
      </c>
      <c r="J905" s="3">
        <f>Table1[[#This Row],[قيمة الفاتورة]]*0.94-Table1[[#This Row],[قيمة المشاركة]]</f>
        <v>2.2277999999999998</v>
      </c>
      <c r="K905">
        <v>2.2280000000000002</v>
      </c>
      <c r="L905" s="3">
        <f t="shared" si="14"/>
        <v>-2.0000000000042206E-4</v>
      </c>
      <c r="M905" t="s">
        <v>1945</v>
      </c>
      <c r="N905" t="s">
        <v>19</v>
      </c>
    </row>
    <row r="906" spans="1:14" x14ac:dyDescent="0.3">
      <c r="A906">
        <v>732</v>
      </c>
      <c r="B906" t="s">
        <v>82</v>
      </c>
      <c r="C906" t="s">
        <v>83</v>
      </c>
      <c r="D906" t="s">
        <v>2092</v>
      </c>
      <c r="E906" t="s">
        <v>17</v>
      </c>
      <c r="F906" t="s">
        <v>2090</v>
      </c>
      <c r="G906" s="3">
        <v>20.059999999999999</v>
      </c>
      <c r="H906" s="3">
        <v>0</v>
      </c>
      <c r="I906" s="3">
        <v>20.059999999999999</v>
      </c>
      <c r="J906" s="3">
        <f>Table1[[#This Row],[قيمة الفاتورة]]*0.94-Table1[[#This Row],[قيمة المشاركة]]</f>
        <v>18.856399999999997</v>
      </c>
      <c r="K906">
        <v>18.856000000000002</v>
      </c>
      <c r="L906" s="3">
        <f t="shared" si="14"/>
        <v>3.9999999999551505E-4</v>
      </c>
      <c r="M906" t="s">
        <v>1945</v>
      </c>
      <c r="N906" t="s">
        <v>19</v>
      </c>
    </row>
    <row r="907" spans="1:14" x14ac:dyDescent="0.3">
      <c r="A907">
        <v>735</v>
      </c>
      <c r="B907" t="s">
        <v>88</v>
      </c>
      <c r="C907" t="s">
        <v>2093</v>
      </c>
      <c r="D907" t="s">
        <v>2094</v>
      </c>
      <c r="E907" t="s">
        <v>23</v>
      </c>
      <c r="F907" t="s">
        <v>2090</v>
      </c>
      <c r="G907" s="3">
        <v>9.81</v>
      </c>
      <c r="H907" s="3">
        <v>1.4710000000000001</v>
      </c>
      <c r="I907" s="3">
        <v>8.3390000000000004</v>
      </c>
      <c r="J907" s="3">
        <f>Table1[[#This Row],[قيمة الفاتورة]]*0.94-Table1[[#This Row],[قيمة المشاركة]]</f>
        <v>7.7503999999999991</v>
      </c>
      <c r="K907">
        <v>7.75</v>
      </c>
      <c r="L907" s="3">
        <f t="shared" si="14"/>
        <v>3.9999999999906777E-4</v>
      </c>
      <c r="M907" t="s">
        <v>1945</v>
      </c>
      <c r="N907" t="s">
        <v>19</v>
      </c>
    </row>
    <row r="908" spans="1:14" x14ac:dyDescent="0.3">
      <c r="A908">
        <v>736</v>
      </c>
      <c r="B908" t="s">
        <v>222</v>
      </c>
      <c r="C908" t="s">
        <v>223</v>
      </c>
      <c r="D908" t="s">
        <v>2095</v>
      </c>
      <c r="E908" t="s">
        <v>23</v>
      </c>
      <c r="F908" t="s">
        <v>2090</v>
      </c>
      <c r="G908" s="3">
        <v>5.0430000000000001</v>
      </c>
      <c r="H908" s="3">
        <v>0</v>
      </c>
      <c r="I908" s="3">
        <v>5.0430000000000001</v>
      </c>
      <c r="J908" s="3">
        <f>Table1[[#This Row],[قيمة الفاتورة]]*0.94-Table1[[#This Row],[قيمة المشاركة]]</f>
        <v>4.7404200000000003</v>
      </c>
      <c r="K908">
        <v>4.7290000000000001</v>
      </c>
      <c r="L908" s="3">
        <f t="shared" si="14"/>
        <v>1.1420000000000208E-2</v>
      </c>
      <c r="M908" t="s">
        <v>1945</v>
      </c>
      <c r="N908" t="s">
        <v>19</v>
      </c>
    </row>
    <row r="909" spans="1:14" x14ac:dyDescent="0.3">
      <c r="A909">
        <v>172</v>
      </c>
      <c r="B909" t="s">
        <v>2096</v>
      </c>
      <c r="C909" t="s">
        <v>2097</v>
      </c>
      <c r="D909" t="s">
        <v>2098</v>
      </c>
      <c r="E909" t="s">
        <v>17</v>
      </c>
      <c r="F909" t="s">
        <v>2099</v>
      </c>
      <c r="G909" s="3">
        <v>11.39</v>
      </c>
      <c r="H909" s="3">
        <v>0</v>
      </c>
      <c r="I909" s="3">
        <v>11.39</v>
      </c>
      <c r="J909" s="3">
        <f>Table1[[#This Row],[قيمة الفاتورة]]*0.94-Table1[[#This Row],[قيمة المشاركة]]</f>
        <v>10.7066</v>
      </c>
      <c r="K909">
        <v>10.707000000000001</v>
      </c>
      <c r="L909" s="3">
        <f t="shared" si="14"/>
        <v>-4.0000000000084412E-4</v>
      </c>
      <c r="M909" t="s">
        <v>1945</v>
      </c>
      <c r="N909" t="s">
        <v>19</v>
      </c>
    </row>
    <row r="910" spans="1:14" x14ac:dyDescent="0.3">
      <c r="A910">
        <v>737</v>
      </c>
      <c r="B910" t="s">
        <v>2100</v>
      </c>
      <c r="C910" t="s">
        <v>2101</v>
      </c>
      <c r="D910" t="s">
        <v>2102</v>
      </c>
      <c r="E910" t="s">
        <v>23</v>
      </c>
      <c r="F910" t="s">
        <v>2099</v>
      </c>
      <c r="G910" s="3">
        <v>2.83</v>
      </c>
      <c r="H910" s="3">
        <v>0.28299999999999997</v>
      </c>
      <c r="I910" s="3">
        <v>2.5470000000000002</v>
      </c>
      <c r="J910" s="3">
        <f>Table1[[#This Row],[قيمة الفاتورة]]*0.94-Table1[[#This Row],[قيمة المشاركة]]</f>
        <v>2.3772000000000002</v>
      </c>
      <c r="K910">
        <v>2.3769999999999998</v>
      </c>
      <c r="L910" s="3">
        <f t="shared" si="14"/>
        <v>2.0000000000042206E-4</v>
      </c>
      <c r="M910" t="s">
        <v>1796</v>
      </c>
      <c r="N910" t="s">
        <v>328</v>
      </c>
    </row>
    <row r="911" spans="1:14" x14ac:dyDescent="0.3">
      <c r="A911">
        <v>738</v>
      </c>
      <c r="B911" t="s">
        <v>253</v>
      </c>
      <c r="C911" t="s">
        <v>254</v>
      </c>
      <c r="D911" t="s">
        <v>2103</v>
      </c>
      <c r="E911" t="s">
        <v>23</v>
      </c>
      <c r="F911" t="s">
        <v>2104</v>
      </c>
      <c r="G911" s="3">
        <v>16.809999999999999</v>
      </c>
      <c r="H911" s="3">
        <v>0</v>
      </c>
      <c r="I911" s="3">
        <v>16.809999999999999</v>
      </c>
      <c r="J911" s="3">
        <f>Table1[[#This Row],[قيمة الفاتورة]]*0.94-Table1[[#This Row],[قيمة المشاركة]]</f>
        <v>15.801399999999997</v>
      </c>
      <c r="K911">
        <v>15.801</v>
      </c>
      <c r="L911" s="3">
        <f t="shared" si="14"/>
        <v>3.9999999999729141E-4</v>
      </c>
      <c r="M911" t="s">
        <v>1945</v>
      </c>
      <c r="N911" t="s">
        <v>19</v>
      </c>
    </row>
    <row r="912" spans="1:14" x14ac:dyDescent="0.3">
      <c r="A912">
        <v>740</v>
      </c>
      <c r="B912" t="s">
        <v>707</v>
      </c>
      <c r="C912" t="s">
        <v>708</v>
      </c>
      <c r="D912" t="s">
        <v>2105</v>
      </c>
      <c r="E912" t="s">
        <v>17</v>
      </c>
      <c r="F912" t="s">
        <v>2106</v>
      </c>
      <c r="G912" s="3">
        <v>12.79</v>
      </c>
      <c r="H912" s="3">
        <v>0</v>
      </c>
      <c r="I912" s="3">
        <v>12.79</v>
      </c>
      <c r="J912" s="3">
        <f>Table1[[#This Row],[قيمة الفاتورة]]*0.94-Table1[[#This Row],[قيمة المشاركة]]</f>
        <v>12.022599999999999</v>
      </c>
      <c r="K912">
        <v>12.023</v>
      </c>
      <c r="L912" s="3">
        <f t="shared" si="14"/>
        <v>-4.0000000000084412E-4</v>
      </c>
      <c r="M912" t="s">
        <v>1945</v>
      </c>
      <c r="N912" t="s">
        <v>19</v>
      </c>
    </row>
    <row r="913" spans="1:14" x14ac:dyDescent="0.3">
      <c r="A913">
        <v>739</v>
      </c>
      <c r="B913" t="s">
        <v>346</v>
      </c>
      <c r="C913" t="s">
        <v>2107</v>
      </c>
      <c r="D913" t="s">
        <v>2108</v>
      </c>
      <c r="E913" t="s">
        <v>23</v>
      </c>
      <c r="F913" t="s">
        <v>2106</v>
      </c>
      <c r="G913" s="3">
        <v>34.590000000000003</v>
      </c>
      <c r="H913" s="3">
        <v>0</v>
      </c>
      <c r="I913" s="3">
        <v>34.590000000000003</v>
      </c>
      <c r="J913" s="3">
        <f>Table1[[#This Row],[قيمة الفاتورة]]*0.94-Table1[[#This Row],[قيمة المشاركة]]</f>
        <v>32.514600000000002</v>
      </c>
      <c r="K913">
        <v>32.515000000000001</v>
      </c>
      <c r="L913" s="3">
        <f t="shared" si="14"/>
        <v>-3.9999999999906777E-4</v>
      </c>
      <c r="M913" t="s">
        <v>1945</v>
      </c>
      <c r="N913" t="s">
        <v>19</v>
      </c>
    </row>
    <row r="914" spans="1:14" x14ac:dyDescent="0.3">
      <c r="A914">
        <v>742</v>
      </c>
      <c r="B914" t="s">
        <v>1099</v>
      </c>
      <c r="C914" t="s">
        <v>1100</v>
      </c>
      <c r="D914" t="s">
        <v>2109</v>
      </c>
      <c r="E914" t="s">
        <v>23</v>
      </c>
      <c r="F914" t="s">
        <v>2106</v>
      </c>
      <c r="G914" s="3">
        <v>22.28</v>
      </c>
      <c r="H914" s="3">
        <v>0</v>
      </c>
      <c r="I914" s="3">
        <v>22.28</v>
      </c>
      <c r="J914" s="3">
        <f>Table1[[#This Row],[قيمة الفاتورة]]*0.94-Table1[[#This Row],[قيمة المشاركة]]</f>
        <v>20.943200000000001</v>
      </c>
      <c r="K914">
        <v>20.943000000000001</v>
      </c>
      <c r="L914" s="3">
        <f t="shared" si="14"/>
        <v>1.9999999999953388E-4</v>
      </c>
      <c r="M914" t="s">
        <v>1945</v>
      </c>
      <c r="N914" t="s">
        <v>19</v>
      </c>
    </row>
    <row r="915" spans="1:14" x14ac:dyDescent="0.3">
      <c r="A915">
        <v>741</v>
      </c>
      <c r="B915" t="s">
        <v>507</v>
      </c>
      <c r="C915" t="s">
        <v>2110</v>
      </c>
      <c r="D915" t="s">
        <v>2111</v>
      </c>
      <c r="E915" t="s">
        <v>23</v>
      </c>
      <c r="F915" t="s">
        <v>2106</v>
      </c>
      <c r="G915" s="3">
        <v>9.34</v>
      </c>
      <c r="H915" s="3">
        <v>0</v>
      </c>
      <c r="I915" s="3">
        <v>9.34</v>
      </c>
      <c r="J915" s="3">
        <f>Table1[[#This Row],[قيمة الفاتورة]]*0.94-Table1[[#This Row],[قيمة المشاركة]]</f>
        <v>8.7795999999999985</v>
      </c>
      <c r="K915">
        <v>8.7789999999999999</v>
      </c>
      <c r="L915" s="3">
        <f t="shared" si="14"/>
        <v>5.9999999999860165E-4</v>
      </c>
      <c r="M915" t="s">
        <v>1945</v>
      </c>
      <c r="N915" t="s">
        <v>19</v>
      </c>
    </row>
    <row r="916" spans="1:14" x14ac:dyDescent="0.3">
      <c r="A916">
        <v>744</v>
      </c>
      <c r="B916" t="s">
        <v>1034</v>
      </c>
      <c r="C916" t="s">
        <v>148</v>
      </c>
      <c r="D916" t="s">
        <v>2112</v>
      </c>
      <c r="E916" t="s">
        <v>17</v>
      </c>
      <c r="F916" t="s">
        <v>2113</v>
      </c>
      <c r="G916" s="3">
        <v>22.63</v>
      </c>
      <c r="H916" s="3">
        <v>0</v>
      </c>
      <c r="I916" s="3">
        <v>22.63</v>
      </c>
      <c r="J916" s="3">
        <f>Table1[[#This Row],[قيمة الفاتورة]]*0.94-Table1[[#This Row],[قيمة المشاركة]]</f>
        <v>21.272199999999998</v>
      </c>
      <c r="K916">
        <v>21.291</v>
      </c>
      <c r="L916" s="3">
        <f t="shared" si="14"/>
        <v>-1.880000000000237E-2</v>
      </c>
      <c r="M916" t="s">
        <v>1945</v>
      </c>
      <c r="N916" t="s">
        <v>19</v>
      </c>
    </row>
    <row r="917" spans="1:14" x14ac:dyDescent="0.3">
      <c r="A917">
        <v>748</v>
      </c>
      <c r="B917" t="s">
        <v>2114</v>
      </c>
      <c r="C917" t="s">
        <v>2115</v>
      </c>
      <c r="D917" t="s">
        <v>2116</v>
      </c>
      <c r="E917" t="s">
        <v>23</v>
      </c>
      <c r="F917" t="s">
        <v>2113</v>
      </c>
      <c r="G917" s="3">
        <v>8.23</v>
      </c>
      <c r="H917" s="3">
        <v>0</v>
      </c>
      <c r="I917" s="3">
        <v>8.23</v>
      </c>
      <c r="J917" s="3">
        <f>Table1[[#This Row],[قيمة الفاتورة]]*0.94-Table1[[#This Row],[قيمة المشاركة]]</f>
        <v>7.7362000000000002</v>
      </c>
      <c r="K917">
        <v>7.7370000000000001</v>
      </c>
      <c r="L917" s="3">
        <f t="shared" si="14"/>
        <v>-7.9999999999991189E-4</v>
      </c>
      <c r="M917" t="s">
        <v>1945</v>
      </c>
      <c r="N917" t="s">
        <v>19</v>
      </c>
    </row>
    <row r="918" spans="1:14" x14ac:dyDescent="0.3">
      <c r="A918">
        <v>746</v>
      </c>
      <c r="B918" t="s">
        <v>2117</v>
      </c>
      <c r="C918" t="s">
        <v>2118</v>
      </c>
      <c r="D918" t="s">
        <v>2119</v>
      </c>
      <c r="E918" t="s">
        <v>23</v>
      </c>
      <c r="F918" t="s">
        <v>2113</v>
      </c>
      <c r="G918" s="3">
        <v>2.1</v>
      </c>
      <c r="H918" s="3">
        <v>0</v>
      </c>
      <c r="I918" s="3">
        <v>2.1</v>
      </c>
      <c r="J918" s="3">
        <f>Table1[[#This Row],[قيمة الفاتورة]]*0.94-Table1[[#This Row],[قيمة المشاركة]]</f>
        <v>1.974</v>
      </c>
      <c r="K918">
        <v>1.974</v>
      </c>
      <c r="L918" s="3">
        <f t="shared" si="14"/>
        <v>0</v>
      </c>
      <c r="M918" t="s">
        <v>1945</v>
      </c>
      <c r="N918" t="s">
        <v>19</v>
      </c>
    </row>
    <row r="919" spans="1:14" x14ac:dyDescent="0.3">
      <c r="A919">
        <v>747</v>
      </c>
      <c r="B919" t="s">
        <v>340</v>
      </c>
      <c r="C919" t="s">
        <v>341</v>
      </c>
      <c r="D919" t="s">
        <v>2120</v>
      </c>
      <c r="E919" t="s">
        <v>23</v>
      </c>
      <c r="F919" t="s">
        <v>2113</v>
      </c>
      <c r="G919" s="3">
        <v>7.88</v>
      </c>
      <c r="H919" s="3">
        <v>0</v>
      </c>
      <c r="I919" s="3">
        <v>7.88</v>
      </c>
      <c r="J919" s="3">
        <f>Table1[[#This Row],[قيمة الفاتورة]]*0.94-Table1[[#This Row],[قيمة المشاركة]]</f>
        <v>7.4071999999999996</v>
      </c>
      <c r="K919">
        <v>7.407</v>
      </c>
      <c r="L919" s="3">
        <f t="shared" si="14"/>
        <v>1.9999999999953388E-4</v>
      </c>
      <c r="M919" t="s">
        <v>1945</v>
      </c>
      <c r="N919" t="s">
        <v>19</v>
      </c>
    </row>
    <row r="920" spans="1:14" x14ac:dyDescent="0.3">
      <c r="A920">
        <v>745</v>
      </c>
      <c r="B920" t="s">
        <v>1143</v>
      </c>
      <c r="C920" t="s">
        <v>1144</v>
      </c>
      <c r="D920" t="s">
        <v>2121</v>
      </c>
      <c r="E920" t="s">
        <v>23</v>
      </c>
      <c r="F920" t="s">
        <v>2113</v>
      </c>
      <c r="G920" s="3">
        <v>10.92</v>
      </c>
      <c r="H920" s="3">
        <v>0</v>
      </c>
      <c r="I920" s="3">
        <v>10.92</v>
      </c>
      <c r="J920" s="3">
        <f>Table1[[#This Row],[قيمة الفاتورة]]*0.94-Table1[[#This Row],[قيمة المشاركة]]</f>
        <v>10.264799999999999</v>
      </c>
      <c r="K920">
        <v>10.095000000000001</v>
      </c>
      <c r="L920" s="3">
        <f t="shared" si="14"/>
        <v>0.16979999999999862</v>
      </c>
      <c r="M920" t="s">
        <v>1945</v>
      </c>
      <c r="N920" t="s">
        <v>19</v>
      </c>
    </row>
    <row r="921" spans="1:14" x14ac:dyDescent="0.3">
      <c r="A921">
        <v>749</v>
      </c>
      <c r="B921" t="s">
        <v>36</v>
      </c>
      <c r="C921" t="s">
        <v>37</v>
      </c>
      <c r="D921" t="s">
        <v>2122</v>
      </c>
      <c r="E921" t="s">
        <v>23</v>
      </c>
      <c r="F921" t="s">
        <v>2113</v>
      </c>
      <c r="G921" s="3">
        <v>22.94</v>
      </c>
      <c r="H921" s="3">
        <v>3.4409999999999998</v>
      </c>
      <c r="I921" s="3">
        <v>19.498999999999999</v>
      </c>
      <c r="J921" s="3">
        <f>Table1[[#This Row],[قيمة الفاتورة]]*0.94-Table1[[#This Row],[قيمة المشاركة]]</f>
        <v>18.122600000000002</v>
      </c>
      <c r="K921">
        <v>17.492999999999999</v>
      </c>
      <c r="L921" s="3">
        <f t="shared" si="14"/>
        <v>0.62960000000000349</v>
      </c>
      <c r="M921" t="s">
        <v>1945</v>
      </c>
      <c r="N921" t="s">
        <v>19</v>
      </c>
    </row>
    <row r="922" spans="1:14" x14ac:dyDescent="0.3">
      <c r="A922">
        <v>743</v>
      </c>
      <c r="B922" t="s">
        <v>2123</v>
      </c>
      <c r="C922" t="s">
        <v>2124</v>
      </c>
      <c r="D922" t="s">
        <v>2125</v>
      </c>
      <c r="E922" t="s">
        <v>17</v>
      </c>
      <c r="F922" t="s">
        <v>2113</v>
      </c>
      <c r="G922" s="3">
        <v>26.81</v>
      </c>
      <c r="H922" s="3">
        <v>0</v>
      </c>
      <c r="I922" s="3">
        <v>26.81</v>
      </c>
      <c r="J922" s="3">
        <f>Table1[[#This Row],[قيمة الفاتورة]]*0.94-Table1[[#This Row],[قيمة المشاركة]]</f>
        <v>25.201399999999996</v>
      </c>
      <c r="L922" s="3" t="str">
        <f t="shared" si="14"/>
        <v/>
      </c>
    </row>
    <row r="923" spans="1:14" x14ac:dyDescent="0.3">
      <c r="A923">
        <v>752</v>
      </c>
      <c r="B923" t="s">
        <v>2126</v>
      </c>
      <c r="C923" t="s">
        <v>2127</v>
      </c>
      <c r="D923" t="s">
        <v>2128</v>
      </c>
      <c r="E923" t="s">
        <v>23</v>
      </c>
      <c r="F923" t="s">
        <v>2129</v>
      </c>
      <c r="G923" s="3">
        <v>4.45</v>
      </c>
      <c r="H923" s="3">
        <v>0</v>
      </c>
      <c r="I923" s="3">
        <v>4.45</v>
      </c>
      <c r="J923" s="3">
        <f>Table1[[#This Row],[قيمة الفاتورة]]*0.94-Table1[[#This Row],[قيمة المشاركة]]</f>
        <v>4.1829999999999998</v>
      </c>
      <c r="K923">
        <v>4.5590000000000002</v>
      </c>
      <c r="L923" s="3">
        <f t="shared" si="14"/>
        <v>-0.37600000000000033</v>
      </c>
      <c r="M923" t="s">
        <v>1945</v>
      </c>
      <c r="N923" t="s">
        <v>19</v>
      </c>
    </row>
    <row r="924" spans="1:14" x14ac:dyDescent="0.3">
      <c r="A924">
        <v>753</v>
      </c>
      <c r="B924" t="s">
        <v>2130</v>
      </c>
      <c r="C924" t="s">
        <v>2131</v>
      </c>
      <c r="D924" t="s">
        <v>2132</v>
      </c>
      <c r="E924" t="s">
        <v>23</v>
      </c>
      <c r="F924" t="s">
        <v>2129</v>
      </c>
      <c r="G924" s="3">
        <v>20.2</v>
      </c>
      <c r="H924" s="3">
        <v>0</v>
      </c>
      <c r="I924" s="3">
        <v>20.2</v>
      </c>
      <c r="J924" s="3">
        <f>Table1[[#This Row],[قيمة الفاتورة]]*0.94-Table1[[#This Row],[قيمة المشاركة]]</f>
        <v>18.988</v>
      </c>
      <c r="K924">
        <v>18.988</v>
      </c>
      <c r="L924" s="3">
        <f t="shared" si="14"/>
        <v>0</v>
      </c>
      <c r="M924" t="s">
        <v>1945</v>
      </c>
      <c r="N924" t="s">
        <v>19</v>
      </c>
    </row>
    <row r="925" spans="1:14" x14ac:dyDescent="0.3">
      <c r="A925">
        <v>751</v>
      </c>
      <c r="B925" t="s">
        <v>905</v>
      </c>
      <c r="C925" t="s">
        <v>906</v>
      </c>
      <c r="D925" t="s">
        <v>2133</v>
      </c>
      <c r="E925" t="s">
        <v>23</v>
      </c>
      <c r="F925" t="s">
        <v>2129</v>
      </c>
      <c r="G925" s="3">
        <v>6.88</v>
      </c>
      <c r="H925" s="3">
        <v>0</v>
      </c>
      <c r="I925" s="3">
        <v>6.88</v>
      </c>
      <c r="J925" s="3">
        <f>Table1[[#This Row],[قيمة الفاتورة]]*0.94-Table1[[#This Row],[قيمة المشاركة]]</f>
        <v>6.4671999999999992</v>
      </c>
      <c r="K925">
        <v>6.4669999999999996</v>
      </c>
      <c r="L925" s="3">
        <f t="shared" si="14"/>
        <v>1.9999999999953388E-4</v>
      </c>
      <c r="M925" t="s">
        <v>1945</v>
      </c>
      <c r="N925" t="s">
        <v>19</v>
      </c>
    </row>
    <row r="926" spans="1:14" x14ac:dyDescent="0.3">
      <c r="A926">
        <v>750</v>
      </c>
      <c r="B926" t="s">
        <v>2134</v>
      </c>
      <c r="C926" t="s">
        <v>2135</v>
      </c>
      <c r="D926" t="s">
        <v>2136</v>
      </c>
      <c r="E926" t="s">
        <v>23</v>
      </c>
      <c r="F926" t="s">
        <v>2129</v>
      </c>
      <c r="G926" s="3">
        <v>26.49</v>
      </c>
      <c r="H926" s="3">
        <v>0</v>
      </c>
      <c r="I926" s="3">
        <v>26.49</v>
      </c>
      <c r="J926" s="3">
        <f>Table1[[#This Row],[قيمة الفاتورة]]*0.94-Table1[[#This Row],[قيمة المشاركة]]</f>
        <v>24.900599999999997</v>
      </c>
      <c r="K926">
        <v>24.45</v>
      </c>
      <c r="L926" s="3">
        <f t="shared" si="14"/>
        <v>0.45059999999999789</v>
      </c>
      <c r="M926" t="s">
        <v>1945</v>
      </c>
      <c r="N926" t="s">
        <v>19</v>
      </c>
    </row>
    <row r="927" spans="1:14" x14ac:dyDescent="0.3">
      <c r="A927">
        <v>756</v>
      </c>
      <c r="B927" t="s">
        <v>2137</v>
      </c>
      <c r="C927" t="s">
        <v>2138</v>
      </c>
      <c r="D927" t="s">
        <v>2139</v>
      </c>
      <c r="E927" t="s">
        <v>17</v>
      </c>
      <c r="F927" t="s">
        <v>2140</v>
      </c>
      <c r="G927" s="3">
        <v>10.59</v>
      </c>
      <c r="H927" s="3">
        <v>0</v>
      </c>
      <c r="I927" s="3">
        <v>10.59</v>
      </c>
      <c r="J927" s="3">
        <f>Table1[[#This Row],[قيمة الفاتورة]]*0.94-Table1[[#This Row],[قيمة المشاركة]]</f>
        <v>9.9545999999999992</v>
      </c>
      <c r="K927">
        <v>9.9550000000000001</v>
      </c>
      <c r="L927" s="3">
        <f t="shared" si="14"/>
        <v>-4.0000000000084412E-4</v>
      </c>
      <c r="M927" t="s">
        <v>1945</v>
      </c>
      <c r="N927" t="s">
        <v>19</v>
      </c>
    </row>
    <row r="928" spans="1:14" x14ac:dyDescent="0.3">
      <c r="A928">
        <v>754</v>
      </c>
      <c r="B928" t="s">
        <v>169</v>
      </c>
      <c r="C928" t="s">
        <v>170</v>
      </c>
      <c r="D928" t="s">
        <v>2141</v>
      </c>
      <c r="E928" t="s">
        <v>23</v>
      </c>
      <c r="F928" t="s">
        <v>2140</v>
      </c>
      <c r="G928" s="3">
        <v>13.77</v>
      </c>
      <c r="H928" s="3">
        <v>0</v>
      </c>
      <c r="I928" s="3">
        <v>13.77</v>
      </c>
      <c r="J928" s="3">
        <f>Table1[[#This Row],[قيمة الفاتورة]]*0.94-Table1[[#This Row],[قيمة المشاركة]]</f>
        <v>12.9438</v>
      </c>
      <c r="K928">
        <v>12.944000000000001</v>
      </c>
      <c r="L928" s="3">
        <f t="shared" si="14"/>
        <v>-2.0000000000131024E-4</v>
      </c>
      <c r="M928" t="s">
        <v>1945</v>
      </c>
      <c r="N928" t="s">
        <v>19</v>
      </c>
    </row>
    <row r="929" spans="1:14" x14ac:dyDescent="0.3">
      <c r="A929">
        <v>755</v>
      </c>
      <c r="B929" t="s">
        <v>397</v>
      </c>
      <c r="C929" t="s">
        <v>398</v>
      </c>
      <c r="D929" t="s">
        <v>2142</v>
      </c>
      <c r="E929" t="s">
        <v>23</v>
      </c>
      <c r="F929" t="s">
        <v>2140</v>
      </c>
      <c r="G929" s="3">
        <v>20.81</v>
      </c>
      <c r="H929" s="3">
        <v>3.121</v>
      </c>
      <c r="I929" s="3">
        <v>17.689</v>
      </c>
      <c r="J929" s="3">
        <f>Table1[[#This Row],[قيمة الفاتورة]]*0.94-Table1[[#This Row],[قيمة المشاركة]]</f>
        <v>16.4404</v>
      </c>
      <c r="K929">
        <v>16.440000000000001</v>
      </c>
      <c r="L929" s="3">
        <f t="shared" si="14"/>
        <v>3.9999999999906777E-4</v>
      </c>
      <c r="M929" t="s">
        <v>1945</v>
      </c>
      <c r="N929" t="s">
        <v>19</v>
      </c>
    </row>
    <row r="930" spans="1:14" x14ac:dyDescent="0.3">
      <c r="A930">
        <v>758</v>
      </c>
      <c r="B930" t="s">
        <v>1661</v>
      </c>
      <c r="C930" t="s">
        <v>1662</v>
      </c>
      <c r="D930" t="s">
        <v>2143</v>
      </c>
      <c r="E930" t="s">
        <v>17</v>
      </c>
      <c r="F930" t="s">
        <v>2144</v>
      </c>
      <c r="G930" s="3">
        <v>17.059999999999999</v>
      </c>
      <c r="H930" s="3">
        <v>0</v>
      </c>
      <c r="I930" s="3">
        <v>17.059999999999999</v>
      </c>
      <c r="J930" s="3">
        <f>Table1[[#This Row],[قيمة الفاتورة]]*0.94-Table1[[#This Row],[قيمة المشاركة]]</f>
        <v>16.036399999999997</v>
      </c>
      <c r="K930">
        <v>16.036999999999999</v>
      </c>
      <c r="L930" s="3">
        <f t="shared" si="14"/>
        <v>-6.0000000000215437E-4</v>
      </c>
      <c r="M930" t="s">
        <v>1945</v>
      </c>
      <c r="N930" t="s">
        <v>19</v>
      </c>
    </row>
    <row r="931" spans="1:14" x14ac:dyDescent="0.3">
      <c r="A931">
        <v>759</v>
      </c>
      <c r="B931" t="s">
        <v>2145</v>
      </c>
      <c r="C931" t="s">
        <v>2146</v>
      </c>
      <c r="D931" t="s">
        <v>2147</v>
      </c>
      <c r="E931" t="s">
        <v>23</v>
      </c>
      <c r="F931" t="s">
        <v>2144</v>
      </c>
      <c r="G931" s="3">
        <v>12.85</v>
      </c>
      <c r="H931" s="3">
        <v>0</v>
      </c>
      <c r="I931" s="3">
        <v>12.85</v>
      </c>
      <c r="J931" s="3">
        <f>Table1[[#This Row],[قيمة الفاتورة]]*0.94-Table1[[#This Row],[قيمة المشاركة]]</f>
        <v>12.078999999999999</v>
      </c>
      <c r="K931">
        <v>12.079000000000001</v>
      </c>
      <c r="L931" s="3">
        <f t="shared" si="14"/>
        <v>-1.7763568394002505E-15</v>
      </c>
      <c r="M931" t="s">
        <v>1945</v>
      </c>
      <c r="N931" t="s">
        <v>19</v>
      </c>
    </row>
    <row r="932" spans="1:14" x14ac:dyDescent="0.3">
      <c r="A932">
        <v>761</v>
      </c>
      <c r="B932" t="s">
        <v>1680</v>
      </c>
      <c r="C932" t="s">
        <v>1681</v>
      </c>
      <c r="D932" t="s">
        <v>2148</v>
      </c>
      <c r="E932" t="s">
        <v>17</v>
      </c>
      <c r="F932" t="s">
        <v>2144</v>
      </c>
      <c r="G932" s="3">
        <v>33.35</v>
      </c>
      <c r="H932" s="3">
        <v>0</v>
      </c>
      <c r="I932" s="3">
        <v>33.35</v>
      </c>
      <c r="J932" s="3">
        <f>Table1[[#This Row],[قيمة الفاتورة]]*0.94-Table1[[#This Row],[قيمة المشاركة]]</f>
        <v>31.349</v>
      </c>
      <c r="K932">
        <v>31.349</v>
      </c>
      <c r="L932" s="3">
        <f t="shared" si="14"/>
        <v>0</v>
      </c>
      <c r="M932" t="s">
        <v>1945</v>
      </c>
      <c r="N932" t="s">
        <v>19</v>
      </c>
    </row>
    <row r="933" spans="1:14" x14ac:dyDescent="0.3">
      <c r="A933">
        <v>760</v>
      </c>
      <c r="B933" t="s">
        <v>240</v>
      </c>
      <c r="C933" t="s">
        <v>241</v>
      </c>
      <c r="D933" t="s">
        <v>2149</v>
      </c>
      <c r="E933" t="s">
        <v>23</v>
      </c>
      <c r="F933" t="s">
        <v>2144</v>
      </c>
      <c r="G933" s="3">
        <v>11.43</v>
      </c>
      <c r="H933" s="3">
        <v>0</v>
      </c>
      <c r="I933" s="3">
        <v>11.43</v>
      </c>
      <c r="J933" s="3">
        <f>Table1[[#This Row],[قيمة الفاتورة]]*0.94-Table1[[#This Row],[قيمة المشاركة]]</f>
        <v>10.744199999999999</v>
      </c>
      <c r="K933">
        <v>10.744</v>
      </c>
      <c r="L933" s="3">
        <f t="shared" si="14"/>
        <v>1.9999999999953388E-4</v>
      </c>
      <c r="M933" t="s">
        <v>1945</v>
      </c>
      <c r="N933" t="s">
        <v>19</v>
      </c>
    </row>
    <row r="934" spans="1:14" x14ac:dyDescent="0.3">
      <c r="A934">
        <v>764</v>
      </c>
      <c r="B934" t="s">
        <v>1604</v>
      </c>
      <c r="C934" t="s">
        <v>1605</v>
      </c>
      <c r="D934" t="s">
        <v>2150</v>
      </c>
      <c r="E934" t="s">
        <v>23</v>
      </c>
      <c r="F934" t="s">
        <v>2144</v>
      </c>
      <c r="G934" s="3">
        <v>27.24</v>
      </c>
      <c r="H934" s="3">
        <v>0</v>
      </c>
      <c r="I934" s="3">
        <v>27.24</v>
      </c>
      <c r="J934" s="3">
        <f>Table1[[#This Row],[قيمة الفاتورة]]*0.94-Table1[[#This Row],[قيمة المشاركة]]</f>
        <v>25.605599999999995</v>
      </c>
      <c r="K934">
        <v>25.605</v>
      </c>
      <c r="L934" s="3">
        <f t="shared" si="14"/>
        <v>5.9999999999504894E-4</v>
      </c>
      <c r="M934" t="s">
        <v>1945</v>
      </c>
      <c r="N934" t="s">
        <v>19</v>
      </c>
    </row>
    <row r="935" spans="1:14" x14ac:dyDescent="0.3">
      <c r="A935">
        <v>762</v>
      </c>
      <c r="B935" t="s">
        <v>1627</v>
      </c>
      <c r="C935" t="s">
        <v>1628</v>
      </c>
      <c r="D935" t="s">
        <v>2151</v>
      </c>
      <c r="E935" t="s">
        <v>17</v>
      </c>
      <c r="F935" t="s">
        <v>2144</v>
      </c>
      <c r="G935" s="3">
        <v>24.52</v>
      </c>
      <c r="H935" s="3">
        <v>0</v>
      </c>
      <c r="I935" s="3">
        <v>24.52</v>
      </c>
      <c r="J935" s="3">
        <f>Table1[[#This Row],[قيمة الفاتورة]]*0.94-Table1[[#This Row],[قيمة المشاركة]]</f>
        <v>23.0488</v>
      </c>
      <c r="K935">
        <v>23.047999999999998</v>
      </c>
      <c r="L935" s="3">
        <f t="shared" si="14"/>
        <v>8.0000000000168825E-4</v>
      </c>
      <c r="M935" t="s">
        <v>1945</v>
      </c>
      <c r="N935" t="s">
        <v>19</v>
      </c>
    </row>
    <row r="936" spans="1:14" x14ac:dyDescent="0.3">
      <c r="A936">
        <v>757</v>
      </c>
      <c r="B936" t="s">
        <v>272</v>
      </c>
      <c r="C936" t="s">
        <v>2152</v>
      </c>
      <c r="D936" t="s">
        <v>2153</v>
      </c>
      <c r="E936" t="s">
        <v>23</v>
      </c>
      <c r="F936" t="s">
        <v>2144</v>
      </c>
      <c r="G936" s="3">
        <v>25.48</v>
      </c>
      <c r="H936" s="3">
        <v>0</v>
      </c>
      <c r="I936" s="3">
        <v>25.48</v>
      </c>
      <c r="J936" s="3">
        <f>Table1[[#This Row],[قيمة الفاتورة]]*0.94-Table1[[#This Row],[قيمة المشاركة]]</f>
        <v>23.9512</v>
      </c>
      <c r="K936">
        <v>23.763000000000002</v>
      </c>
      <c r="L936" s="3">
        <f t="shared" si="14"/>
        <v>0.18819999999999837</v>
      </c>
      <c r="M936" t="s">
        <v>1945</v>
      </c>
      <c r="N936" t="s">
        <v>19</v>
      </c>
    </row>
    <row r="937" spans="1:14" x14ac:dyDescent="0.3">
      <c r="A937">
        <v>763</v>
      </c>
      <c r="B937" t="s">
        <v>308</v>
      </c>
      <c r="C937" t="s">
        <v>309</v>
      </c>
      <c r="D937" t="s">
        <v>2154</v>
      </c>
      <c r="E937" t="s">
        <v>23</v>
      </c>
      <c r="F937" t="s">
        <v>2144</v>
      </c>
      <c r="G937" s="3">
        <v>12.16</v>
      </c>
      <c r="H937" s="3">
        <v>0</v>
      </c>
      <c r="I937" s="3">
        <v>12.16</v>
      </c>
      <c r="J937" s="3">
        <f>Table1[[#This Row],[قيمة الفاتورة]]*0.94-Table1[[#This Row],[قيمة المشاركة]]</f>
        <v>11.430399999999999</v>
      </c>
      <c r="K937">
        <v>10.801</v>
      </c>
      <c r="L937" s="3">
        <f t="shared" si="14"/>
        <v>0.62939999999999863</v>
      </c>
      <c r="M937" t="s">
        <v>1945</v>
      </c>
      <c r="N937" t="s">
        <v>19</v>
      </c>
    </row>
    <row r="938" spans="1:14" x14ac:dyDescent="0.3">
      <c r="A938">
        <v>769</v>
      </c>
      <c r="B938" t="s">
        <v>793</v>
      </c>
      <c r="C938" t="s">
        <v>1118</v>
      </c>
      <c r="D938" t="s">
        <v>2155</v>
      </c>
      <c r="E938" t="s">
        <v>23</v>
      </c>
      <c r="F938" t="s">
        <v>2156</v>
      </c>
      <c r="G938" s="3">
        <v>15.72</v>
      </c>
      <c r="H938" s="3">
        <v>0</v>
      </c>
      <c r="I938" s="3">
        <v>15.72</v>
      </c>
      <c r="J938" s="3">
        <f>Table1[[#This Row],[قيمة الفاتورة]]*0.94-Table1[[#This Row],[قيمة المشاركة]]</f>
        <v>14.7768</v>
      </c>
      <c r="K938">
        <v>14.776999999999999</v>
      </c>
      <c r="L938" s="3">
        <f t="shared" si="14"/>
        <v>-1.9999999999953388E-4</v>
      </c>
      <c r="M938" t="s">
        <v>1945</v>
      </c>
      <c r="N938" t="s">
        <v>19</v>
      </c>
    </row>
    <row r="939" spans="1:14" x14ac:dyDescent="0.3">
      <c r="A939">
        <v>768</v>
      </c>
      <c r="B939" t="s">
        <v>806</v>
      </c>
      <c r="C939" t="s">
        <v>807</v>
      </c>
      <c r="D939" t="s">
        <v>2157</v>
      </c>
      <c r="E939" t="s">
        <v>17</v>
      </c>
      <c r="F939" t="s">
        <v>2156</v>
      </c>
      <c r="G939" s="3">
        <v>17.920000000000002</v>
      </c>
      <c r="H939" s="3">
        <v>0</v>
      </c>
      <c r="I939" s="3">
        <v>17.920000000000002</v>
      </c>
      <c r="J939" s="3">
        <f>Table1[[#This Row],[قيمة الفاتورة]]*0.94-Table1[[#This Row],[قيمة المشاركة]]</f>
        <v>16.844799999999999</v>
      </c>
      <c r="K939">
        <v>16.844999999999999</v>
      </c>
      <c r="L939" s="3">
        <f t="shared" si="14"/>
        <v>-1.9999999999953388E-4</v>
      </c>
      <c r="M939" t="s">
        <v>1945</v>
      </c>
      <c r="N939" t="s">
        <v>19</v>
      </c>
    </row>
    <row r="940" spans="1:14" x14ac:dyDescent="0.3">
      <c r="A940">
        <v>766</v>
      </c>
      <c r="B940" t="s">
        <v>2158</v>
      </c>
      <c r="C940" t="s">
        <v>2159</v>
      </c>
      <c r="D940" t="s">
        <v>2160</v>
      </c>
      <c r="E940" t="s">
        <v>17</v>
      </c>
      <c r="F940" t="s">
        <v>2156</v>
      </c>
      <c r="G940" s="3">
        <v>20.18</v>
      </c>
      <c r="H940" s="3">
        <v>0</v>
      </c>
      <c r="I940" s="3">
        <v>20.18</v>
      </c>
      <c r="J940" s="3">
        <f>Table1[[#This Row],[قيمة الفاتورة]]*0.94-Table1[[#This Row],[قيمة المشاركة]]</f>
        <v>18.969199999999997</v>
      </c>
      <c r="K940">
        <v>18.969000000000001</v>
      </c>
      <c r="L940" s="3">
        <f t="shared" si="14"/>
        <v>1.9999999999598117E-4</v>
      </c>
      <c r="M940" t="s">
        <v>1945</v>
      </c>
      <c r="N940" t="s">
        <v>19</v>
      </c>
    </row>
    <row r="941" spans="1:14" x14ac:dyDescent="0.3">
      <c r="A941">
        <v>765</v>
      </c>
      <c r="B941" t="s">
        <v>2161</v>
      </c>
      <c r="C941" t="s">
        <v>2162</v>
      </c>
      <c r="D941" t="s">
        <v>2163</v>
      </c>
      <c r="E941" t="s">
        <v>17</v>
      </c>
      <c r="F941" t="s">
        <v>2156</v>
      </c>
      <c r="G941" s="3">
        <v>24.94</v>
      </c>
      <c r="H941" s="3">
        <v>0</v>
      </c>
      <c r="I941" s="3">
        <v>24.94</v>
      </c>
      <c r="J941" s="3">
        <f>Table1[[#This Row],[قيمة الفاتورة]]*0.94-Table1[[#This Row],[قيمة المشاركة]]</f>
        <v>23.4436</v>
      </c>
      <c r="K941">
        <v>23.443000000000001</v>
      </c>
      <c r="L941" s="3">
        <f t="shared" si="14"/>
        <v>5.9999999999860165E-4</v>
      </c>
      <c r="M941" t="s">
        <v>1945</v>
      </c>
      <c r="N941" t="s">
        <v>19</v>
      </c>
    </row>
    <row r="942" spans="1:14" x14ac:dyDescent="0.3">
      <c r="A942">
        <v>767</v>
      </c>
      <c r="B942" t="s">
        <v>455</v>
      </c>
      <c r="C942" t="s">
        <v>456</v>
      </c>
      <c r="D942" t="s">
        <v>2164</v>
      </c>
      <c r="E942" t="s">
        <v>17</v>
      </c>
      <c r="F942" t="s">
        <v>2156</v>
      </c>
      <c r="G942" s="3">
        <v>19.100000000000001</v>
      </c>
      <c r="H942" s="3">
        <v>0</v>
      </c>
      <c r="I942" s="3">
        <v>19.100000000000001</v>
      </c>
      <c r="J942" s="3">
        <f>Table1[[#This Row],[قيمة الفاتورة]]*0.94-Table1[[#This Row],[قيمة المشاركة]]</f>
        <v>17.954000000000001</v>
      </c>
      <c r="K942">
        <v>17.952999999999999</v>
      </c>
      <c r="L942" s="3">
        <f t="shared" si="14"/>
        <v>1.0000000000012221E-3</v>
      </c>
      <c r="M942" t="s">
        <v>1945</v>
      </c>
      <c r="N942" t="s">
        <v>19</v>
      </c>
    </row>
    <row r="943" spans="1:14" x14ac:dyDescent="0.3">
      <c r="A943">
        <v>770</v>
      </c>
      <c r="B943" t="s">
        <v>333</v>
      </c>
      <c r="C943" t="s">
        <v>334</v>
      </c>
      <c r="D943" t="s">
        <v>2165</v>
      </c>
      <c r="E943" t="s">
        <v>23</v>
      </c>
      <c r="F943" t="s">
        <v>2156</v>
      </c>
      <c r="G943" s="3">
        <v>38.29</v>
      </c>
      <c r="H943" s="3">
        <v>0</v>
      </c>
      <c r="I943" s="3">
        <v>38.29</v>
      </c>
      <c r="J943" s="3">
        <f>Table1[[#This Row],[قيمة الفاتورة]]*0.94-Table1[[#This Row],[قيمة المشاركة]]</f>
        <v>35.992599999999996</v>
      </c>
      <c r="K943">
        <v>28.152999999999999</v>
      </c>
      <c r="L943" s="3">
        <f t="shared" si="14"/>
        <v>7.8395999999999972</v>
      </c>
      <c r="M943" t="s">
        <v>1945</v>
      </c>
      <c r="N943" t="s">
        <v>19</v>
      </c>
    </row>
    <row r="944" spans="1:14" x14ac:dyDescent="0.3">
      <c r="A944">
        <v>772</v>
      </c>
      <c r="B944" t="s">
        <v>2166</v>
      </c>
      <c r="C944" t="s">
        <v>2167</v>
      </c>
      <c r="D944" t="s">
        <v>2168</v>
      </c>
      <c r="E944" t="s">
        <v>23</v>
      </c>
      <c r="F944" t="s">
        <v>2169</v>
      </c>
      <c r="G944" s="3">
        <v>18.829999999999998</v>
      </c>
      <c r="H944" s="3">
        <v>0</v>
      </c>
      <c r="I944" s="3">
        <v>18.829999999999998</v>
      </c>
      <c r="J944" s="3">
        <f>Table1[[#This Row],[قيمة الفاتورة]]*0.94-Table1[[#This Row],[قيمة المشاركة]]</f>
        <v>17.700199999999999</v>
      </c>
      <c r="K944">
        <v>17.701000000000001</v>
      </c>
      <c r="L944" s="3">
        <f t="shared" si="14"/>
        <v>-8.0000000000168825E-4</v>
      </c>
      <c r="M944" t="s">
        <v>1945</v>
      </c>
      <c r="N944" t="s">
        <v>19</v>
      </c>
    </row>
    <row r="945" spans="1:14" x14ac:dyDescent="0.3">
      <c r="A945">
        <v>771</v>
      </c>
      <c r="B945" t="s">
        <v>2170</v>
      </c>
      <c r="C945" t="s">
        <v>2171</v>
      </c>
      <c r="D945" t="s">
        <v>2172</v>
      </c>
      <c r="E945" t="s">
        <v>23</v>
      </c>
      <c r="F945" t="s">
        <v>2169</v>
      </c>
      <c r="G945" s="3">
        <v>18.829999999999998</v>
      </c>
      <c r="H945" s="3">
        <v>0</v>
      </c>
      <c r="I945" s="3">
        <v>18.829999999999998</v>
      </c>
      <c r="J945" s="3">
        <f>Table1[[#This Row],[قيمة الفاتورة]]*0.94-Table1[[#This Row],[قيمة المشاركة]]</f>
        <v>17.700199999999999</v>
      </c>
      <c r="K945">
        <v>17.701000000000001</v>
      </c>
      <c r="L945" s="3">
        <f t="shared" si="14"/>
        <v>-8.0000000000168825E-4</v>
      </c>
      <c r="M945" t="s">
        <v>1945</v>
      </c>
      <c r="N945" t="s">
        <v>19</v>
      </c>
    </row>
    <row r="946" spans="1:14" x14ac:dyDescent="0.3">
      <c r="A946">
        <v>777</v>
      </c>
      <c r="B946" t="s">
        <v>1620</v>
      </c>
      <c r="C946" t="s">
        <v>1621</v>
      </c>
      <c r="D946" t="s">
        <v>2173</v>
      </c>
      <c r="E946" t="s">
        <v>17</v>
      </c>
      <c r="F946" t="s">
        <v>2169</v>
      </c>
      <c r="G946" s="3">
        <v>16.21</v>
      </c>
      <c r="H946" s="3">
        <v>0</v>
      </c>
      <c r="I946" s="3">
        <v>16.21</v>
      </c>
      <c r="J946" s="3">
        <f>Table1[[#This Row],[قيمة الفاتورة]]*0.94-Table1[[#This Row],[قيمة المشاركة]]</f>
        <v>15.237399999999999</v>
      </c>
      <c r="K946">
        <v>15.238</v>
      </c>
      <c r="L946" s="3">
        <f t="shared" si="14"/>
        <v>-6.0000000000037801E-4</v>
      </c>
      <c r="M946" t="s">
        <v>1945</v>
      </c>
      <c r="N946" t="s">
        <v>19</v>
      </c>
    </row>
    <row r="947" spans="1:14" x14ac:dyDescent="0.3">
      <c r="A947">
        <v>776</v>
      </c>
      <c r="B947" t="s">
        <v>2174</v>
      </c>
      <c r="C947" t="s">
        <v>2175</v>
      </c>
      <c r="D947" t="s">
        <v>2176</v>
      </c>
      <c r="E947" t="s">
        <v>17</v>
      </c>
      <c r="F947" t="s">
        <v>2169</v>
      </c>
      <c r="G947" s="3">
        <v>13.89</v>
      </c>
      <c r="H947" s="3">
        <v>0</v>
      </c>
      <c r="I947" s="3">
        <v>13.89</v>
      </c>
      <c r="J947" s="3">
        <f>Table1[[#This Row],[قيمة الفاتورة]]*0.94-Table1[[#This Row],[قيمة المشاركة]]</f>
        <v>13.0566</v>
      </c>
      <c r="K947">
        <v>13.057</v>
      </c>
      <c r="L947" s="3">
        <f t="shared" si="14"/>
        <v>-4.0000000000084412E-4</v>
      </c>
      <c r="M947" t="s">
        <v>1945</v>
      </c>
      <c r="N947" t="s">
        <v>19</v>
      </c>
    </row>
    <row r="948" spans="1:14" x14ac:dyDescent="0.3">
      <c r="A948">
        <v>779</v>
      </c>
      <c r="B948" t="s">
        <v>763</v>
      </c>
      <c r="C948" t="s">
        <v>177</v>
      </c>
      <c r="D948" t="s">
        <v>2177</v>
      </c>
      <c r="E948" t="s">
        <v>23</v>
      </c>
      <c r="F948" t="s">
        <v>2169</v>
      </c>
      <c r="G948" s="3">
        <v>4.09</v>
      </c>
      <c r="H948" s="3">
        <v>0</v>
      </c>
      <c r="I948" s="3">
        <v>4.09</v>
      </c>
      <c r="J948" s="3">
        <f>Table1[[#This Row],[قيمة الفاتورة]]*0.94-Table1[[#This Row],[قيمة المشاركة]]</f>
        <v>3.8445999999999998</v>
      </c>
      <c r="K948">
        <v>3.8450000000000002</v>
      </c>
      <c r="L948" s="3">
        <f t="shared" si="14"/>
        <v>-4.0000000000040004E-4</v>
      </c>
      <c r="M948" t="s">
        <v>1945</v>
      </c>
      <c r="N948" t="s">
        <v>19</v>
      </c>
    </row>
    <row r="949" spans="1:14" x14ac:dyDescent="0.3">
      <c r="A949">
        <v>773</v>
      </c>
      <c r="B949" t="s">
        <v>305</v>
      </c>
      <c r="C949" t="s">
        <v>306</v>
      </c>
      <c r="D949" t="s">
        <v>2178</v>
      </c>
      <c r="E949" t="s">
        <v>23</v>
      </c>
      <c r="F949" t="s">
        <v>2169</v>
      </c>
      <c r="G949" s="3">
        <v>24.5</v>
      </c>
      <c r="H949" s="3">
        <v>0</v>
      </c>
      <c r="I949" s="3">
        <v>24.5</v>
      </c>
      <c r="J949" s="3">
        <f>Table1[[#This Row],[قيمة الفاتورة]]*0.94-Table1[[#This Row],[قيمة المشاركة]]</f>
        <v>23.029999999999998</v>
      </c>
      <c r="K949">
        <v>23.03</v>
      </c>
      <c r="L949" s="3">
        <f t="shared" si="14"/>
        <v>-3.5527136788005009E-15</v>
      </c>
      <c r="M949" t="s">
        <v>1945</v>
      </c>
      <c r="N949" t="s">
        <v>19</v>
      </c>
    </row>
    <row r="950" spans="1:14" x14ac:dyDescent="0.3">
      <c r="A950">
        <v>774</v>
      </c>
      <c r="B950" t="s">
        <v>302</v>
      </c>
      <c r="C950" t="s">
        <v>303</v>
      </c>
      <c r="D950" t="s">
        <v>2179</v>
      </c>
      <c r="E950" t="s">
        <v>17</v>
      </c>
      <c r="F950" t="s">
        <v>2169</v>
      </c>
      <c r="G950" s="3">
        <v>44.44</v>
      </c>
      <c r="H950" s="3">
        <v>0</v>
      </c>
      <c r="I950" s="3">
        <v>44.44</v>
      </c>
      <c r="J950" s="3">
        <f>Table1[[#This Row],[قيمة الفاتورة]]*0.94-Table1[[#This Row],[قيمة المشاركة]]</f>
        <v>41.773599999999995</v>
      </c>
      <c r="K950">
        <v>41.67</v>
      </c>
      <c r="L950" s="3">
        <f t="shared" si="14"/>
        <v>0.10359999999999303</v>
      </c>
      <c r="M950" t="s">
        <v>1945</v>
      </c>
      <c r="N950" t="s">
        <v>19</v>
      </c>
    </row>
    <row r="951" spans="1:14" x14ac:dyDescent="0.3">
      <c r="A951">
        <v>775</v>
      </c>
      <c r="B951" t="s">
        <v>2180</v>
      </c>
      <c r="C951" t="s">
        <v>2181</v>
      </c>
      <c r="D951" t="s">
        <v>2182</v>
      </c>
      <c r="E951" t="s">
        <v>23</v>
      </c>
      <c r="F951" t="s">
        <v>2169</v>
      </c>
      <c r="G951" s="3">
        <v>12.53</v>
      </c>
      <c r="H951" s="3">
        <v>0</v>
      </c>
      <c r="I951" s="3">
        <v>12.53</v>
      </c>
      <c r="J951" s="3">
        <f>Table1[[#This Row],[قيمة الفاتورة]]*0.94-Table1[[#This Row],[قيمة المشاركة]]</f>
        <v>11.778199999999998</v>
      </c>
      <c r="K951">
        <v>10.612</v>
      </c>
      <c r="L951" s="3">
        <f t="shared" si="14"/>
        <v>1.1661999999999981</v>
      </c>
      <c r="M951" t="s">
        <v>1945</v>
      </c>
      <c r="N951" t="s">
        <v>19</v>
      </c>
    </row>
    <row r="952" spans="1:14" x14ac:dyDescent="0.3">
      <c r="A952">
        <v>778</v>
      </c>
      <c r="B952" t="s">
        <v>1632</v>
      </c>
      <c r="C952" t="s">
        <v>2183</v>
      </c>
      <c r="D952" t="s">
        <v>2184</v>
      </c>
      <c r="E952" t="s">
        <v>17</v>
      </c>
      <c r="F952" t="s">
        <v>2169</v>
      </c>
      <c r="G952" s="3">
        <v>23.25</v>
      </c>
      <c r="H952" s="3">
        <v>0</v>
      </c>
      <c r="I952" s="3">
        <v>23.25</v>
      </c>
      <c r="J952" s="3">
        <f>Table1[[#This Row],[قيمة الفاتورة]]*0.94-Table1[[#This Row],[قيمة المشاركة]]</f>
        <v>21.855</v>
      </c>
      <c r="K952">
        <v>18.114000000000001</v>
      </c>
      <c r="L952" s="3">
        <f t="shared" si="14"/>
        <v>3.7409999999999997</v>
      </c>
      <c r="M952" t="s">
        <v>1945</v>
      </c>
      <c r="N952" t="s">
        <v>19</v>
      </c>
    </row>
    <row r="953" spans="1:14" x14ac:dyDescent="0.3">
      <c r="A953">
        <v>785</v>
      </c>
      <c r="B953" t="s">
        <v>1407</v>
      </c>
      <c r="C953" t="s">
        <v>1408</v>
      </c>
      <c r="D953" t="s">
        <v>2185</v>
      </c>
      <c r="E953" t="s">
        <v>23</v>
      </c>
      <c r="F953" t="s">
        <v>2186</v>
      </c>
      <c r="G953" s="3">
        <v>13.06</v>
      </c>
      <c r="H953" s="3">
        <v>0</v>
      </c>
      <c r="I953" s="3">
        <v>13.06</v>
      </c>
      <c r="J953" s="3">
        <f>Table1[[#This Row],[قيمة الفاتورة]]*0.94-Table1[[#This Row],[قيمة المشاركة]]</f>
        <v>12.276400000000001</v>
      </c>
      <c r="K953">
        <v>12.416</v>
      </c>
      <c r="L953" s="3">
        <f t="shared" si="14"/>
        <v>-0.13959999999999972</v>
      </c>
      <c r="M953" t="s">
        <v>1945</v>
      </c>
      <c r="N953" t="s">
        <v>19</v>
      </c>
    </row>
    <row r="954" spans="1:14" x14ac:dyDescent="0.3">
      <c r="A954">
        <v>786</v>
      </c>
      <c r="B954" t="s">
        <v>1810</v>
      </c>
      <c r="C954" t="s">
        <v>1758</v>
      </c>
      <c r="D954" t="s">
        <v>2187</v>
      </c>
      <c r="E954" t="s">
        <v>17</v>
      </c>
      <c r="F954" t="s">
        <v>2186</v>
      </c>
      <c r="G954" s="3">
        <v>1.1399999999999999</v>
      </c>
      <c r="H954" s="3">
        <v>0</v>
      </c>
      <c r="I954" s="3">
        <v>1.1399999999999999</v>
      </c>
      <c r="J954" s="3">
        <f>Table1[[#This Row],[قيمة الفاتورة]]*0.94-Table1[[#This Row],[قيمة المشاركة]]</f>
        <v>1.0715999999999999</v>
      </c>
      <c r="K954">
        <v>1.0720000000000001</v>
      </c>
      <c r="L954" s="3">
        <f t="shared" si="14"/>
        <v>-4.0000000000017799E-4</v>
      </c>
      <c r="M954" t="s">
        <v>1945</v>
      </c>
      <c r="N954" t="s">
        <v>19</v>
      </c>
    </row>
    <row r="955" spans="1:14" x14ac:dyDescent="0.3">
      <c r="A955">
        <v>781</v>
      </c>
      <c r="B955" t="s">
        <v>1671</v>
      </c>
      <c r="C955" t="s">
        <v>2188</v>
      </c>
      <c r="D955" t="s">
        <v>2189</v>
      </c>
      <c r="E955" t="s">
        <v>23</v>
      </c>
      <c r="F955" t="s">
        <v>2186</v>
      </c>
      <c r="G955" s="3">
        <v>24.53</v>
      </c>
      <c r="H955" s="3">
        <v>0</v>
      </c>
      <c r="I955" s="3">
        <v>24.53</v>
      </c>
      <c r="J955" s="3">
        <f>Table1[[#This Row],[قيمة الفاتورة]]*0.94-Table1[[#This Row],[قيمة المشاركة]]</f>
        <v>23.058199999999999</v>
      </c>
      <c r="K955">
        <v>23.058</v>
      </c>
      <c r="L955" s="3">
        <f t="shared" si="14"/>
        <v>1.9999999999953388E-4</v>
      </c>
      <c r="M955" t="s">
        <v>1945</v>
      </c>
      <c r="N955" t="s">
        <v>19</v>
      </c>
    </row>
    <row r="956" spans="1:14" x14ac:dyDescent="0.3">
      <c r="A956">
        <v>782</v>
      </c>
      <c r="B956" t="s">
        <v>1572</v>
      </c>
      <c r="C956" t="s">
        <v>614</v>
      </c>
      <c r="D956" t="s">
        <v>2190</v>
      </c>
      <c r="E956" t="s">
        <v>23</v>
      </c>
      <c r="F956" t="s">
        <v>2186</v>
      </c>
      <c r="G956" s="3">
        <v>5.51</v>
      </c>
      <c r="H956" s="3">
        <v>0</v>
      </c>
      <c r="I956" s="3">
        <v>5.51</v>
      </c>
      <c r="J956" s="3">
        <f>Table1[[#This Row],[قيمة الفاتورة]]*0.94-Table1[[#This Row],[قيمة المشاركة]]</f>
        <v>5.1793999999999993</v>
      </c>
      <c r="K956">
        <v>5.1790000000000003</v>
      </c>
      <c r="L956" s="3">
        <f t="shared" si="14"/>
        <v>3.9999999999906777E-4</v>
      </c>
      <c r="M956" t="s">
        <v>1945</v>
      </c>
      <c r="N956" t="s">
        <v>19</v>
      </c>
    </row>
    <row r="957" spans="1:14" x14ac:dyDescent="0.3">
      <c r="A957">
        <v>783</v>
      </c>
      <c r="B957" t="s">
        <v>1551</v>
      </c>
      <c r="C957" t="s">
        <v>1552</v>
      </c>
      <c r="D957" t="s">
        <v>2191</v>
      </c>
      <c r="E957" t="s">
        <v>17</v>
      </c>
      <c r="F957" t="s">
        <v>2186</v>
      </c>
      <c r="G957" s="3">
        <v>9.81</v>
      </c>
      <c r="H957" s="3">
        <v>1.4710000000000001</v>
      </c>
      <c r="I957" s="3">
        <v>8.3390000000000004</v>
      </c>
      <c r="J957" s="3">
        <f>Table1[[#This Row],[قيمة الفاتورة]]*0.94-Table1[[#This Row],[قيمة المشاركة]]</f>
        <v>7.7503999999999991</v>
      </c>
      <c r="K957">
        <v>7.75</v>
      </c>
      <c r="L957" s="3">
        <f t="shared" si="14"/>
        <v>3.9999999999906777E-4</v>
      </c>
      <c r="M957" t="s">
        <v>1945</v>
      </c>
      <c r="N957" t="s">
        <v>19</v>
      </c>
    </row>
    <row r="958" spans="1:14" x14ac:dyDescent="0.3">
      <c r="A958">
        <v>784</v>
      </c>
      <c r="B958" t="s">
        <v>1551</v>
      </c>
      <c r="C958" t="s">
        <v>1552</v>
      </c>
      <c r="D958" t="s">
        <v>2192</v>
      </c>
      <c r="E958" t="s">
        <v>17</v>
      </c>
      <c r="F958" t="s">
        <v>2186</v>
      </c>
      <c r="G958" s="3">
        <v>9.1199999999999992</v>
      </c>
      <c r="H958" s="3">
        <v>1.3680000000000001</v>
      </c>
      <c r="I958" s="3">
        <v>7.7519999999999998</v>
      </c>
      <c r="J958" s="3">
        <f>Table1[[#This Row],[قيمة الفاتورة]]*0.94-Table1[[#This Row],[قيمة المشاركة]]</f>
        <v>7.2047999999999988</v>
      </c>
      <c r="K958">
        <v>7.2039999999999997</v>
      </c>
      <c r="L958" s="3">
        <f t="shared" si="14"/>
        <v>7.9999999999902371E-4</v>
      </c>
      <c r="M958" t="s">
        <v>1945</v>
      </c>
      <c r="N958" t="s">
        <v>19</v>
      </c>
    </row>
    <row r="959" spans="1:14" x14ac:dyDescent="0.3">
      <c r="A959">
        <v>780</v>
      </c>
      <c r="B959" t="s">
        <v>1694</v>
      </c>
      <c r="C959" t="s">
        <v>1233</v>
      </c>
      <c r="D959" t="s">
        <v>2193</v>
      </c>
      <c r="E959" t="s">
        <v>17</v>
      </c>
      <c r="F959" t="s">
        <v>2186</v>
      </c>
      <c r="G959" s="3">
        <v>44.44</v>
      </c>
      <c r="H959" s="3">
        <v>0</v>
      </c>
      <c r="I959" s="3">
        <v>44.44</v>
      </c>
      <c r="J959" s="3">
        <f>Table1[[#This Row],[قيمة الفاتورة]]*0.94-Table1[[#This Row],[قيمة المشاركة]]</f>
        <v>41.773599999999995</v>
      </c>
      <c r="K959">
        <v>41.67</v>
      </c>
      <c r="L959" s="3">
        <f t="shared" si="14"/>
        <v>0.10359999999999303</v>
      </c>
      <c r="M959" t="s">
        <v>1945</v>
      </c>
      <c r="N959" t="s">
        <v>19</v>
      </c>
    </row>
    <row r="960" spans="1:14" x14ac:dyDescent="0.3">
      <c r="A960">
        <v>789</v>
      </c>
      <c r="B960" t="s">
        <v>2194</v>
      </c>
      <c r="C960" t="s">
        <v>2195</v>
      </c>
      <c r="D960" t="s">
        <v>2196</v>
      </c>
      <c r="E960" t="s">
        <v>17</v>
      </c>
      <c r="F960" t="s">
        <v>2197</v>
      </c>
      <c r="G960" s="3">
        <v>39.340000000000003</v>
      </c>
      <c r="H960" s="3">
        <v>7.8680000000000003</v>
      </c>
      <c r="I960" s="3">
        <v>31.472000000000001</v>
      </c>
      <c r="J960" s="3">
        <f>Table1[[#This Row],[قيمة الفاتورة]]*0.94-Table1[[#This Row],[قيمة المشاركة]]</f>
        <v>29.111599999999996</v>
      </c>
      <c r="K960">
        <v>29.646000000000001</v>
      </c>
      <c r="L960" s="3">
        <f t="shared" si="14"/>
        <v>-0.53440000000000509</v>
      </c>
      <c r="M960" t="s">
        <v>1945</v>
      </c>
      <c r="N960" t="s">
        <v>19</v>
      </c>
    </row>
    <row r="961" spans="1:14" x14ac:dyDescent="0.3">
      <c r="A961">
        <v>792</v>
      </c>
      <c r="B961" t="s">
        <v>1627</v>
      </c>
      <c r="C961" t="s">
        <v>1628</v>
      </c>
      <c r="D961" t="s">
        <v>2198</v>
      </c>
      <c r="E961" t="s">
        <v>17</v>
      </c>
      <c r="F961" t="s">
        <v>2197</v>
      </c>
      <c r="G961" s="3">
        <v>17.600000000000001</v>
      </c>
      <c r="H961" s="3">
        <v>0</v>
      </c>
      <c r="I961" s="3">
        <v>17.600000000000001</v>
      </c>
      <c r="J961" s="3">
        <f>Table1[[#This Row],[قيمة الفاتورة]]*0.94-Table1[[#This Row],[قيمة المشاركة]]</f>
        <v>16.544</v>
      </c>
      <c r="K961">
        <v>16.544</v>
      </c>
      <c r="L961" s="3">
        <f t="shared" si="14"/>
        <v>0</v>
      </c>
      <c r="M961" t="s">
        <v>1945</v>
      </c>
      <c r="N961" t="s">
        <v>19</v>
      </c>
    </row>
    <row r="962" spans="1:14" x14ac:dyDescent="0.3">
      <c r="A962">
        <v>788</v>
      </c>
      <c r="B962" t="s">
        <v>930</v>
      </c>
      <c r="C962" t="s">
        <v>2199</v>
      </c>
      <c r="D962" t="s">
        <v>2200</v>
      </c>
      <c r="E962" t="s">
        <v>17</v>
      </c>
      <c r="F962" t="s">
        <v>2197</v>
      </c>
      <c r="G962" s="3">
        <v>15</v>
      </c>
      <c r="H962" s="3">
        <v>0</v>
      </c>
      <c r="I962" s="3">
        <v>15</v>
      </c>
      <c r="J962" s="3">
        <f>Table1[[#This Row],[قيمة الفاتورة]]*0.94-Table1[[#This Row],[قيمة المشاركة]]</f>
        <v>14.1</v>
      </c>
      <c r="K962">
        <v>14.1</v>
      </c>
      <c r="L962" s="3">
        <f t="shared" ref="L962:L1025" si="15">IF(ISNUMBER(K962), J962-K962, "")</f>
        <v>0</v>
      </c>
      <c r="M962" t="s">
        <v>1945</v>
      </c>
      <c r="N962" t="s">
        <v>19</v>
      </c>
    </row>
    <row r="963" spans="1:14" x14ac:dyDescent="0.3">
      <c r="A963">
        <v>791</v>
      </c>
      <c r="B963" t="s">
        <v>751</v>
      </c>
      <c r="C963" t="s">
        <v>752</v>
      </c>
      <c r="D963" t="s">
        <v>2201</v>
      </c>
      <c r="E963" t="s">
        <v>23</v>
      </c>
      <c r="F963" t="s">
        <v>2197</v>
      </c>
      <c r="G963" s="3">
        <v>40.15</v>
      </c>
      <c r="H963" s="3">
        <v>0</v>
      </c>
      <c r="I963" s="3">
        <v>40.15</v>
      </c>
      <c r="J963" s="3">
        <f>Table1[[#This Row],[قيمة الفاتورة]]*0.94-Table1[[#This Row],[قيمة المشاركة]]</f>
        <v>37.741</v>
      </c>
      <c r="K963">
        <v>37.74</v>
      </c>
      <c r="L963" s="3">
        <f t="shared" si="15"/>
        <v>9.9999999999766942E-4</v>
      </c>
      <c r="M963" t="s">
        <v>1945</v>
      </c>
      <c r="N963" t="s">
        <v>19</v>
      </c>
    </row>
    <row r="964" spans="1:14" x14ac:dyDescent="0.3">
      <c r="A964">
        <v>793</v>
      </c>
      <c r="B964" t="s">
        <v>172</v>
      </c>
      <c r="C964" t="s">
        <v>173</v>
      </c>
      <c r="D964" t="s">
        <v>2202</v>
      </c>
      <c r="E964" t="s">
        <v>23</v>
      </c>
      <c r="F964" t="s">
        <v>2197</v>
      </c>
      <c r="G964" s="3">
        <v>11.69</v>
      </c>
      <c r="H964" s="3">
        <v>0</v>
      </c>
      <c r="I964" s="3">
        <v>11.69</v>
      </c>
      <c r="J964" s="3">
        <f>Table1[[#This Row],[قيمة الفاتورة]]*0.94-Table1[[#This Row],[قيمة المشاركة]]</f>
        <v>10.988599999999998</v>
      </c>
      <c r="K964">
        <v>10.791</v>
      </c>
      <c r="L964" s="3">
        <f t="shared" si="15"/>
        <v>0.19759999999999778</v>
      </c>
      <c r="M964" t="s">
        <v>1945</v>
      </c>
      <c r="N964" t="s">
        <v>19</v>
      </c>
    </row>
    <row r="965" spans="1:14" x14ac:dyDescent="0.3">
      <c r="A965">
        <v>787</v>
      </c>
      <c r="B965" t="s">
        <v>2194</v>
      </c>
      <c r="C965" t="s">
        <v>2195</v>
      </c>
      <c r="D965" t="s">
        <v>2203</v>
      </c>
      <c r="E965" t="s">
        <v>17</v>
      </c>
      <c r="F965" t="s">
        <v>2197</v>
      </c>
      <c r="G965" s="3">
        <v>19.2</v>
      </c>
      <c r="H965" s="3">
        <v>2.88</v>
      </c>
      <c r="I965" s="3">
        <v>16.32</v>
      </c>
      <c r="J965" s="3">
        <f>Table1[[#This Row],[قيمة الفاتورة]]*0.94-Table1[[#This Row],[قيمة المشاركة]]</f>
        <v>15.167999999999999</v>
      </c>
      <c r="K965">
        <v>14.624000000000001</v>
      </c>
      <c r="L965" s="3">
        <f t="shared" si="15"/>
        <v>0.54399999999999871</v>
      </c>
      <c r="M965" t="s">
        <v>1945</v>
      </c>
      <c r="N965" t="s">
        <v>19</v>
      </c>
    </row>
    <row r="966" spans="1:14" x14ac:dyDescent="0.3">
      <c r="A966">
        <v>790</v>
      </c>
      <c r="B966" t="s">
        <v>568</v>
      </c>
      <c r="C966" t="s">
        <v>569</v>
      </c>
      <c r="D966" t="s">
        <v>2204</v>
      </c>
      <c r="E966" t="s">
        <v>17</v>
      </c>
      <c r="F966" t="s">
        <v>2197</v>
      </c>
      <c r="G966" s="3">
        <v>22.3</v>
      </c>
      <c r="H966" s="3">
        <v>0</v>
      </c>
      <c r="I966" s="3">
        <v>22.3</v>
      </c>
      <c r="J966" s="3">
        <f>Table1[[#This Row],[قيمة الفاتورة]]*0.94-Table1[[#This Row],[قيمة المشاركة]]</f>
        <v>20.962</v>
      </c>
      <c r="K966">
        <v>20.962</v>
      </c>
      <c r="L966" s="3">
        <f t="shared" si="15"/>
        <v>0</v>
      </c>
      <c r="M966" t="s">
        <v>1945</v>
      </c>
      <c r="N966" t="s">
        <v>19</v>
      </c>
    </row>
    <row r="967" spans="1:14" x14ac:dyDescent="0.3">
      <c r="A967">
        <v>795</v>
      </c>
      <c r="B967" t="s">
        <v>440</v>
      </c>
      <c r="C967" t="s">
        <v>441</v>
      </c>
      <c r="D967" t="s">
        <v>2205</v>
      </c>
      <c r="E967" t="s">
        <v>17</v>
      </c>
      <c r="F967" t="s">
        <v>2206</v>
      </c>
      <c r="G967" s="3">
        <v>6.77</v>
      </c>
      <c r="H967" s="3">
        <v>0</v>
      </c>
      <c r="I967" s="3">
        <v>6.77</v>
      </c>
      <c r="J967" s="3">
        <f>Table1[[#This Row],[قيمة الفاتورة]]*0.94-Table1[[#This Row],[قيمة المشاركة]]</f>
        <v>6.3637999999999995</v>
      </c>
      <c r="K967">
        <v>6.3639999999999999</v>
      </c>
      <c r="L967" s="3">
        <f t="shared" si="15"/>
        <v>-2.0000000000042206E-4</v>
      </c>
      <c r="M967" t="s">
        <v>1945</v>
      </c>
      <c r="N967" t="s">
        <v>19</v>
      </c>
    </row>
    <row r="968" spans="1:14" x14ac:dyDescent="0.3">
      <c r="A968">
        <v>797</v>
      </c>
      <c r="B968" t="s">
        <v>2207</v>
      </c>
      <c r="C968" t="s">
        <v>2208</v>
      </c>
      <c r="D968" t="s">
        <v>2209</v>
      </c>
      <c r="E968" t="s">
        <v>23</v>
      </c>
      <c r="F968" t="s">
        <v>2206</v>
      </c>
      <c r="G968" s="3">
        <v>16.190000000000001</v>
      </c>
      <c r="H968" s="3">
        <v>0</v>
      </c>
      <c r="I968" s="3">
        <v>16.190000000000001</v>
      </c>
      <c r="J968" s="3">
        <f>Table1[[#This Row],[قيمة الفاتورة]]*0.94-Table1[[#This Row],[قيمة المشاركة]]</f>
        <v>15.2186</v>
      </c>
      <c r="K968">
        <v>14.833</v>
      </c>
      <c r="L968" s="3">
        <f t="shared" si="15"/>
        <v>0.38560000000000016</v>
      </c>
      <c r="M968" t="s">
        <v>1945</v>
      </c>
      <c r="N968" t="s">
        <v>19</v>
      </c>
    </row>
    <row r="969" spans="1:14" x14ac:dyDescent="0.3">
      <c r="A969">
        <v>796</v>
      </c>
      <c r="B969" t="s">
        <v>1774</v>
      </c>
      <c r="C969" t="s">
        <v>1775</v>
      </c>
      <c r="D969" t="s">
        <v>2210</v>
      </c>
      <c r="E969" t="s">
        <v>23</v>
      </c>
      <c r="F969" t="s">
        <v>2206</v>
      </c>
      <c r="G969" s="3">
        <v>20.475000000000001</v>
      </c>
      <c r="H969" s="3">
        <v>3.0710000000000002</v>
      </c>
      <c r="I969" s="3">
        <v>17.404</v>
      </c>
      <c r="J969" s="3">
        <f>Table1[[#This Row],[قيمة الفاتورة]]*0.94-Table1[[#This Row],[قيمة المشاركة]]</f>
        <v>16.1755</v>
      </c>
      <c r="K969">
        <v>15.206</v>
      </c>
      <c r="L969" s="3">
        <f t="shared" si="15"/>
        <v>0.96950000000000003</v>
      </c>
      <c r="M969" t="s">
        <v>1945</v>
      </c>
      <c r="N969" t="s">
        <v>19</v>
      </c>
    </row>
    <row r="970" spans="1:14" x14ac:dyDescent="0.3">
      <c r="A970">
        <v>794</v>
      </c>
      <c r="B970" t="s">
        <v>2211</v>
      </c>
      <c r="C970" t="s">
        <v>2212</v>
      </c>
      <c r="D970" t="s">
        <v>2213</v>
      </c>
      <c r="E970" t="s">
        <v>23</v>
      </c>
      <c r="F970" t="s">
        <v>2206</v>
      </c>
      <c r="G970" s="3">
        <v>16.149999999999999</v>
      </c>
      <c r="H970" s="3">
        <v>0</v>
      </c>
      <c r="I970" s="3">
        <v>16.149999999999999</v>
      </c>
      <c r="J970" s="3">
        <f>Table1[[#This Row],[قيمة الفاتورة]]*0.94-Table1[[#This Row],[قيمة المشاركة]]</f>
        <v>15.180999999999997</v>
      </c>
      <c r="K970">
        <v>15.717000000000001</v>
      </c>
      <c r="L970" s="3">
        <f t="shared" si="15"/>
        <v>-0.53600000000000314</v>
      </c>
      <c r="M970" t="s">
        <v>1945</v>
      </c>
      <c r="N970" t="s">
        <v>19</v>
      </c>
    </row>
    <row r="971" spans="1:14" x14ac:dyDescent="0.3">
      <c r="A971">
        <v>798</v>
      </c>
      <c r="B971" t="s">
        <v>1562</v>
      </c>
      <c r="C971" t="s">
        <v>1563</v>
      </c>
      <c r="D971" t="s">
        <v>2214</v>
      </c>
      <c r="E971" t="s">
        <v>23</v>
      </c>
      <c r="F971" t="s">
        <v>2215</v>
      </c>
      <c r="G971" s="3">
        <v>10.76</v>
      </c>
      <c r="H971" s="3">
        <v>0</v>
      </c>
      <c r="I971" s="3">
        <v>10.76</v>
      </c>
      <c r="J971" s="3">
        <f>Table1[[#This Row],[قيمة الفاتورة]]*0.94-Table1[[#This Row],[قيمة المشاركة]]</f>
        <v>10.1144</v>
      </c>
      <c r="K971">
        <v>10.96</v>
      </c>
      <c r="L971" s="3">
        <f t="shared" si="15"/>
        <v>-0.84560000000000102</v>
      </c>
      <c r="M971" t="s">
        <v>1945</v>
      </c>
      <c r="N971" t="s">
        <v>19</v>
      </c>
    </row>
    <row r="972" spans="1:14" x14ac:dyDescent="0.3">
      <c r="A972">
        <v>799</v>
      </c>
      <c r="B972" t="s">
        <v>2216</v>
      </c>
      <c r="C972" t="s">
        <v>2212</v>
      </c>
      <c r="D972" t="s">
        <v>2217</v>
      </c>
      <c r="E972" t="s">
        <v>23</v>
      </c>
      <c r="F972" t="s">
        <v>2215</v>
      </c>
      <c r="G972" s="3">
        <v>2.66</v>
      </c>
      <c r="H972" s="3">
        <v>0</v>
      </c>
      <c r="I972" s="3">
        <v>2.66</v>
      </c>
      <c r="J972" s="3">
        <f>Table1[[#This Row],[قيمة الفاتورة]]*0.94-Table1[[#This Row],[قيمة المشاركة]]</f>
        <v>2.5004</v>
      </c>
      <c r="L972" s="3" t="str">
        <f t="shared" si="15"/>
        <v/>
      </c>
      <c r="N972" t="s">
        <v>19</v>
      </c>
    </row>
    <row r="973" spans="1:14" x14ac:dyDescent="0.3">
      <c r="A973">
        <v>808</v>
      </c>
      <c r="B973" t="s">
        <v>2218</v>
      </c>
      <c r="C973" t="s">
        <v>354</v>
      </c>
      <c r="D973" t="s">
        <v>2219</v>
      </c>
      <c r="E973" t="s">
        <v>23</v>
      </c>
      <c r="F973" t="s">
        <v>2220</v>
      </c>
      <c r="G973" s="3">
        <v>12.92</v>
      </c>
      <c r="H973" s="3">
        <v>0</v>
      </c>
      <c r="I973" s="3">
        <v>12.92</v>
      </c>
      <c r="J973" s="3">
        <f>Table1[[#This Row],[قيمة الفاتورة]]*0.94-Table1[[#This Row],[قيمة المشاركة]]</f>
        <v>12.1448</v>
      </c>
      <c r="K973">
        <v>12.145</v>
      </c>
      <c r="L973" s="3">
        <f t="shared" si="15"/>
        <v>-1.9999999999953388E-4</v>
      </c>
      <c r="M973" t="s">
        <v>1945</v>
      </c>
      <c r="N973" t="s">
        <v>19</v>
      </c>
    </row>
    <row r="974" spans="1:14" x14ac:dyDescent="0.3">
      <c r="A974">
        <v>812</v>
      </c>
      <c r="B974" t="s">
        <v>1218</v>
      </c>
      <c r="C974" t="s">
        <v>1219</v>
      </c>
      <c r="D974" t="s">
        <v>2221</v>
      </c>
      <c r="E974" t="s">
        <v>23</v>
      </c>
      <c r="F974" t="s">
        <v>2220</v>
      </c>
      <c r="G974" s="3">
        <v>14.2</v>
      </c>
      <c r="H974" s="3">
        <v>0</v>
      </c>
      <c r="I974" s="3">
        <v>14.2</v>
      </c>
      <c r="J974" s="3">
        <f>Table1[[#This Row],[قيمة الفاتورة]]*0.94-Table1[[#This Row],[قيمة المشاركة]]</f>
        <v>13.347999999999999</v>
      </c>
      <c r="K974">
        <v>13.348000000000001</v>
      </c>
      <c r="L974" s="3">
        <f t="shared" si="15"/>
        <v>-1.7763568394002505E-15</v>
      </c>
      <c r="M974" t="s">
        <v>1945</v>
      </c>
      <c r="N974" t="s">
        <v>19</v>
      </c>
    </row>
    <row r="975" spans="1:14" x14ac:dyDescent="0.3">
      <c r="A975">
        <v>801</v>
      </c>
      <c r="B975" t="s">
        <v>1746</v>
      </c>
      <c r="C975" t="s">
        <v>2222</v>
      </c>
      <c r="D975" t="s">
        <v>2223</v>
      </c>
      <c r="E975" t="s">
        <v>17</v>
      </c>
      <c r="F975" t="s">
        <v>2220</v>
      </c>
      <c r="G975" s="3">
        <v>28.5</v>
      </c>
      <c r="H975" s="3">
        <v>0</v>
      </c>
      <c r="I975" s="3">
        <v>28.5</v>
      </c>
      <c r="J975" s="3">
        <f>Table1[[#This Row],[قيمة الفاتورة]]*0.94-Table1[[#This Row],[قيمة المشاركة]]</f>
        <v>26.79</v>
      </c>
      <c r="K975">
        <v>26.79</v>
      </c>
      <c r="L975" s="3">
        <f t="shared" si="15"/>
        <v>0</v>
      </c>
      <c r="M975" t="s">
        <v>1945</v>
      </c>
      <c r="N975" t="s">
        <v>19</v>
      </c>
    </row>
    <row r="976" spans="1:14" x14ac:dyDescent="0.3">
      <c r="A976">
        <v>802</v>
      </c>
      <c r="B976" t="s">
        <v>2224</v>
      </c>
      <c r="C976" t="s">
        <v>2225</v>
      </c>
      <c r="D976" t="s">
        <v>2226</v>
      </c>
      <c r="E976" t="s">
        <v>17</v>
      </c>
      <c r="F976" t="s">
        <v>2220</v>
      </c>
      <c r="G976" s="3">
        <v>20.93</v>
      </c>
      <c r="H976" s="3">
        <v>0</v>
      </c>
      <c r="I976" s="3">
        <v>20.93</v>
      </c>
      <c r="J976" s="3">
        <f>Table1[[#This Row],[قيمة الفاتورة]]*0.94-Table1[[#This Row],[قيمة المشاركة]]</f>
        <v>19.674199999999999</v>
      </c>
      <c r="K976">
        <v>19.673999999999999</v>
      </c>
      <c r="L976" s="3">
        <f t="shared" si="15"/>
        <v>1.9999999999953388E-4</v>
      </c>
      <c r="M976" t="s">
        <v>1945</v>
      </c>
      <c r="N976" t="s">
        <v>19</v>
      </c>
    </row>
    <row r="977" spans="1:14" x14ac:dyDescent="0.3">
      <c r="A977">
        <v>806</v>
      </c>
      <c r="B977" t="s">
        <v>672</v>
      </c>
      <c r="C977" t="s">
        <v>2227</v>
      </c>
      <c r="D977" t="s">
        <v>2228</v>
      </c>
      <c r="E977" t="s">
        <v>23</v>
      </c>
      <c r="F977" t="s">
        <v>2220</v>
      </c>
      <c r="G977" s="3">
        <v>2.38</v>
      </c>
      <c r="H977" s="3">
        <v>0</v>
      </c>
      <c r="I977" s="3">
        <v>2.38</v>
      </c>
      <c r="J977" s="3">
        <f>Table1[[#This Row],[قيمة الفاتورة]]*0.94-Table1[[#This Row],[قيمة المشاركة]]</f>
        <v>2.2371999999999996</v>
      </c>
      <c r="K977">
        <v>2.2370000000000001</v>
      </c>
      <c r="L977" s="3">
        <f t="shared" si="15"/>
        <v>1.9999999999953388E-4</v>
      </c>
      <c r="M977" t="s">
        <v>1945</v>
      </c>
      <c r="N977" t="s">
        <v>19</v>
      </c>
    </row>
    <row r="978" spans="1:14" x14ac:dyDescent="0.3">
      <c r="A978">
        <v>807</v>
      </c>
      <c r="B978" t="s">
        <v>2229</v>
      </c>
      <c r="C978" t="s">
        <v>2230</v>
      </c>
      <c r="D978" t="s">
        <v>2231</v>
      </c>
      <c r="E978" t="s">
        <v>23</v>
      </c>
      <c r="F978" t="s">
        <v>2220</v>
      </c>
      <c r="G978" s="3">
        <v>22.84</v>
      </c>
      <c r="H978" s="3">
        <v>0</v>
      </c>
      <c r="I978" s="3">
        <v>22.84</v>
      </c>
      <c r="J978" s="3">
        <f>Table1[[#This Row],[قيمة الفاتورة]]*0.94-Table1[[#This Row],[قيمة المشاركة]]</f>
        <v>21.4696</v>
      </c>
      <c r="K978">
        <v>21.469000000000001</v>
      </c>
      <c r="L978" s="3">
        <f t="shared" si="15"/>
        <v>5.9999999999860165E-4</v>
      </c>
      <c r="M978" t="s">
        <v>1945</v>
      </c>
      <c r="N978" t="s">
        <v>19</v>
      </c>
    </row>
    <row r="979" spans="1:14" x14ac:dyDescent="0.3">
      <c r="A979">
        <v>804</v>
      </c>
      <c r="B979" t="s">
        <v>995</v>
      </c>
      <c r="C979" t="s">
        <v>2232</v>
      </c>
      <c r="D979" t="s">
        <v>2233</v>
      </c>
      <c r="E979" t="s">
        <v>23</v>
      </c>
      <c r="F979" t="s">
        <v>2220</v>
      </c>
      <c r="G979" s="3">
        <v>21.22</v>
      </c>
      <c r="H979" s="3">
        <v>0</v>
      </c>
      <c r="I979" s="3">
        <v>21.22</v>
      </c>
      <c r="J979" s="3">
        <f>Table1[[#This Row],[قيمة الفاتورة]]*0.94-Table1[[#This Row],[قيمة المشاركة]]</f>
        <v>19.946799999999996</v>
      </c>
      <c r="K979">
        <v>19.946000000000002</v>
      </c>
      <c r="L979" s="3">
        <f t="shared" si="15"/>
        <v>7.9999999999458282E-4</v>
      </c>
      <c r="M979" t="s">
        <v>1945</v>
      </c>
      <c r="N979" t="s">
        <v>19</v>
      </c>
    </row>
    <row r="980" spans="1:14" x14ac:dyDescent="0.3">
      <c r="A980">
        <v>810</v>
      </c>
      <c r="B980" t="s">
        <v>675</v>
      </c>
      <c r="C980" t="s">
        <v>2234</v>
      </c>
      <c r="D980" t="s">
        <v>2235</v>
      </c>
      <c r="E980" t="s">
        <v>23</v>
      </c>
      <c r="F980" t="s">
        <v>2220</v>
      </c>
      <c r="G980" s="3">
        <v>6.52</v>
      </c>
      <c r="H980" s="3">
        <v>0</v>
      </c>
      <c r="I980" s="3">
        <v>6.52</v>
      </c>
      <c r="J980" s="3">
        <f>Table1[[#This Row],[قيمة الفاتورة]]*0.94-Table1[[#This Row],[قيمة المشاركة]]</f>
        <v>6.1287999999999991</v>
      </c>
      <c r="K980">
        <v>6.1280000000000001</v>
      </c>
      <c r="L980" s="3">
        <f t="shared" si="15"/>
        <v>7.9999999999902371E-4</v>
      </c>
      <c r="M980" t="s">
        <v>1945</v>
      </c>
      <c r="N980" t="s">
        <v>19</v>
      </c>
    </row>
    <row r="981" spans="1:14" x14ac:dyDescent="0.3">
      <c r="A981">
        <v>809</v>
      </c>
      <c r="B981" t="s">
        <v>644</v>
      </c>
      <c r="C981" t="s">
        <v>645</v>
      </c>
      <c r="D981" t="s">
        <v>2236</v>
      </c>
      <c r="E981" t="s">
        <v>23</v>
      </c>
      <c r="F981" t="s">
        <v>2220</v>
      </c>
      <c r="G981" s="3">
        <v>15.58</v>
      </c>
      <c r="H981" s="3">
        <v>0</v>
      </c>
      <c r="I981" s="3">
        <v>15.58</v>
      </c>
      <c r="J981" s="3">
        <f>Table1[[#This Row],[قيمة الفاتورة]]*0.94-Table1[[#This Row],[قيمة المشاركة]]</f>
        <v>14.645199999999999</v>
      </c>
      <c r="K981">
        <v>14.635</v>
      </c>
      <c r="L981" s="3">
        <f t="shared" si="15"/>
        <v>1.0199999999999321E-2</v>
      </c>
      <c r="M981" t="s">
        <v>1945</v>
      </c>
      <c r="N981" t="s">
        <v>19</v>
      </c>
    </row>
    <row r="982" spans="1:14" x14ac:dyDescent="0.3">
      <c r="A982">
        <v>811</v>
      </c>
      <c r="B982" t="s">
        <v>216</v>
      </c>
      <c r="C982" t="s">
        <v>217</v>
      </c>
      <c r="D982" t="s">
        <v>2237</v>
      </c>
      <c r="E982" t="s">
        <v>23</v>
      </c>
      <c r="F982" t="s">
        <v>2220</v>
      </c>
      <c r="G982" s="3">
        <v>13.52</v>
      </c>
      <c r="H982" s="3">
        <v>0</v>
      </c>
      <c r="I982" s="3">
        <v>13.52</v>
      </c>
      <c r="J982" s="3">
        <f>Table1[[#This Row],[قيمة الفاتورة]]*0.94-Table1[[#This Row],[قيمة المشاركة]]</f>
        <v>12.708799999999998</v>
      </c>
      <c r="K982">
        <v>12.52</v>
      </c>
      <c r="L982" s="3">
        <f t="shared" si="15"/>
        <v>0.18879999999999875</v>
      </c>
      <c r="M982" t="s">
        <v>1945</v>
      </c>
      <c r="N982" t="s">
        <v>19</v>
      </c>
    </row>
    <row r="983" spans="1:14" x14ac:dyDescent="0.3">
      <c r="A983">
        <v>805</v>
      </c>
      <c r="B983" t="s">
        <v>1194</v>
      </c>
      <c r="C983" t="s">
        <v>1195</v>
      </c>
      <c r="D983" t="s">
        <v>2238</v>
      </c>
      <c r="E983" t="s">
        <v>23</v>
      </c>
      <c r="F983" t="s">
        <v>2220</v>
      </c>
      <c r="G983" s="3">
        <v>28.47</v>
      </c>
      <c r="H983" s="3">
        <v>0</v>
      </c>
      <c r="I983" s="3">
        <v>28.47</v>
      </c>
      <c r="J983" s="3">
        <f>Table1[[#This Row],[قيمة الفاتورة]]*0.94-Table1[[#This Row],[قيمة المشاركة]]</f>
        <v>26.761799999999997</v>
      </c>
      <c r="K983">
        <v>26.027999999999999</v>
      </c>
      <c r="L983" s="3">
        <f t="shared" si="15"/>
        <v>0.73379999999999868</v>
      </c>
      <c r="M983" t="s">
        <v>1945</v>
      </c>
      <c r="N983" t="s">
        <v>19</v>
      </c>
    </row>
    <row r="984" spans="1:14" x14ac:dyDescent="0.3">
      <c r="A984">
        <v>800</v>
      </c>
      <c r="B984" t="s">
        <v>2239</v>
      </c>
      <c r="C984" t="s">
        <v>2240</v>
      </c>
      <c r="D984" t="s">
        <v>2241</v>
      </c>
      <c r="E984" t="s">
        <v>17</v>
      </c>
      <c r="F984" t="s">
        <v>2220</v>
      </c>
      <c r="G984" s="3">
        <v>15.06</v>
      </c>
      <c r="H984" s="3">
        <v>0</v>
      </c>
      <c r="I984" s="3">
        <v>15.06</v>
      </c>
      <c r="J984" s="3">
        <f>Table1[[#This Row],[قيمة الفاتورة]]*0.94-Table1[[#This Row],[قيمة المشاركة]]</f>
        <v>14.1564</v>
      </c>
      <c r="K984">
        <v>13.414</v>
      </c>
      <c r="L984" s="3">
        <f t="shared" si="15"/>
        <v>0.74239999999999995</v>
      </c>
      <c r="M984" t="s">
        <v>1945</v>
      </c>
      <c r="N984" t="s">
        <v>19</v>
      </c>
    </row>
    <row r="985" spans="1:14" x14ac:dyDescent="0.3">
      <c r="A985">
        <v>803</v>
      </c>
      <c r="B985" t="s">
        <v>927</v>
      </c>
      <c r="C985" t="s">
        <v>928</v>
      </c>
      <c r="D985" t="s">
        <v>2242</v>
      </c>
      <c r="E985" t="s">
        <v>23</v>
      </c>
      <c r="F985" t="s">
        <v>2220</v>
      </c>
      <c r="G985" s="3">
        <v>26.37</v>
      </c>
      <c r="H985" s="3">
        <v>0</v>
      </c>
      <c r="I985" s="3">
        <v>26.37</v>
      </c>
      <c r="J985" s="3">
        <f>Table1[[#This Row],[قيمة الفاتورة]]*0.94-Table1[[#This Row],[قيمة المشاركة]]</f>
        <v>24.787800000000001</v>
      </c>
      <c r="K985">
        <v>22.484999999999999</v>
      </c>
      <c r="L985" s="3">
        <f t="shared" si="15"/>
        <v>2.3028000000000013</v>
      </c>
      <c r="M985" t="s">
        <v>1945</v>
      </c>
      <c r="N985" t="s">
        <v>19</v>
      </c>
    </row>
    <row r="986" spans="1:14" x14ac:dyDescent="0.3">
      <c r="A986">
        <v>813</v>
      </c>
      <c r="B986" t="s">
        <v>2243</v>
      </c>
      <c r="C986" t="s">
        <v>2244</v>
      </c>
      <c r="D986" t="s">
        <v>2245</v>
      </c>
      <c r="E986" t="s">
        <v>23</v>
      </c>
      <c r="F986" t="s">
        <v>2246</v>
      </c>
      <c r="G986" s="3">
        <v>21.6</v>
      </c>
      <c r="H986" s="3">
        <v>0</v>
      </c>
      <c r="I986" s="3">
        <v>21.6</v>
      </c>
      <c r="J986" s="3">
        <f>Table1[[#This Row],[قيمة الفاتورة]]*0.94-Table1[[#This Row],[قيمة المشاركة]]</f>
        <v>20.303999999999998</v>
      </c>
      <c r="K986">
        <v>20.303999999999998</v>
      </c>
      <c r="L986" s="3">
        <f t="shared" si="15"/>
        <v>0</v>
      </c>
      <c r="M986" t="s">
        <v>1945</v>
      </c>
      <c r="N986" t="s">
        <v>19</v>
      </c>
    </row>
    <row r="987" spans="1:14" x14ac:dyDescent="0.3">
      <c r="A987">
        <v>817</v>
      </c>
      <c r="B987" t="s">
        <v>737</v>
      </c>
      <c r="C987" t="s">
        <v>377</v>
      </c>
      <c r="D987" t="s">
        <v>2247</v>
      </c>
      <c r="E987" t="s">
        <v>23</v>
      </c>
      <c r="F987" t="s">
        <v>2248</v>
      </c>
      <c r="G987" s="3">
        <v>28.79</v>
      </c>
      <c r="H987" s="3">
        <v>4.3179999999999996</v>
      </c>
      <c r="I987" s="3">
        <v>24.472000000000001</v>
      </c>
      <c r="J987" s="3">
        <f>Table1[[#This Row],[قيمة الفاتورة]]*0.94-Table1[[#This Row],[قيمة المشاركة]]</f>
        <v>22.744599999999998</v>
      </c>
      <c r="K987">
        <v>23.943999999999999</v>
      </c>
      <c r="L987" s="3">
        <f t="shared" si="15"/>
        <v>-1.1994000000000007</v>
      </c>
      <c r="M987" t="s">
        <v>1945</v>
      </c>
      <c r="N987" t="s">
        <v>19</v>
      </c>
    </row>
    <row r="988" spans="1:14" x14ac:dyDescent="0.3">
      <c r="A988">
        <v>814</v>
      </c>
      <c r="B988" t="s">
        <v>1746</v>
      </c>
      <c r="C988" t="s">
        <v>2222</v>
      </c>
      <c r="D988" t="s">
        <v>2249</v>
      </c>
      <c r="E988" t="s">
        <v>17</v>
      </c>
      <c r="F988" t="s">
        <v>2248</v>
      </c>
      <c r="G988" s="3">
        <v>12.98</v>
      </c>
      <c r="H988" s="3">
        <v>0</v>
      </c>
      <c r="I988" s="3">
        <v>12.98</v>
      </c>
      <c r="J988" s="3">
        <f>Table1[[#This Row],[قيمة الفاتورة]]*0.94-Table1[[#This Row],[قيمة المشاركة]]</f>
        <v>12.2012</v>
      </c>
      <c r="K988">
        <v>12.201000000000001</v>
      </c>
      <c r="L988" s="3">
        <f t="shared" si="15"/>
        <v>1.9999999999953388E-4</v>
      </c>
      <c r="M988" t="s">
        <v>1945</v>
      </c>
      <c r="N988" t="s">
        <v>19</v>
      </c>
    </row>
    <row r="989" spans="1:14" x14ac:dyDescent="0.3">
      <c r="A989">
        <v>815</v>
      </c>
      <c r="B989" t="s">
        <v>1065</v>
      </c>
      <c r="C989" t="s">
        <v>1012</v>
      </c>
      <c r="D989" t="s">
        <v>2250</v>
      </c>
      <c r="E989" t="s">
        <v>17</v>
      </c>
      <c r="F989" t="s">
        <v>2248</v>
      </c>
      <c r="G989" s="3">
        <v>17.93</v>
      </c>
      <c r="H989" s="3">
        <v>0</v>
      </c>
      <c r="I989" s="3">
        <v>17.93</v>
      </c>
      <c r="J989" s="3">
        <f>Table1[[#This Row],[قيمة الفاتورة]]*0.94-Table1[[#This Row],[قيمة المشاركة]]</f>
        <v>16.854199999999999</v>
      </c>
      <c r="K989">
        <v>16.853999999999999</v>
      </c>
      <c r="L989" s="3">
        <f t="shared" si="15"/>
        <v>1.9999999999953388E-4</v>
      </c>
      <c r="M989" t="s">
        <v>1945</v>
      </c>
      <c r="N989" t="s">
        <v>19</v>
      </c>
    </row>
    <row r="990" spans="1:14" x14ac:dyDescent="0.3">
      <c r="A990">
        <v>819</v>
      </c>
      <c r="B990" t="s">
        <v>98</v>
      </c>
      <c r="C990" t="s">
        <v>99</v>
      </c>
      <c r="D990" t="s">
        <v>2251</v>
      </c>
      <c r="E990" t="s">
        <v>17</v>
      </c>
      <c r="F990" t="s">
        <v>2248</v>
      </c>
      <c r="G990" s="3">
        <v>11.01</v>
      </c>
      <c r="H990" s="3">
        <v>0</v>
      </c>
      <c r="I990" s="3">
        <v>11.01</v>
      </c>
      <c r="J990" s="3">
        <f>Table1[[#This Row],[قيمة الفاتورة]]*0.94-Table1[[#This Row],[قيمة المشاركة]]</f>
        <v>10.349399999999999</v>
      </c>
      <c r="K990">
        <v>10.349</v>
      </c>
      <c r="L990" s="3">
        <f t="shared" si="15"/>
        <v>3.9999999999906777E-4</v>
      </c>
      <c r="M990" t="s">
        <v>1945</v>
      </c>
      <c r="N990" t="s">
        <v>19</v>
      </c>
    </row>
    <row r="991" spans="1:14" x14ac:dyDescent="0.3">
      <c r="A991">
        <v>818</v>
      </c>
      <c r="B991" t="s">
        <v>2252</v>
      </c>
      <c r="C991" t="s">
        <v>2253</v>
      </c>
      <c r="D991" t="s">
        <v>2254</v>
      </c>
      <c r="E991" t="s">
        <v>23</v>
      </c>
      <c r="F991" t="s">
        <v>2248</v>
      </c>
      <c r="G991" s="3">
        <v>11.96</v>
      </c>
      <c r="H991" s="3">
        <v>1.794</v>
      </c>
      <c r="I991" s="3">
        <v>10.166</v>
      </c>
      <c r="J991" s="3">
        <f>Table1[[#This Row],[قيمة الفاتورة]]*0.94-Table1[[#This Row],[قيمة المشاركة]]</f>
        <v>9.4483999999999995</v>
      </c>
      <c r="K991">
        <v>9.4480000000000004</v>
      </c>
      <c r="L991" s="3">
        <f t="shared" si="15"/>
        <v>3.9999999999906777E-4</v>
      </c>
      <c r="M991" t="s">
        <v>1945</v>
      </c>
      <c r="N991" t="s">
        <v>19</v>
      </c>
    </row>
    <row r="992" spans="1:14" x14ac:dyDescent="0.3">
      <c r="A992">
        <v>816</v>
      </c>
      <c r="B992" t="s">
        <v>2255</v>
      </c>
      <c r="C992" t="s">
        <v>2256</v>
      </c>
      <c r="D992" t="s">
        <v>2257</v>
      </c>
      <c r="E992" t="s">
        <v>23</v>
      </c>
      <c r="F992" t="s">
        <v>2248</v>
      </c>
      <c r="G992" s="3">
        <v>14.94</v>
      </c>
      <c r="H992" s="3">
        <v>0</v>
      </c>
      <c r="I992" s="3">
        <v>14.94</v>
      </c>
      <c r="J992" s="3">
        <f>Table1[[#This Row],[قيمة الفاتورة]]*0.94-Table1[[#This Row],[قيمة المشاركة]]</f>
        <v>14.043599999999998</v>
      </c>
      <c r="K992">
        <v>14.042999999999999</v>
      </c>
      <c r="L992" s="3">
        <f t="shared" si="15"/>
        <v>5.9999999999860165E-4</v>
      </c>
      <c r="M992" t="s">
        <v>1945</v>
      </c>
      <c r="N992" t="s">
        <v>19</v>
      </c>
    </row>
    <row r="993" spans="1:14" x14ac:dyDescent="0.3">
      <c r="A993">
        <v>821</v>
      </c>
      <c r="B993" t="s">
        <v>1546</v>
      </c>
      <c r="C993" t="s">
        <v>1547</v>
      </c>
      <c r="D993" t="s">
        <v>2258</v>
      </c>
      <c r="E993" t="s">
        <v>23</v>
      </c>
      <c r="F993" t="s">
        <v>2259</v>
      </c>
      <c r="G993" s="3">
        <v>21.85</v>
      </c>
      <c r="H993" s="3">
        <v>0</v>
      </c>
      <c r="I993" s="3">
        <v>21.85</v>
      </c>
      <c r="J993" s="3">
        <f>Table1[[#This Row],[قيمة الفاتورة]]*0.94-Table1[[#This Row],[قيمة المشاركة]]</f>
        <v>20.539000000000001</v>
      </c>
      <c r="K993">
        <v>22.446999999999999</v>
      </c>
      <c r="L993" s="3">
        <f t="shared" si="15"/>
        <v>-1.9079999999999977</v>
      </c>
      <c r="M993" t="s">
        <v>1945</v>
      </c>
      <c r="N993" t="s">
        <v>19</v>
      </c>
    </row>
    <row r="994" spans="1:14" x14ac:dyDescent="0.3">
      <c r="A994">
        <v>822</v>
      </c>
      <c r="B994" t="s">
        <v>1333</v>
      </c>
      <c r="C994" t="s">
        <v>1334</v>
      </c>
      <c r="D994" t="s">
        <v>2260</v>
      </c>
      <c r="E994" t="s">
        <v>23</v>
      </c>
      <c r="F994" t="s">
        <v>2259</v>
      </c>
      <c r="G994" s="3">
        <v>4.1500000000000004</v>
      </c>
      <c r="H994" s="3">
        <v>0</v>
      </c>
      <c r="I994" s="3">
        <v>4.1500000000000004</v>
      </c>
      <c r="J994" s="3">
        <f>Table1[[#This Row],[قيمة الفاتورة]]*0.94-Table1[[#This Row],[قيمة المشاركة]]</f>
        <v>3.9010000000000002</v>
      </c>
      <c r="K994">
        <v>3.9009999999999998</v>
      </c>
      <c r="L994" s="3">
        <f t="shared" si="15"/>
        <v>4.4408920985006262E-16</v>
      </c>
      <c r="M994" t="s">
        <v>1945</v>
      </c>
      <c r="N994" t="s">
        <v>19</v>
      </c>
    </row>
    <row r="995" spans="1:14" x14ac:dyDescent="0.3">
      <c r="A995">
        <v>820</v>
      </c>
      <c r="B995" t="s">
        <v>1572</v>
      </c>
      <c r="C995" t="s">
        <v>614</v>
      </c>
      <c r="D995" t="s">
        <v>2261</v>
      </c>
      <c r="E995" t="s">
        <v>17</v>
      </c>
      <c r="F995" t="s">
        <v>2259</v>
      </c>
      <c r="G995" s="3">
        <v>21.49</v>
      </c>
      <c r="H995" s="3">
        <v>0</v>
      </c>
      <c r="I995" s="3">
        <v>21.49</v>
      </c>
      <c r="J995" s="3">
        <f>Table1[[#This Row],[قيمة الفاتورة]]*0.94-Table1[[#This Row],[قيمة المشاركة]]</f>
        <v>20.200599999999998</v>
      </c>
      <c r="K995">
        <v>20.2</v>
      </c>
      <c r="L995" s="3">
        <f t="shared" si="15"/>
        <v>5.9999999999860165E-4</v>
      </c>
      <c r="M995" t="s">
        <v>1945</v>
      </c>
      <c r="N995" t="s">
        <v>19</v>
      </c>
    </row>
    <row r="996" spans="1:14" x14ac:dyDescent="0.3">
      <c r="A996">
        <v>824</v>
      </c>
      <c r="B996" t="s">
        <v>891</v>
      </c>
      <c r="C996" t="s">
        <v>1489</v>
      </c>
      <c r="D996" t="s">
        <v>2262</v>
      </c>
      <c r="E996" t="s">
        <v>17</v>
      </c>
      <c r="F996" t="s">
        <v>2263</v>
      </c>
      <c r="G996" s="3">
        <v>28.35</v>
      </c>
      <c r="H996" s="3">
        <v>5.67</v>
      </c>
      <c r="I996" s="3">
        <v>22.68</v>
      </c>
      <c r="J996" s="3">
        <f>Table1[[#This Row],[قيمة الفاتورة]]*0.94-Table1[[#This Row],[قيمة المشاركة]]</f>
        <v>20.978999999999999</v>
      </c>
      <c r="K996">
        <v>22.395</v>
      </c>
      <c r="L996" s="3">
        <f t="shared" si="15"/>
        <v>-1.4160000000000004</v>
      </c>
      <c r="M996" t="s">
        <v>1945</v>
      </c>
      <c r="N996" t="s">
        <v>19</v>
      </c>
    </row>
    <row r="997" spans="1:14" x14ac:dyDescent="0.3">
      <c r="A997">
        <v>827</v>
      </c>
      <c r="B997" t="s">
        <v>1389</v>
      </c>
      <c r="C997" t="s">
        <v>1390</v>
      </c>
      <c r="D997" t="s">
        <v>2264</v>
      </c>
      <c r="E997" t="s">
        <v>23</v>
      </c>
      <c r="F997" t="s">
        <v>2263</v>
      </c>
      <c r="G997" s="3">
        <v>20.97</v>
      </c>
      <c r="H997" s="3">
        <v>0</v>
      </c>
      <c r="I997" s="3">
        <v>20.97</v>
      </c>
      <c r="J997" s="3">
        <f>Table1[[#This Row],[قيمة الفاتورة]]*0.94-Table1[[#This Row],[قيمة المشاركة]]</f>
        <v>19.711799999999997</v>
      </c>
      <c r="K997">
        <v>19.760000000000002</v>
      </c>
      <c r="L997" s="3">
        <f t="shared" si="15"/>
        <v>-4.8200000000004906E-2</v>
      </c>
      <c r="M997" t="s">
        <v>1945</v>
      </c>
      <c r="N997" t="s">
        <v>19</v>
      </c>
    </row>
    <row r="998" spans="1:14" x14ac:dyDescent="0.3">
      <c r="A998">
        <v>823</v>
      </c>
      <c r="B998" t="s">
        <v>958</v>
      </c>
      <c r="C998" t="s">
        <v>2265</v>
      </c>
      <c r="D998" t="s">
        <v>2266</v>
      </c>
      <c r="E998" t="s">
        <v>23</v>
      </c>
      <c r="F998" t="s">
        <v>2263</v>
      </c>
      <c r="G998" s="3">
        <v>9.5</v>
      </c>
      <c r="H998" s="3">
        <v>0</v>
      </c>
      <c r="I998" s="3">
        <v>9.5</v>
      </c>
      <c r="J998" s="3">
        <f>Table1[[#This Row],[قيمة الفاتورة]]*0.94-Table1[[#This Row],[قيمة المشاركة]]</f>
        <v>8.93</v>
      </c>
      <c r="K998">
        <v>8.93</v>
      </c>
      <c r="L998" s="3">
        <f t="shared" si="15"/>
        <v>0</v>
      </c>
      <c r="M998" t="s">
        <v>1945</v>
      </c>
      <c r="N998" t="s">
        <v>19</v>
      </c>
    </row>
    <row r="999" spans="1:14" x14ac:dyDescent="0.3">
      <c r="A999">
        <v>826</v>
      </c>
      <c r="B999" t="s">
        <v>1376</v>
      </c>
      <c r="C999" t="s">
        <v>167</v>
      </c>
      <c r="D999" t="s">
        <v>2267</v>
      </c>
      <c r="E999" t="s">
        <v>17</v>
      </c>
      <c r="F999" t="s">
        <v>2263</v>
      </c>
      <c r="G999" s="3">
        <v>39.18</v>
      </c>
      <c r="H999" s="3">
        <v>0</v>
      </c>
      <c r="I999" s="3">
        <v>39.18</v>
      </c>
      <c r="J999" s="3">
        <f>Table1[[#This Row],[قيمة الفاتورة]]*0.94-Table1[[#This Row],[قيمة المشاركة]]</f>
        <v>36.8292</v>
      </c>
      <c r="K999">
        <v>36.829000000000001</v>
      </c>
      <c r="L999" s="3">
        <f t="shared" si="15"/>
        <v>1.9999999999953388E-4</v>
      </c>
      <c r="M999" t="s">
        <v>1945</v>
      </c>
      <c r="N999" t="s">
        <v>19</v>
      </c>
    </row>
    <row r="1000" spans="1:14" x14ac:dyDescent="0.3">
      <c r="A1000">
        <v>825</v>
      </c>
      <c r="B1000" t="s">
        <v>243</v>
      </c>
      <c r="C1000" t="s">
        <v>244</v>
      </c>
      <c r="D1000" t="s">
        <v>2268</v>
      </c>
      <c r="E1000" t="s">
        <v>17</v>
      </c>
      <c r="F1000" t="s">
        <v>2263</v>
      </c>
      <c r="G1000" s="3">
        <v>64.73</v>
      </c>
      <c r="H1000" s="3">
        <v>0</v>
      </c>
      <c r="I1000" s="3">
        <v>64.73</v>
      </c>
      <c r="J1000" s="3">
        <f>Table1[[#This Row],[قيمة الفاتورة]]*0.94-Table1[[#This Row],[قيمة المشاركة]]</f>
        <v>60.846200000000003</v>
      </c>
      <c r="K1000">
        <v>60.845999999999997</v>
      </c>
      <c r="L1000" s="3">
        <f t="shared" si="15"/>
        <v>2.0000000000663931E-4</v>
      </c>
      <c r="M1000" t="s">
        <v>1945</v>
      </c>
      <c r="N1000" t="s">
        <v>19</v>
      </c>
    </row>
    <row r="1001" spans="1:14" x14ac:dyDescent="0.3">
      <c r="A1001">
        <v>833</v>
      </c>
      <c r="B1001" t="s">
        <v>1562</v>
      </c>
      <c r="C1001" t="s">
        <v>1563</v>
      </c>
      <c r="D1001" t="s">
        <v>2269</v>
      </c>
      <c r="E1001" t="s">
        <v>17</v>
      </c>
      <c r="F1001" t="s">
        <v>2270</v>
      </c>
      <c r="G1001" s="3">
        <v>2.97</v>
      </c>
      <c r="H1001" s="3">
        <v>0</v>
      </c>
      <c r="I1001" s="3">
        <v>2.97</v>
      </c>
      <c r="J1001" s="3">
        <f>Table1[[#This Row],[قيمة الفاتورة]]*0.94-Table1[[#This Row],[قيمة المشاركة]]</f>
        <v>2.7917999999999998</v>
      </c>
      <c r="K1001">
        <v>2.7919999999999998</v>
      </c>
      <c r="L1001" s="3">
        <f t="shared" si="15"/>
        <v>-1.9999999999997797E-4</v>
      </c>
      <c r="M1001" t="s">
        <v>1945</v>
      </c>
      <c r="N1001" t="s">
        <v>19</v>
      </c>
    </row>
    <row r="1002" spans="1:14" x14ac:dyDescent="0.3">
      <c r="A1002">
        <v>832</v>
      </c>
      <c r="B1002" t="s">
        <v>65</v>
      </c>
      <c r="C1002" t="s">
        <v>2271</v>
      </c>
      <c r="D1002" t="s">
        <v>2272</v>
      </c>
      <c r="E1002" t="s">
        <v>17</v>
      </c>
      <c r="F1002" t="s">
        <v>2270</v>
      </c>
      <c r="G1002" s="3">
        <v>22.614999999999998</v>
      </c>
      <c r="H1002" s="3">
        <v>0</v>
      </c>
      <c r="I1002" s="3">
        <v>22.614999999999998</v>
      </c>
      <c r="J1002" s="3">
        <f>Table1[[#This Row],[قيمة الفاتورة]]*0.94-Table1[[#This Row],[قيمة المشاركة]]</f>
        <v>21.258099999999999</v>
      </c>
      <c r="K1002">
        <v>21.257999999999999</v>
      </c>
      <c r="L1002" s="3">
        <f t="shared" si="15"/>
        <v>9.9999999999766942E-5</v>
      </c>
      <c r="M1002" t="s">
        <v>1945</v>
      </c>
      <c r="N1002" t="s">
        <v>19</v>
      </c>
    </row>
    <row r="1003" spans="1:14" x14ac:dyDescent="0.3">
      <c r="A1003">
        <v>830</v>
      </c>
      <c r="B1003" t="s">
        <v>1750</v>
      </c>
      <c r="C1003" t="s">
        <v>354</v>
      </c>
      <c r="D1003" t="s">
        <v>2273</v>
      </c>
      <c r="E1003" t="s">
        <v>17</v>
      </c>
      <c r="F1003" t="s">
        <v>2270</v>
      </c>
      <c r="G1003" s="3">
        <v>8.5299999999999994</v>
      </c>
      <c r="H1003" s="3">
        <v>0</v>
      </c>
      <c r="I1003" s="3">
        <v>8.5299999999999994</v>
      </c>
      <c r="J1003" s="3">
        <f>Table1[[#This Row],[قيمة الفاتورة]]*0.94-Table1[[#This Row],[قيمة المشاركة]]</f>
        <v>8.0181999999999984</v>
      </c>
      <c r="K1003">
        <v>8.0180000000000007</v>
      </c>
      <c r="L1003" s="3">
        <f t="shared" si="15"/>
        <v>1.9999999999775753E-4</v>
      </c>
      <c r="M1003" t="s">
        <v>1945</v>
      </c>
      <c r="N1003" t="s">
        <v>19</v>
      </c>
    </row>
    <row r="1004" spans="1:14" x14ac:dyDescent="0.3">
      <c r="A1004">
        <v>836</v>
      </c>
      <c r="B1004" t="s">
        <v>1017</v>
      </c>
      <c r="C1004" t="s">
        <v>1324</v>
      </c>
      <c r="D1004" t="s">
        <v>2274</v>
      </c>
      <c r="E1004" t="s">
        <v>23</v>
      </c>
      <c r="F1004" t="s">
        <v>2270</v>
      </c>
      <c r="G1004" s="3">
        <v>22.38</v>
      </c>
      <c r="H1004" s="3">
        <v>0</v>
      </c>
      <c r="I1004" s="3">
        <v>22.38</v>
      </c>
      <c r="J1004" s="3">
        <f>Table1[[#This Row],[قيمة الفاتورة]]*0.94-Table1[[#This Row],[قيمة المشاركة]]</f>
        <v>21.037199999999999</v>
      </c>
      <c r="K1004">
        <v>21.036999999999999</v>
      </c>
      <c r="L1004" s="3">
        <f t="shared" si="15"/>
        <v>1.9999999999953388E-4</v>
      </c>
      <c r="M1004" t="s">
        <v>1945</v>
      </c>
      <c r="N1004" t="s">
        <v>19</v>
      </c>
    </row>
    <row r="1005" spans="1:14" x14ac:dyDescent="0.3">
      <c r="A1005">
        <v>831</v>
      </c>
      <c r="B1005" t="s">
        <v>741</v>
      </c>
      <c r="C1005" t="s">
        <v>1669</v>
      </c>
      <c r="D1005" t="s">
        <v>2275</v>
      </c>
      <c r="E1005" t="s">
        <v>17</v>
      </c>
      <c r="F1005" t="s">
        <v>2270</v>
      </c>
      <c r="G1005" s="3">
        <v>7.29</v>
      </c>
      <c r="H1005" s="3">
        <v>0</v>
      </c>
      <c r="I1005" s="3">
        <v>7.29</v>
      </c>
      <c r="J1005" s="3">
        <f>Table1[[#This Row],[قيمة الفاتورة]]*0.94-Table1[[#This Row],[قيمة المشاركة]]</f>
        <v>6.8525999999999998</v>
      </c>
      <c r="K1005">
        <v>6.8520000000000003</v>
      </c>
      <c r="L1005" s="3">
        <f t="shared" si="15"/>
        <v>5.9999999999948983E-4</v>
      </c>
      <c r="M1005" t="s">
        <v>1945</v>
      </c>
      <c r="N1005" t="s">
        <v>19</v>
      </c>
    </row>
    <row r="1006" spans="1:14" x14ac:dyDescent="0.3">
      <c r="A1006">
        <v>834</v>
      </c>
      <c r="B1006" t="s">
        <v>2276</v>
      </c>
      <c r="C1006" t="s">
        <v>2277</v>
      </c>
      <c r="D1006" t="s">
        <v>2278</v>
      </c>
      <c r="E1006" t="s">
        <v>23</v>
      </c>
      <c r="F1006" t="s">
        <v>2270</v>
      </c>
      <c r="G1006" s="3">
        <v>17.02</v>
      </c>
      <c r="H1006" s="3">
        <v>0</v>
      </c>
      <c r="I1006" s="3">
        <v>17.02</v>
      </c>
      <c r="J1006" s="3">
        <f>Table1[[#This Row],[قيمة الفاتورة]]*0.94-Table1[[#This Row],[قيمة المشاركة]]</f>
        <v>15.998799999999999</v>
      </c>
      <c r="K1006">
        <v>15.997999999999999</v>
      </c>
      <c r="L1006" s="3">
        <f t="shared" si="15"/>
        <v>7.9999999999991189E-4</v>
      </c>
      <c r="M1006" t="s">
        <v>1945</v>
      </c>
      <c r="N1006" t="s">
        <v>19</v>
      </c>
    </row>
    <row r="1007" spans="1:14" x14ac:dyDescent="0.3">
      <c r="A1007">
        <v>837</v>
      </c>
      <c r="B1007" t="s">
        <v>2279</v>
      </c>
      <c r="C1007" t="s">
        <v>2280</v>
      </c>
      <c r="D1007" t="s">
        <v>2281</v>
      </c>
      <c r="E1007" t="s">
        <v>23</v>
      </c>
      <c r="F1007" t="s">
        <v>2270</v>
      </c>
      <c r="G1007" s="3">
        <v>20.087</v>
      </c>
      <c r="H1007" s="3">
        <v>3.0129999999999999</v>
      </c>
      <c r="I1007" s="3">
        <v>17.074000000000002</v>
      </c>
      <c r="J1007" s="3">
        <f>Table1[[#This Row],[قيمة الفاتورة]]*0.94-Table1[[#This Row],[قيمة المشاركة]]</f>
        <v>15.868779999999999</v>
      </c>
      <c r="K1007">
        <v>15.867000000000001</v>
      </c>
      <c r="L1007" s="3">
        <f t="shared" si="15"/>
        <v>1.7799999999983385E-3</v>
      </c>
      <c r="M1007" t="s">
        <v>1945</v>
      </c>
      <c r="N1007" t="s">
        <v>19</v>
      </c>
    </row>
    <row r="1008" spans="1:14" x14ac:dyDescent="0.3">
      <c r="A1008">
        <v>828</v>
      </c>
      <c r="B1008" t="s">
        <v>230</v>
      </c>
      <c r="C1008" t="s">
        <v>231</v>
      </c>
      <c r="D1008" t="s">
        <v>2282</v>
      </c>
      <c r="E1008" t="s">
        <v>17</v>
      </c>
      <c r="F1008" t="s">
        <v>2270</v>
      </c>
      <c r="G1008" s="3">
        <v>32.99</v>
      </c>
      <c r="H1008" s="3">
        <v>0</v>
      </c>
      <c r="I1008" s="3">
        <v>32.99</v>
      </c>
      <c r="J1008" s="3">
        <f>Table1[[#This Row],[قيمة الفاتورة]]*0.94-Table1[[#This Row],[قيمة المشاركة]]</f>
        <v>31.0106</v>
      </c>
      <c r="K1008">
        <v>30.635000000000002</v>
      </c>
      <c r="L1008" s="3">
        <f t="shared" si="15"/>
        <v>0.3755999999999986</v>
      </c>
      <c r="M1008" t="s">
        <v>1945</v>
      </c>
      <c r="N1008" t="s">
        <v>19</v>
      </c>
    </row>
    <row r="1009" spans="1:14" x14ac:dyDescent="0.3">
      <c r="A1009">
        <v>829</v>
      </c>
      <c r="B1009" t="s">
        <v>2283</v>
      </c>
      <c r="C1009" t="s">
        <v>2284</v>
      </c>
      <c r="D1009" t="s">
        <v>2285</v>
      </c>
      <c r="E1009" t="s">
        <v>17</v>
      </c>
      <c r="F1009" t="s">
        <v>2270</v>
      </c>
      <c r="G1009" s="3">
        <v>23.75</v>
      </c>
      <c r="H1009" s="3">
        <v>0</v>
      </c>
      <c r="I1009" s="3">
        <v>23.75</v>
      </c>
      <c r="J1009" s="3">
        <f>Table1[[#This Row],[قيمة الفاتورة]]*0.94-Table1[[#This Row],[قيمة المشاركة]]</f>
        <v>22.324999999999999</v>
      </c>
      <c r="K1009">
        <v>21.949000000000002</v>
      </c>
      <c r="L1009" s="3">
        <f t="shared" si="15"/>
        <v>0.37599999999999767</v>
      </c>
      <c r="M1009" t="s">
        <v>1945</v>
      </c>
      <c r="N1009" t="s">
        <v>19</v>
      </c>
    </row>
    <row r="1010" spans="1:14" x14ac:dyDescent="0.3">
      <c r="A1010">
        <v>835</v>
      </c>
      <c r="B1010" t="s">
        <v>539</v>
      </c>
      <c r="C1010" t="s">
        <v>2286</v>
      </c>
      <c r="D1010" t="s">
        <v>539</v>
      </c>
      <c r="E1010" t="s">
        <v>23</v>
      </c>
      <c r="F1010" t="s">
        <v>2270</v>
      </c>
      <c r="G1010" s="3">
        <v>13.927</v>
      </c>
      <c r="H1010" s="3">
        <v>0</v>
      </c>
      <c r="I1010" s="3">
        <v>13.927</v>
      </c>
      <c r="J1010" s="3">
        <f>Table1[[#This Row],[قيمة الفاتورة]]*0.94-Table1[[#This Row],[قيمة المشاركة]]</f>
        <v>13.091379999999999</v>
      </c>
      <c r="L1010" s="3" t="str">
        <f t="shared" si="15"/>
        <v/>
      </c>
    </row>
    <row r="1011" spans="1:14" x14ac:dyDescent="0.3">
      <c r="A1011">
        <v>838</v>
      </c>
      <c r="B1011" t="s">
        <v>2287</v>
      </c>
      <c r="C1011" t="s">
        <v>2288</v>
      </c>
      <c r="D1011" t="s">
        <v>2289</v>
      </c>
      <c r="E1011" t="s">
        <v>17</v>
      </c>
      <c r="F1011" t="s">
        <v>2290</v>
      </c>
      <c r="G1011" s="3">
        <v>18.829999999999998</v>
      </c>
      <c r="H1011" s="3">
        <v>0</v>
      </c>
      <c r="I1011" s="3">
        <v>18.829999999999998</v>
      </c>
      <c r="J1011" s="3">
        <f>Table1[[#This Row],[قيمة الفاتورة]]*0.94-Table1[[#This Row],[قيمة المشاركة]]</f>
        <v>17.700199999999999</v>
      </c>
      <c r="K1011">
        <v>17.701000000000001</v>
      </c>
      <c r="L1011" s="3">
        <f t="shared" si="15"/>
        <v>-8.0000000000168825E-4</v>
      </c>
      <c r="M1011" t="s">
        <v>1945</v>
      </c>
      <c r="N1011" t="s">
        <v>19</v>
      </c>
    </row>
    <row r="1012" spans="1:14" x14ac:dyDescent="0.3">
      <c r="A1012">
        <v>839</v>
      </c>
      <c r="B1012" t="s">
        <v>2291</v>
      </c>
      <c r="C1012" t="s">
        <v>2292</v>
      </c>
      <c r="D1012" t="s">
        <v>2293</v>
      </c>
      <c r="E1012" t="s">
        <v>17</v>
      </c>
      <c r="F1012" t="s">
        <v>2290</v>
      </c>
      <c r="G1012" s="3">
        <v>19.41</v>
      </c>
      <c r="H1012" s="3">
        <v>0</v>
      </c>
      <c r="I1012" s="3">
        <v>19.41</v>
      </c>
      <c r="J1012" s="3">
        <f>Table1[[#This Row],[قيمة الفاتورة]]*0.94-Table1[[#This Row],[قيمة المشاركة]]</f>
        <v>18.2454</v>
      </c>
      <c r="K1012">
        <v>18.245999999999999</v>
      </c>
      <c r="L1012" s="3">
        <f t="shared" si="15"/>
        <v>-5.9999999999860165E-4</v>
      </c>
      <c r="M1012" t="s">
        <v>1945</v>
      </c>
      <c r="N1012" t="s">
        <v>19</v>
      </c>
    </row>
    <row r="1013" spans="1:14" x14ac:dyDescent="0.3">
      <c r="A1013">
        <v>840</v>
      </c>
      <c r="B1013" t="s">
        <v>2294</v>
      </c>
      <c r="C1013" t="s">
        <v>1111</v>
      </c>
      <c r="D1013" t="s">
        <v>2295</v>
      </c>
      <c r="E1013" t="s">
        <v>23</v>
      </c>
      <c r="F1013" t="s">
        <v>2290</v>
      </c>
      <c r="G1013" s="3">
        <v>24.54</v>
      </c>
      <c r="H1013" s="3">
        <v>0</v>
      </c>
      <c r="I1013" s="3">
        <v>24.54</v>
      </c>
      <c r="J1013" s="3">
        <f>Table1[[#This Row],[قيمة الفاتورة]]*0.94-Table1[[#This Row],[قيمة المشاركة]]</f>
        <v>23.067599999999999</v>
      </c>
      <c r="L1013" s="3" t="str">
        <f t="shared" si="15"/>
        <v/>
      </c>
      <c r="N1013" t="s">
        <v>19</v>
      </c>
    </row>
    <row r="1014" spans="1:14" x14ac:dyDescent="0.3">
      <c r="A1014">
        <v>844</v>
      </c>
      <c r="B1014" t="s">
        <v>2296</v>
      </c>
      <c r="C1014" t="s">
        <v>2297</v>
      </c>
      <c r="D1014" t="s">
        <v>2298</v>
      </c>
      <c r="E1014" t="s">
        <v>23</v>
      </c>
      <c r="F1014" t="s">
        <v>2299</v>
      </c>
      <c r="G1014" s="3">
        <v>12.41</v>
      </c>
      <c r="H1014" s="3">
        <v>0</v>
      </c>
      <c r="I1014" s="3">
        <v>12.41</v>
      </c>
      <c r="J1014" s="3">
        <f>Table1[[#This Row],[قيمة الفاتورة]]*0.94-Table1[[#This Row],[قيمة المشاركة]]</f>
        <v>11.6654</v>
      </c>
      <c r="K1014">
        <v>11.853</v>
      </c>
      <c r="L1014" s="3">
        <f t="shared" si="15"/>
        <v>-0.18759999999999977</v>
      </c>
      <c r="M1014" t="s">
        <v>1945</v>
      </c>
      <c r="N1014" t="s">
        <v>19</v>
      </c>
    </row>
    <row r="1015" spans="1:14" x14ac:dyDescent="0.3">
      <c r="A1015">
        <v>842</v>
      </c>
      <c r="B1015" t="s">
        <v>1365</v>
      </c>
      <c r="C1015" t="s">
        <v>1366</v>
      </c>
      <c r="D1015" t="s">
        <v>2300</v>
      </c>
      <c r="E1015" t="s">
        <v>17</v>
      </c>
      <c r="F1015" t="s">
        <v>2299</v>
      </c>
      <c r="G1015" s="3">
        <v>36.14</v>
      </c>
      <c r="H1015" s="3">
        <v>0</v>
      </c>
      <c r="I1015" s="3">
        <v>36.14</v>
      </c>
      <c r="J1015" s="3">
        <f>Table1[[#This Row],[قيمة الفاتورة]]*0.94-Table1[[#This Row],[قيمة المشاركة]]</f>
        <v>33.971599999999995</v>
      </c>
      <c r="K1015">
        <v>33.972000000000001</v>
      </c>
      <c r="L1015" s="3">
        <f t="shared" si="15"/>
        <v>-4.000000000061732E-4</v>
      </c>
      <c r="M1015" t="s">
        <v>1945</v>
      </c>
      <c r="N1015" t="s">
        <v>19</v>
      </c>
    </row>
    <row r="1016" spans="1:14" x14ac:dyDescent="0.3">
      <c r="A1016">
        <v>843</v>
      </c>
      <c r="B1016" t="s">
        <v>1483</v>
      </c>
      <c r="C1016" t="s">
        <v>2301</v>
      </c>
      <c r="D1016" t="s">
        <v>2302</v>
      </c>
      <c r="E1016" t="s">
        <v>23</v>
      </c>
      <c r="F1016" t="s">
        <v>2299</v>
      </c>
      <c r="G1016" s="3">
        <v>31.52</v>
      </c>
      <c r="H1016" s="3">
        <v>0</v>
      </c>
      <c r="I1016" s="3">
        <v>31.52</v>
      </c>
      <c r="J1016" s="3">
        <f>Table1[[#This Row],[قيمة الفاتورة]]*0.94-Table1[[#This Row],[قيمة المشاركة]]</f>
        <v>29.628799999999998</v>
      </c>
      <c r="K1016">
        <v>29.629000000000001</v>
      </c>
      <c r="L1016" s="3">
        <f t="shared" si="15"/>
        <v>-2.000000000030866E-4</v>
      </c>
      <c r="M1016" t="s">
        <v>1945</v>
      </c>
      <c r="N1016" t="s">
        <v>19</v>
      </c>
    </row>
    <row r="1017" spans="1:14" x14ac:dyDescent="0.3">
      <c r="A1017">
        <v>841</v>
      </c>
      <c r="B1017" t="s">
        <v>477</v>
      </c>
      <c r="C1017" t="s">
        <v>478</v>
      </c>
      <c r="D1017" t="s">
        <v>2303</v>
      </c>
      <c r="E1017" t="s">
        <v>17</v>
      </c>
      <c r="F1017" t="s">
        <v>2299</v>
      </c>
      <c r="G1017" s="3">
        <v>15.17</v>
      </c>
      <c r="H1017" s="3">
        <v>0</v>
      </c>
      <c r="I1017" s="3">
        <v>15.17</v>
      </c>
      <c r="J1017" s="3">
        <f>Table1[[#This Row],[قيمة الفاتورة]]*0.94-Table1[[#This Row],[قيمة المشاركة]]</f>
        <v>14.259799999999998</v>
      </c>
      <c r="K1017">
        <v>14.26</v>
      </c>
      <c r="L1017" s="3">
        <f t="shared" si="15"/>
        <v>-2.0000000000131024E-4</v>
      </c>
      <c r="M1017" t="s">
        <v>1945</v>
      </c>
      <c r="N1017" t="s">
        <v>19</v>
      </c>
    </row>
    <row r="1018" spans="1:14" x14ac:dyDescent="0.3">
      <c r="A1018">
        <v>845</v>
      </c>
      <c r="B1018" t="s">
        <v>98</v>
      </c>
      <c r="C1018" t="s">
        <v>99</v>
      </c>
      <c r="D1018" t="s">
        <v>2304</v>
      </c>
      <c r="E1018" t="s">
        <v>17</v>
      </c>
      <c r="F1018" t="s">
        <v>2299</v>
      </c>
      <c r="G1018" s="3">
        <v>8.9499999999999993</v>
      </c>
      <c r="H1018" s="3">
        <v>0</v>
      </c>
      <c r="I1018" s="3">
        <v>8.9499999999999993</v>
      </c>
      <c r="J1018" s="3">
        <f>Table1[[#This Row],[قيمة الفاتورة]]*0.94-Table1[[#This Row],[قيمة المشاركة]]</f>
        <v>8.4129999999999985</v>
      </c>
      <c r="K1018">
        <v>8.4130000000000003</v>
      </c>
      <c r="L1018" s="3">
        <f t="shared" si="15"/>
        <v>-1.7763568394002505E-15</v>
      </c>
      <c r="M1018" t="s">
        <v>1945</v>
      </c>
      <c r="N1018" t="s">
        <v>19</v>
      </c>
    </row>
    <row r="1019" spans="1:14" x14ac:dyDescent="0.3">
      <c r="A1019">
        <v>867</v>
      </c>
      <c r="B1019" t="s">
        <v>763</v>
      </c>
      <c r="C1019" t="s">
        <v>177</v>
      </c>
      <c r="D1019" t="s">
        <v>2305</v>
      </c>
      <c r="E1019" t="s">
        <v>23</v>
      </c>
      <c r="F1019" t="s">
        <v>2306</v>
      </c>
      <c r="G1019" s="3">
        <v>6.28</v>
      </c>
      <c r="H1019" s="3">
        <v>0</v>
      </c>
      <c r="I1019" s="3">
        <v>6.28</v>
      </c>
      <c r="J1019" s="3">
        <f>Table1[[#This Row],[قيمة الفاتورة]]*0.94-Table1[[#This Row],[قيمة المشاركة]]</f>
        <v>5.9032</v>
      </c>
      <c r="K1019">
        <v>6.8239999999999998</v>
      </c>
      <c r="L1019" s="3">
        <f t="shared" si="15"/>
        <v>-0.92079999999999984</v>
      </c>
      <c r="M1019" t="s">
        <v>1945</v>
      </c>
      <c r="N1019" t="s">
        <v>19</v>
      </c>
    </row>
    <row r="1020" spans="1:14" x14ac:dyDescent="0.3">
      <c r="A1020">
        <v>859</v>
      </c>
      <c r="B1020" t="s">
        <v>2307</v>
      </c>
      <c r="C1020" t="s">
        <v>2308</v>
      </c>
      <c r="D1020" t="s">
        <v>2309</v>
      </c>
      <c r="E1020" t="s">
        <v>17</v>
      </c>
      <c r="F1020" t="s">
        <v>2306</v>
      </c>
      <c r="G1020" s="3">
        <v>27.01</v>
      </c>
      <c r="H1020" s="3">
        <v>0</v>
      </c>
      <c r="I1020" s="3">
        <v>27.01</v>
      </c>
      <c r="J1020" s="3">
        <f>Table1[[#This Row],[قيمة الفاتورة]]*0.94-Table1[[#This Row],[قيمة المشاركة]]</f>
        <v>25.389399999999998</v>
      </c>
      <c r="K1020">
        <v>25.39</v>
      </c>
      <c r="L1020" s="3">
        <f t="shared" si="15"/>
        <v>-6.0000000000215437E-4</v>
      </c>
      <c r="M1020" t="s">
        <v>1945</v>
      </c>
      <c r="N1020" t="s">
        <v>19</v>
      </c>
    </row>
    <row r="1021" spans="1:14" x14ac:dyDescent="0.3">
      <c r="A1021">
        <v>849</v>
      </c>
      <c r="B1021" t="s">
        <v>2310</v>
      </c>
      <c r="C1021" t="s">
        <v>2311</v>
      </c>
      <c r="D1021" t="s">
        <v>2312</v>
      </c>
      <c r="E1021" t="s">
        <v>17</v>
      </c>
      <c r="F1021" t="s">
        <v>2306</v>
      </c>
      <c r="G1021" s="3">
        <v>13.76</v>
      </c>
      <c r="H1021" s="3">
        <v>0</v>
      </c>
      <c r="I1021" s="3">
        <v>13.76</v>
      </c>
      <c r="J1021" s="3">
        <f>Table1[[#This Row],[قيمة الفاتورة]]*0.94-Table1[[#This Row],[قيمة المشاركة]]</f>
        <v>12.934399999999998</v>
      </c>
      <c r="K1021">
        <v>12.935</v>
      </c>
      <c r="L1021" s="3">
        <f t="shared" si="15"/>
        <v>-6.0000000000215437E-4</v>
      </c>
      <c r="M1021" t="s">
        <v>1945</v>
      </c>
      <c r="N1021" t="s">
        <v>19</v>
      </c>
    </row>
    <row r="1022" spans="1:14" x14ac:dyDescent="0.3">
      <c r="A1022">
        <v>858</v>
      </c>
      <c r="B1022" t="s">
        <v>2313</v>
      </c>
      <c r="C1022" t="s">
        <v>2314</v>
      </c>
      <c r="D1022" t="s">
        <v>2315</v>
      </c>
      <c r="E1022" t="s">
        <v>17</v>
      </c>
      <c r="F1022" t="s">
        <v>2306</v>
      </c>
      <c r="G1022" s="3">
        <v>15.71</v>
      </c>
      <c r="H1022" s="3">
        <v>0</v>
      </c>
      <c r="I1022" s="3">
        <v>15.71</v>
      </c>
      <c r="J1022" s="3">
        <f>Table1[[#This Row],[قيمة الفاتورة]]*0.94-Table1[[#This Row],[قيمة المشاركة]]</f>
        <v>14.7674</v>
      </c>
      <c r="K1022">
        <v>14.768000000000001</v>
      </c>
      <c r="L1022" s="3">
        <f t="shared" si="15"/>
        <v>-6.0000000000037801E-4</v>
      </c>
      <c r="M1022" t="s">
        <v>1945</v>
      </c>
      <c r="N1022" t="s">
        <v>19</v>
      </c>
    </row>
    <row r="1023" spans="1:14" x14ac:dyDescent="0.3">
      <c r="A1023">
        <v>846</v>
      </c>
      <c r="B1023" t="s">
        <v>2316</v>
      </c>
      <c r="C1023" t="s">
        <v>2317</v>
      </c>
      <c r="D1023" t="s">
        <v>2318</v>
      </c>
      <c r="E1023" t="s">
        <v>17</v>
      </c>
      <c r="F1023" t="s">
        <v>2306</v>
      </c>
      <c r="G1023" s="3">
        <v>18.225000000000001</v>
      </c>
      <c r="H1023" s="3">
        <v>0</v>
      </c>
      <c r="I1023" s="3">
        <v>18.225000000000001</v>
      </c>
      <c r="J1023" s="3">
        <f>Table1[[#This Row],[قيمة الفاتورة]]*0.94-Table1[[#This Row],[قيمة المشاركة]]</f>
        <v>17.131499999999999</v>
      </c>
      <c r="K1023">
        <v>17.132000000000001</v>
      </c>
      <c r="L1023" s="3">
        <f t="shared" si="15"/>
        <v>-5.0000000000238742E-4</v>
      </c>
      <c r="M1023" t="s">
        <v>1945</v>
      </c>
      <c r="N1023" t="s">
        <v>19</v>
      </c>
    </row>
    <row r="1024" spans="1:14" x14ac:dyDescent="0.3">
      <c r="A1024">
        <v>850</v>
      </c>
      <c r="B1024" t="s">
        <v>1483</v>
      </c>
      <c r="C1024" t="s">
        <v>2319</v>
      </c>
      <c r="D1024" t="s">
        <v>2320</v>
      </c>
      <c r="E1024" t="s">
        <v>17</v>
      </c>
      <c r="F1024" t="s">
        <v>2306</v>
      </c>
      <c r="G1024" s="3">
        <v>11.14</v>
      </c>
      <c r="H1024" s="3">
        <v>0</v>
      </c>
      <c r="I1024" s="3">
        <v>11.14</v>
      </c>
      <c r="J1024" s="3">
        <f>Table1[[#This Row],[قيمة الفاتورة]]*0.94-Table1[[#This Row],[قيمة المشاركة]]</f>
        <v>10.4716</v>
      </c>
      <c r="K1024">
        <v>10.472</v>
      </c>
      <c r="L1024" s="3">
        <f t="shared" si="15"/>
        <v>-3.9999999999906777E-4</v>
      </c>
      <c r="M1024" t="s">
        <v>1945</v>
      </c>
      <c r="N1024" t="s">
        <v>19</v>
      </c>
    </row>
    <row r="1025" spans="1:14" x14ac:dyDescent="0.3">
      <c r="A1025">
        <v>865</v>
      </c>
      <c r="B1025" t="s">
        <v>369</v>
      </c>
      <c r="C1025" t="s">
        <v>2321</v>
      </c>
      <c r="D1025" t="s">
        <v>2322</v>
      </c>
      <c r="E1025" t="s">
        <v>23</v>
      </c>
      <c r="F1025" t="s">
        <v>2306</v>
      </c>
      <c r="G1025" s="3">
        <v>33.57</v>
      </c>
      <c r="H1025" s="3">
        <v>0</v>
      </c>
      <c r="I1025" s="3">
        <v>33.57</v>
      </c>
      <c r="J1025" s="3">
        <f>Table1[[#This Row],[قيمة الفاتورة]]*0.94-Table1[[#This Row],[قيمة المشاركة]]</f>
        <v>31.555799999999998</v>
      </c>
      <c r="K1025">
        <v>31.556000000000001</v>
      </c>
      <c r="L1025" s="3">
        <f t="shared" si="15"/>
        <v>-2.000000000030866E-4</v>
      </c>
      <c r="M1025" t="s">
        <v>1945</v>
      </c>
      <c r="N1025" t="s">
        <v>19</v>
      </c>
    </row>
    <row r="1026" spans="1:14" x14ac:dyDescent="0.3">
      <c r="A1026">
        <v>856</v>
      </c>
      <c r="B1026" t="s">
        <v>397</v>
      </c>
      <c r="C1026" t="s">
        <v>398</v>
      </c>
      <c r="D1026" t="s">
        <v>2323</v>
      </c>
      <c r="E1026" t="s">
        <v>17</v>
      </c>
      <c r="F1026" t="s">
        <v>2306</v>
      </c>
      <c r="G1026" s="3">
        <v>31.52</v>
      </c>
      <c r="H1026" s="3">
        <v>4.7279999999999998</v>
      </c>
      <c r="I1026" s="3">
        <v>26.792000000000002</v>
      </c>
      <c r="J1026" s="3">
        <f>Table1[[#This Row],[قيمة الفاتورة]]*0.94-Table1[[#This Row],[قيمة المشاركة]]</f>
        <v>24.900799999999997</v>
      </c>
      <c r="K1026">
        <v>24.901</v>
      </c>
      <c r="L1026" s="3">
        <f t="shared" ref="L1026:L1089" si="16">IF(ISNUMBER(K1026), J1026-K1026, "")</f>
        <v>-2.000000000030866E-4</v>
      </c>
      <c r="M1026" t="s">
        <v>1945</v>
      </c>
      <c r="N1026" t="s">
        <v>19</v>
      </c>
    </row>
    <row r="1027" spans="1:14" x14ac:dyDescent="0.3">
      <c r="A1027">
        <v>863</v>
      </c>
      <c r="B1027" t="s">
        <v>2324</v>
      </c>
      <c r="C1027" t="s">
        <v>2325</v>
      </c>
      <c r="D1027" t="s">
        <v>2326</v>
      </c>
      <c r="E1027" t="s">
        <v>23</v>
      </c>
      <c r="F1027" t="s">
        <v>2306</v>
      </c>
      <c r="G1027" s="3">
        <v>23.57</v>
      </c>
      <c r="H1027" s="3">
        <v>0</v>
      </c>
      <c r="I1027" s="3">
        <v>23.57</v>
      </c>
      <c r="J1027" s="3">
        <f>Table1[[#This Row],[قيمة الفاتورة]]*0.94-Table1[[#This Row],[قيمة المشاركة]]</f>
        <v>22.155799999999999</v>
      </c>
      <c r="K1027">
        <v>22.155999999999999</v>
      </c>
      <c r="L1027" s="3">
        <f t="shared" si="16"/>
        <v>-1.9999999999953388E-4</v>
      </c>
      <c r="M1027" t="s">
        <v>1945</v>
      </c>
      <c r="N1027" t="s">
        <v>19</v>
      </c>
    </row>
    <row r="1028" spans="1:14" x14ac:dyDescent="0.3">
      <c r="A1028">
        <v>866</v>
      </c>
      <c r="B1028" t="s">
        <v>290</v>
      </c>
      <c r="C1028" t="s">
        <v>2327</v>
      </c>
      <c r="D1028" t="s">
        <v>2328</v>
      </c>
      <c r="E1028" t="s">
        <v>23</v>
      </c>
      <c r="F1028" t="s">
        <v>2306</v>
      </c>
      <c r="G1028" s="3">
        <v>12.65</v>
      </c>
      <c r="H1028" s="3">
        <v>0</v>
      </c>
      <c r="I1028" s="3">
        <v>12.65</v>
      </c>
      <c r="J1028" s="3">
        <f>Table1[[#This Row],[قيمة الفاتورة]]*0.94-Table1[[#This Row],[قيمة المشاركة]]</f>
        <v>11.891</v>
      </c>
      <c r="K1028">
        <v>11.891</v>
      </c>
      <c r="L1028" s="3">
        <f t="shared" si="16"/>
        <v>0</v>
      </c>
      <c r="M1028" t="s">
        <v>1945</v>
      </c>
      <c r="N1028" t="s">
        <v>19</v>
      </c>
    </row>
    <row r="1029" spans="1:14" x14ac:dyDescent="0.3">
      <c r="A1029">
        <v>853</v>
      </c>
      <c r="B1029" t="s">
        <v>672</v>
      </c>
      <c r="C1029" t="s">
        <v>673</v>
      </c>
      <c r="D1029" t="s">
        <v>2329</v>
      </c>
      <c r="E1029" t="s">
        <v>17</v>
      </c>
      <c r="F1029" t="s">
        <v>2306</v>
      </c>
      <c r="G1029" s="3">
        <v>13.38</v>
      </c>
      <c r="H1029" s="3">
        <v>0</v>
      </c>
      <c r="I1029" s="3">
        <v>13.38</v>
      </c>
      <c r="J1029" s="3">
        <f>Table1[[#This Row],[قيمة الفاتورة]]*0.94-Table1[[#This Row],[قيمة المشاركة]]</f>
        <v>12.577199999999999</v>
      </c>
      <c r="K1029">
        <v>12.577</v>
      </c>
      <c r="L1029" s="3">
        <f t="shared" si="16"/>
        <v>1.9999999999953388E-4</v>
      </c>
      <c r="M1029" t="s">
        <v>1945</v>
      </c>
      <c r="N1029" t="s">
        <v>19</v>
      </c>
    </row>
    <row r="1030" spans="1:14" x14ac:dyDescent="0.3">
      <c r="A1030">
        <v>848</v>
      </c>
      <c r="B1030" t="s">
        <v>707</v>
      </c>
      <c r="C1030" t="s">
        <v>708</v>
      </c>
      <c r="D1030" t="s">
        <v>2330</v>
      </c>
      <c r="E1030" t="s">
        <v>17</v>
      </c>
      <c r="F1030" t="s">
        <v>2306</v>
      </c>
      <c r="G1030" s="3">
        <v>9.23</v>
      </c>
      <c r="H1030" s="3">
        <v>0</v>
      </c>
      <c r="I1030" s="3">
        <v>9.23</v>
      </c>
      <c r="J1030" s="3">
        <f>Table1[[#This Row],[قيمة الفاتورة]]*0.94-Table1[[#This Row],[قيمة المشاركة]]</f>
        <v>8.6761999999999997</v>
      </c>
      <c r="K1030">
        <v>8.6760000000000002</v>
      </c>
      <c r="L1030" s="3">
        <f t="shared" si="16"/>
        <v>1.9999999999953388E-4</v>
      </c>
      <c r="M1030" t="s">
        <v>1945</v>
      </c>
      <c r="N1030" t="s">
        <v>19</v>
      </c>
    </row>
    <row r="1031" spans="1:14" x14ac:dyDescent="0.3">
      <c r="A1031">
        <v>861</v>
      </c>
      <c r="B1031" t="s">
        <v>1245</v>
      </c>
      <c r="C1031" t="s">
        <v>718</v>
      </c>
      <c r="D1031" t="s">
        <v>2331</v>
      </c>
      <c r="E1031" t="s">
        <v>17</v>
      </c>
      <c r="F1031" t="s">
        <v>2306</v>
      </c>
      <c r="G1031" s="3">
        <v>27.66</v>
      </c>
      <c r="H1031" s="3">
        <v>0</v>
      </c>
      <c r="I1031" s="3">
        <v>27.66</v>
      </c>
      <c r="J1031" s="3">
        <f>Table1[[#This Row],[قيمة الفاتورة]]*0.94-Table1[[#This Row],[قيمة المشاركة]]</f>
        <v>26.000399999999999</v>
      </c>
      <c r="K1031">
        <v>26</v>
      </c>
      <c r="L1031" s="3">
        <f t="shared" si="16"/>
        <v>3.9999999999906777E-4</v>
      </c>
      <c r="M1031" t="s">
        <v>1945</v>
      </c>
      <c r="N1031" t="s">
        <v>19</v>
      </c>
    </row>
    <row r="1032" spans="1:14" x14ac:dyDescent="0.3">
      <c r="A1032">
        <v>864</v>
      </c>
      <c r="B1032" t="s">
        <v>2125</v>
      </c>
      <c r="C1032" t="s">
        <v>2332</v>
      </c>
      <c r="D1032" t="s">
        <v>2333</v>
      </c>
      <c r="E1032" t="s">
        <v>17</v>
      </c>
      <c r="F1032" t="s">
        <v>2306</v>
      </c>
      <c r="G1032" s="3">
        <v>43.29</v>
      </c>
      <c r="H1032" s="3">
        <v>0</v>
      </c>
      <c r="I1032" s="3">
        <v>43.29</v>
      </c>
      <c r="J1032" s="3">
        <f>Table1[[#This Row],[قيمة الفاتورة]]*0.94-Table1[[#This Row],[قيمة المشاركة]]</f>
        <v>40.692599999999999</v>
      </c>
      <c r="K1032">
        <v>40.692</v>
      </c>
      <c r="L1032" s="3">
        <f t="shared" si="16"/>
        <v>5.9999999999860165E-4</v>
      </c>
      <c r="M1032" t="s">
        <v>1945</v>
      </c>
      <c r="N1032" t="s">
        <v>19</v>
      </c>
    </row>
    <row r="1033" spans="1:14" x14ac:dyDescent="0.3">
      <c r="A1033">
        <v>855</v>
      </c>
      <c r="B1033" t="s">
        <v>1160</v>
      </c>
      <c r="C1033" t="s">
        <v>2334</v>
      </c>
      <c r="D1033" t="s">
        <v>2335</v>
      </c>
      <c r="E1033" t="s">
        <v>17</v>
      </c>
      <c r="F1033" t="s">
        <v>2306</v>
      </c>
      <c r="G1033" s="3">
        <v>17.77</v>
      </c>
      <c r="H1033" s="3">
        <v>2.665</v>
      </c>
      <c r="I1033" s="3">
        <v>15.105</v>
      </c>
      <c r="J1033" s="3">
        <f>Table1[[#This Row],[قيمة الفاتورة]]*0.94-Table1[[#This Row],[قيمة المشاركة]]</f>
        <v>14.038799999999998</v>
      </c>
      <c r="K1033">
        <v>14.038</v>
      </c>
      <c r="L1033" s="3">
        <f t="shared" si="16"/>
        <v>7.9999999999813554E-4</v>
      </c>
      <c r="M1033" t="s">
        <v>1945</v>
      </c>
      <c r="N1033" t="s">
        <v>19</v>
      </c>
    </row>
    <row r="1034" spans="1:14" x14ac:dyDescent="0.3">
      <c r="A1034">
        <v>847</v>
      </c>
      <c r="B1034" t="s">
        <v>2207</v>
      </c>
      <c r="C1034" t="s">
        <v>1733</v>
      </c>
      <c r="D1034" t="s">
        <v>2336</v>
      </c>
      <c r="E1034" t="s">
        <v>23</v>
      </c>
      <c r="F1034" t="s">
        <v>2306</v>
      </c>
      <c r="G1034" s="3">
        <v>21.47</v>
      </c>
      <c r="H1034" s="3">
        <v>0</v>
      </c>
      <c r="I1034" s="3">
        <v>21.47</v>
      </c>
      <c r="J1034" s="3">
        <f>Table1[[#This Row],[قيمة الفاتورة]]*0.94-Table1[[#This Row],[قيمة المشاركة]]</f>
        <v>20.181799999999999</v>
      </c>
      <c r="K1034">
        <v>19.635999999999999</v>
      </c>
      <c r="L1034" s="3">
        <f t="shared" si="16"/>
        <v>0.54579999999999984</v>
      </c>
      <c r="M1034" t="s">
        <v>1945</v>
      </c>
      <c r="N1034" t="s">
        <v>19</v>
      </c>
    </row>
    <row r="1035" spans="1:14" x14ac:dyDescent="0.3">
      <c r="A1035">
        <v>851</v>
      </c>
      <c r="B1035" t="s">
        <v>1407</v>
      </c>
      <c r="C1035" t="s">
        <v>2337</v>
      </c>
      <c r="D1035" t="s">
        <v>2338</v>
      </c>
      <c r="E1035" t="s">
        <v>17</v>
      </c>
      <c r="F1035" t="s">
        <v>2306</v>
      </c>
      <c r="G1035" s="3">
        <v>27.45</v>
      </c>
      <c r="H1035" s="3">
        <v>0</v>
      </c>
      <c r="I1035" s="3">
        <v>27.45</v>
      </c>
      <c r="J1035" s="3">
        <f>Table1[[#This Row],[قيمة الفاتورة]]*0.94-Table1[[#This Row],[قيمة المشاركة]]</f>
        <v>25.802999999999997</v>
      </c>
      <c r="K1035">
        <v>25.192</v>
      </c>
      <c r="L1035" s="3">
        <f t="shared" si="16"/>
        <v>0.6109999999999971</v>
      </c>
      <c r="M1035" t="s">
        <v>1945</v>
      </c>
      <c r="N1035" t="s">
        <v>19</v>
      </c>
    </row>
    <row r="1036" spans="1:14" x14ac:dyDescent="0.3">
      <c r="A1036">
        <v>860</v>
      </c>
      <c r="B1036" t="s">
        <v>2307</v>
      </c>
      <c r="C1036" t="s">
        <v>2308</v>
      </c>
      <c r="D1036" t="s">
        <v>2339</v>
      </c>
      <c r="E1036" t="s">
        <v>17</v>
      </c>
      <c r="F1036" t="s">
        <v>2306</v>
      </c>
      <c r="G1036" s="3">
        <v>4.88</v>
      </c>
      <c r="H1036" s="3">
        <v>0</v>
      </c>
      <c r="I1036" s="3">
        <v>4.88</v>
      </c>
      <c r="J1036" s="3">
        <f>Table1[[#This Row],[قيمة الفاتورة]]*0.94-Table1[[#This Row],[قيمة المشاركة]]</f>
        <v>4.5871999999999993</v>
      </c>
      <c r="K1036">
        <v>3.976</v>
      </c>
      <c r="L1036" s="3">
        <f t="shared" si="16"/>
        <v>0.6111999999999993</v>
      </c>
      <c r="M1036" t="s">
        <v>1945</v>
      </c>
      <c r="N1036" t="s">
        <v>19</v>
      </c>
    </row>
    <row r="1037" spans="1:14" x14ac:dyDescent="0.3">
      <c r="A1037">
        <v>852</v>
      </c>
      <c r="B1037" t="s">
        <v>2340</v>
      </c>
      <c r="C1037" t="s">
        <v>2341</v>
      </c>
      <c r="D1037" t="s">
        <v>2342</v>
      </c>
      <c r="E1037" t="s">
        <v>17</v>
      </c>
      <c r="F1037" t="s">
        <v>2306</v>
      </c>
      <c r="G1037" s="3">
        <v>37.75</v>
      </c>
      <c r="H1037" s="3">
        <v>0</v>
      </c>
      <c r="I1037" s="3">
        <v>37.75</v>
      </c>
      <c r="J1037" s="3">
        <f>Table1[[#This Row],[قيمة الفاتورة]]*0.94-Table1[[#This Row],[قيمة المشاركة]]</f>
        <v>35.484999999999999</v>
      </c>
      <c r="K1037">
        <v>34.872999999999998</v>
      </c>
      <c r="L1037" s="3">
        <f t="shared" si="16"/>
        <v>0.61200000000000188</v>
      </c>
      <c r="M1037" t="s">
        <v>1945</v>
      </c>
      <c r="N1037" t="s">
        <v>19</v>
      </c>
    </row>
    <row r="1038" spans="1:14" x14ac:dyDescent="0.3">
      <c r="A1038">
        <v>854</v>
      </c>
      <c r="B1038" t="s">
        <v>958</v>
      </c>
      <c r="C1038" t="s">
        <v>2265</v>
      </c>
      <c r="D1038" t="s">
        <v>2343</v>
      </c>
      <c r="E1038" t="s">
        <v>17</v>
      </c>
      <c r="F1038" t="s">
        <v>2306</v>
      </c>
      <c r="G1038" s="3">
        <v>29.8</v>
      </c>
      <c r="H1038" s="3">
        <v>0</v>
      </c>
      <c r="I1038" s="3">
        <v>29.8</v>
      </c>
      <c r="J1038" s="3">
        <f>Table1[[#This Row],[قيمة الفاتورة]]*0.94-Table1[[#This Row],[قيمة المشاركة]]</f>
        <v>28.012</v>
      </c>
      <c r="K1038">
        <v>27.091000000000001</v>
      </c>
      <c r="L1038" s="3">
        <f t="shared" si="16"/>
        <v>0.92099999999999937</v>
      </c>
      <c r="M1038" t="s">
        <v>1945</v>
      </c>
      <c r="N1038" t="s">
        <v>19</v>
      </c>
    </row>
    <row r="1039" spans="1:14" x14ac:dyDescent="0.3">
      <c r="A1039">
        <v>857</v>
      </c>
      <c r="B1039" t="s">
        <v>2344</v>
      </c>
      <c r="C1039" t="s">
        <v>2345</v>
      </c>
      <c r="D1039" t="s">
        <v>2346</v>
      </c>
      <c r="E1039" t="s">
        <v>17</v>
      </c>
      <c r="F1039" t="s">
        <v>2306</v>
      </c>
      <c r="G1039" s="3">
        <v>14.86</v>
      </c>
      <c r="H1039" s="3">
        <v>0</v>
      </c>
      <c r="I1039" s="3">
        <v>14.86</v>
      </c>
      <c r="J1039" s="3">
        <f>Table1[[#This Row],[قيمة الفاتورة]]*0.94-Table1[[#This Row],[قيمة المشاركة]]</f>
        <v>13.968399999999999</v>
      </c>
      <c r="K1039">
        <v>12.004</v>
      </c>
      <c r="L1039" s="3">
        <f t="shared" si="16"/>
        <v>1.9643999999999995</v>
      </c>
      <c r="M1039" t="s">
        <v>1945</v>
      </c>
      <c r="N1039" t="s">
        <v>19</v>
      </c>
    </row>
    <row r="1040" spans="1:14" x14ac:dyDescent="0.3">
      <c r="A1040">
        <v>862</v>
      </c>
      <c r="B1040" t="s">
        <v>967</v>
      </c>
      <c r="C1040" t="s">
        <v>968</v>
      </c>
      <c r="D1040" t="s">
        <v>2347</v>
      </c>
      <c r="E1040" t="s">
        <v>23</v>
      </c>
      <c r="F1040" t="s">
        <v>2306</v>
      </c>
      <c r="G1040" s="3">
        <v>34.549999999999997</v>
      </c>
      <c r="H1040" s="3">
        <v>0</v>
      </c>
      <c r="I1040" s="3">
        <v>34.549999999999997</v>
      </c>
      <c r="J1040" s="3">
        <f>Table1[[#This Row],[قيمة الفاتورة]]*0.94-Table1[[#This Row],[قيمة المشاركة]]</f>
        <v>32.476999999999997</v>
      </c>
      <c r="K1040" s="3">
        <v>32.476999999999997</v>
      </c>
      <c r="L1040" s="3">
        <f t="shared" si="16"/>
        <v>0</v>
      </c>
      <c r="M1040" s="6">
        <v>46113</v>
      </c>
      <c r="N1040" s="6" t="s">
        <v>19</v>
      </c>
    </row>
    <row r="1041" spans="1:14" x14ac:dyDescent="0.3">
      <c r="A1041">
        <v>873</v>
      </c>
      <c r="B1041" t="s">
        <v>169</v>
      </c>
      <c r="C1041" t="s">
        <v>170</v>
      </c>
      <c r="D1041" t="s">
        <v>2348</v>
      </c>
      <c r="E1041" t="s">
        <v>23</v>
      </c>
      <c r="F1041" t="s">
        <v>2349</v>
      </c>
      <c r="G1041" s="3">
        <v>18.829999999999998</v>
      </c>
      <c r="H1041" s="3">
        <v>0</v>
      </c>
      <c r="I1041" s="3">
        <v>18.829999999999998</v>
      </c>
      <c r="J1041" s="3">
        <f>Table1[[#This Row],[قيمة الفاتورة]]*0.94-Table1[[#This Row],[قيمة المشاركة]]</f>
        <v>17.700199999999999</v>
      </c>
      <c r="K1041">
        <v>18.218</v>
      </c>
      <c r="L1041" s="3">
        <f t="shared" si="16"/>
        <v>-0.51780000000000115</v>
      </c>
      <c r="M1041" t="s">
        <v>1945</v>
      </c>
      <c r="N1041" t="s">
        <v>19</v>
      </c>
    </row>
    <row r="1042" spans="1:14" x14ac:dyDescent="0.3">
      <c r="A1042">
        <v>868</v>
      </c>
      <c r="B1042" t="s">
        <v>2350</v>
      </c>
      <c r="C1042" t="s">
        <v>2351</v>
      </c>
      <c r="D1042" t="s">
        <v>2352</v>
      </c>
      <c r="E1042" t="s">
        <v>17</v>
      </c>
      <c r="F1042" t="s">
        <v>2349</v>
      </c>
      <c r="G1042" s="3">
        <v>22.53</v>
      </c>
      <c r="H1042" s="3">
        <v>0</v>
      </c>
      <c r="I1042" s="3">
        <v>22.53</v>
      </c>
      <c r="J1042" s="3">
        <f>Table1[[#This Row],[قيمة الفاتورة]]*0.94-Table1[[#This Row],[قيمة المشاركة]]</f>
        <v>21.1782</v>
      </c>
      <c r="K1042">
        <v>21.178999999999998</v>
      </c>
      <c r="L1042" s="3">
        <f t="shared" si="16"/>
        <v>-7.9999999999813554E-4</v>
      </c>
      <c r="M1042" t="s">
        <v>1945</v>
      </c>
      <c r="N1042" t="s">
        <v>19</v>
      </c>
    </row>
    <row r="1043" spans="1:14" x14ac:dyDescent="0.3">
      <c r="A1043">
        <v>872</v>
      </c>
      <c r="B1043" t="s">
        <v>2353</v>
      </c>
      <c r="C1043" t="s">
        <v>2354</v>
      </c>
      <c r="D1043" t="s">
        <v>2355</v>
      </c>
      <c r="E1043" t="s">
        <v>23</v>
      </c>
      <c r="F1043" t="s">
        <v>2349</v>
      </c>
      <c r="G1043" s="3">
        <v>16.579999999999998</v>
      </c>
      <c r="H1043" s="3">
        <v>0</v>
      </c>
      <c r="I1043" s="3">
        <v>16.579999999999998</v>
      </c>
      <c r="J1043" s="3">
        <f>Table1[[#This Row],[قيمة الفاتورة]]*0.94-Table1[[#This Row],[قيمة المشاركة]]</f>
        <v>15.585199999999997</v>
      </c>
      <c r="K1043">
        <v>15.585000000000001</v>
      </c>
      <c r="L1043" s="3">
        <f t="shared" si="16"/>
        <v>1.9999999999598117E-4</v>
      </c>
      <c r="M1043" t="s">
        <v>1945</v>
      </c>
      <c r="N1043" t="s">
        <v>19</v>
      </c>
    </row>
    <row r="1044" spans="1:14" x14ac:dyDescent="0.3">
      <c r="A1044">
        <v>871</v>
      </c>
      <c r="B1044" t="s">
        <v>123</v>
      </c>
      <c r="C1044" t="s">
        <v>124</v>
      </c>
      <c r="D1044" t="s">
        <v>2356</v>
      </c>
      <c r="E1044" t="s">
        <v>17</v>
      </c>
      <c r="F1044" t="s">
        <v>2349</v>
      </c>
      <c r="G1044" s="3">
        <v>50.38</v>
      </c>
      <c r="H1044" s="3">
        <v>0</v>
      </c>
      <c r="I1044" s="3">
        <v>50.38</v>
      </c>
      <c r="J1044" s="3">
        <f>Table1[[#This Row],[قيمة الفاتورة]]*0.94-Table1[[#This Row],[قيمة المشاركة]]</f>
        <v>47.357199999999999</v>
      </c>
      <c r="K1044">
        <v>47.356999999999999</v>
      </c>
      <c r="L1044" s="3">
        <f t="shared" si="16"/>
        <v>1.9999999999953388E-4</v>
      </c>
      <c r="M1044" t="s">
        <v>2357</v>
      </c>
      <c r="N1044" t="s">
        <v>126</v>
      </c>
    </row>
    <row r="1045" spans="1:14" x14ac:dyDescent="0.3">
      <c r="A1045">
        <v>869</v>
      </c>
      <c r="B1045" t="s">
        <v>203</v>
      </c>
      <c r="C1045" t="s">
        <v>204</v>
      </c>
      <c r="D1045" t="s">
        <v>2358</v>
      </c>
      <c r="E1045" t="s">
        <v>17</v>
      </c>
      <c r="F1045" t="s">
        <v>2349</v>
      </c>
      <c r="G1045" s="3">
        <v>52.12</v>
      </c>
      <c r="H1045" s="3">
        <v>0</v>
      </c>
      <c r="I1045" s="3">
        <v>52.12</v>
      </c>
      <c r="J1045" s="3">
        <f>Table1[[#This Row],[قيمة الفاتورة]]*0.94-Table1[[#This Row],[قيمة المشاركة]]</f>
        <v>48.992799999999995</v>
      </c>
      <c r="K1045">
        <v>48.991999999999997</v>
      </c>
      <c r="L1045" s="3">
        <f t="shared" si="16"/>
        <v>7.9999999999813554E-4</v>
      </c>
      <c r="M1045" t="s">
        <v>1945</v>
      </c>
      <c r="N1045" t="s">
        <v>19</v>
      </c>
    </row>
    <row r="1046" spans="1:14" x14ac:dyDescent="0.3">
      <c r="A1046">
        <v>870</v>
      </c>
      <c r="B1046" t="s">
        <v>2239</v>
      </c>
      <c r="C1046" t="s">
        <v>2240</v>
      </c>
      <c r="D1046" t="s">
        <v>2359</v>
      </c>
      <c r="E1046" t="s">
        <v>17</v>
      </c>
      <c r="F1046" t="s">
        <v>2349</v>
      </c>
      <c r="G1046" s="3">
        <v>11.74</v>
      </c>
      <c r="H1046" s="3">
        <v>0</v>
      </c>
      <c r="I1046" s="3">
        <v>11.74</v>
      </c>
      <c r="J1046" s="3">
        <f>Table1[[#This Row],[قيمة الفاتورة]]*0.94-Table1[[#This Row],[قيمة المشاركة]]</f>
        <v>11.035599999999999</v>
      </c>
      <c r="K1046">
        <v>10.481999999999999</v>
      </c>
      <c r="L1046" s="3">
        <f t="shared" si="16"/>
        <v>0.55359999999999943</v>
      </c>
      <c r="M1046" t="s">
        <v>1945</v>
      </c>
      <c r="N1046" t="s">
        <v>19</v>
      </c>
    </row>
    <row r="1047" spans="1:14" x14ac:dyDescent="0.3">
      <c r="A1047">
        <v>874</v>
      </c>
      <c r="B1047" t="s">
        <v>638</v>
      </c>
      <c r="C1047" t="s">
        <v>639</v>
      </c>
      <c r="D1047" t="s">
        <v>2360</v>
      </c>
      <c r="E1047" t="s">
        <v>23</v>
      </c>
      <c r="F1047" t="s">
        <v>2349</v>
      </c>
      <c r="G1047" s="3">
        <v>8.61</v>
      </c>
      <c r="H1047" s="3">
        <v>0</v>
      </c>
      <c r="I1047" s="3">
        <v>8.61</v>
      </c>
      <c r="J1047" s="3">
        <f>Table1[[#This Row],[قيمة الفاتورة]]*0.94-Table1[[#This Row],[قيمة المشاركة]]</f>
        <v>8.093399999999999</v>
      </c>
      <c r="K1047">
        <v>7.4820000000000002</v>
      </c>
      <c r="L1047" s="3">
        <f t="shared" si="16"/>
        <v>0.61139999999999883</v>
      </c>
      <c r="M1047" t="s">
        <v>1945</v>
      </c>
      <c r="N1047" t="s">
        <v>19</v>
      </c>
    </row>
    <row r="1048" spans="1:14" x14ac:dyDescent="0.3">
      <c r="A1048">
        <v>875</v>
      </c>
      <c r="B1048" t="s">
        <v>1049</v>
      </c>
      <c r="C1048" t="s">
        <v>140</v>
      </c>
      <c r="D1048" t="s">
        <v>2361</v>
      </c>
      <c r="E1048" t="s">
        <v>17</v>
      </c>
      <c r="F1048" t="s">
        <v>2349</v>
      </c>
      <c r="G1048" s="3">
        <v>23.83</v>
      </c>
      <c r="H1048" s="3">
        <v>0</v>
      </c>
      <c r="I1048" s="3">
        <v>23.83</v>
      </c>
      <c r="J1048" s="3">
        <f>Table1[[#This Row],[قيمة الفاتورة]]*0.94-Table1[[#This Row],[قيمة المشاركة]]</f>
        <v>22.400199999999998</v>
      </c>
      <c r="K1048">
        <v>21.648</v>
      </c>
      <c r="L1048" s="3">
        <f t="shared" si="16"/>
        <v>0.75219999999999843</v>
      </c>
      <c r="M1048" t="s">
        <v>1945</v>
      </c>
      <c r="N1048" t="s">
        <v>19</v>
      </c>
    </row>
    <row r="1049" spans="1:14" x14ac:dyDescent="0.3">
      <c r="A1049">
        <v>881</v>
      </c>
      <c r="B1049" t="s">
        <v>1507</v>
      </c>
      <c r="C1049" t="s">
        <v>1508</v>
      </c>
      <c r="D1049" t="s">
        <v>2362</v>
      </c>
      <c r="E1049" t="s">
        <v>23</v>
      </c>
      <c r="F1049" t="s">
        <v>2363</v>
      </c>
      <c r="G1049" s="3">
        <v>13.8</v>
      </c>
      <c r="H1049" s="3">
        <v>0</v>
      </c>
      <c r="I1049" s="3">
        <v>13.8</v>
      </c>
      <c r="J1049" s="3">
        <f>Table1[[#This Row],[قيمة الفاتورة]]*0.94-Table1[[#This Row],[قيمة المشاركة]]</f>
        <v>12.972</v>
      </c>
      <c r="K1049">
        <v>13.781000000000001</v>
      </c>
      <c r="L1049" s="3">
        <f t="shared" si="16"/>
        <v>-0.80900000000000105</v>
      </c>
      <c r="M1049" t="s">
        <v>1945</v>
      </c>
      <c r="N1049" t="s">
        <v>19</v>
      </c>
    </row>
    <row r="1050" spans="1:14" x14ac:dyDescent="0.3">
      <c r="A1050">
        <v>877</v>
      </c>
      <c r="B1050" t="s">
        <v>2364</v>
      </c>
      <c r="C1050" t="s">
        <v>2365</v>
      </c>
      <c r="D1050" t="s">
        <v>2366</v>
      </c>
      <c r="E1050" t="s">
        <v>17</v>
      </c>
      <c r="F1050" t="s">
        <v>2363</v>
      </c>
      <c r="G1050" s="3">
        <v>20.04</v>
      </c>
      <c r="H1050" s="3">
        <v>0</v>
      </c>
      <c r="I1050" s="3">
        <v>20.04</v>
      </c>
      <c r="J1050" s="3">
        <f>Table1[[#This Row],[قيمة الفاتورة]]*0.94-Table1[[#This Row],[قيمة المشاركة]]</f>
        <v>18.837599999999998</v>
      </c>
      <c r="K1050">
        <v>18.847999999999999</v>
      </c>
      <c r="L1050" s="3">
        <f t="shared" si="16"/>
        <v>-1.0400000000000631E-2</v>
      </c>
      <c r="M1050" t="s">
        <v>1945</v>
      </c>
      <c r="N1050" t="s">
        <v>19</v>
      </c>
    </row>
    <row r="1051" spans="1:14" x14ac:dyDescent="0.3">
      <c r="A1051">
        <v>880</v>
      </c>
      <c r="B1051" t="s">
        <v>958</v>
      </c>
      <c r="C1051" t="s">
        <v>2265</v>
      </c>
      <c r="D1051" t="s">
        <v>2343</v>
      </c>
      <c r="E1051" t="s">
        <v>17</v>
      </c>
      <c r="F1051" t="s">
        <v>2363</v>
      </c>
      <c r="G1051" s="3">
        <v>11.89</v>
      </c>
      <c r="H1051" s="3">
        <v>0</v>
      </c>
      <c r="I1051" s="3">
        <v>11.89</v>
      </c>
      <c r="J1051" s="3">
        <f>Table1[[#This Row],[قيمة الفاتورة]]*0.94-Table1[[#This Row],[قيمة المشاركة]]</f>
        <v>11.176600000000001</v>
      </c>
      <c r="K1051">
        <v>11.177</v>
      </c>
      <c r="L1051" s="3">
        <f t="shared" si="16"/>
        <v>-3.9999999999906777E-4</v>
      </c>
      <c r="M1051" t="s">
        <v>1945</v>
      </c>
      <c r="N1051" t="s">
        <v>19</v>
      </c>
    </row>
    <row r="1052" spans="1:14" x14ac:dyDescent="0.3">
      <c r="A1052">
        <v>876</v>
      </c>
      <c r="B1052" t="s">
        <v>2367</v>
      </c>
      <c r="C1052" t="s">
        <v>2368</v>
      </c>
      <c r="D1052" t="s">
        <v>2369</v>
      </c>
      <c r="E1052" t="s">
        <v>17</v>
      </c>
      <c r="F1052" t="s">
        <v>2363</v>
      </c>
      <c r="G1052" s="3">
        <v>23.38</v>
      </c>
      <c r="H1052" s="3">
        <v>0</v>
      </c>
      <c r="I1052" s="3">
        <v>23.38</v>
      </c>
      <c r="J1052" s="3">
        <f>Table1[[#This Row],[قيمة الفاتورة]]*0.94-Table1[[#This Row],[قيمة المشاركة]]</f>
        <v>21.977199999999996</v>
      </c>
      <c r="K1052">
        <v>21.977</v>
      </c>
      <c r="L1052" s="3">
        <f t="shared" si="16"/>
        <v>1.9999999999598117E-4</v>
      </c>
      <c r="M1052" t="s">
        <v>1945</v>
      </c>
      <c r="N1052" t="s">
        <v>19</v>
      </c>
    </row>
    <row r="1053" spans="1:14" x14ac:dyDescent="0.3">
      <c r="A1053">
        <v>883</v>
      </c>
      <c r="B1053" t="s">
        <v>732</v>
      </c>
      <c r="C1053" t="s">
        <v>733</v>
      </c>
      <c r="D1053" t="s">
        <v>2370</v>
      </c>
      <c r="E1053" t="s">
        <v>23</v>
      </c>
      <c r="F1053" t="s">
        <v>2363</v>
      </c>
      <c r="G1053" s="3">
        <v>18.73</v>
      </c>
      <c r="H1053" s="3">
        <v>3.746</v>
      </c>
      <c r="I1053" s="3">
        <v>14.984</v>
      </c>
      <c r="J1053" s="3">
        <f>Table1[[#This Row],[قيمة الفاتورة]]*0.94-Table1[[#This Row],[قيمة المشاركة]]</f>
        <v>13.860199999999997</v>
      </c>
      <c r="K1053">
        <v>13.86</v>
      </c>
      <c r="L1053" s="3">
        <f t="shared" si="16"/>
        <v>1.9999999999775753E-4</v>
      </c>
      <c r="M1053" t="s">
        <v>2024</v>
      </c>
      <c r="N1053" t="s">
        <v>328</v>
      </c>
    </row>
    <row r="1054" spans="1:14" x14ac:dyDescent="0.3">
      <c r="A1054">
        <v>884</v>
      </c>
      <c r="B1054" t="s">
        <v>305</v>
      </c>
      <c r="C1054" t="s">
        <v>306</v>
      </c>
      <c r="D1054" t="s">
        <v>2371</v>
      </c>
      <c r="E1054" t="s">
        <v>23</v>
      </c>
      <c r="F1054" t="s">
        <v>2363</v>
      </c>
      <c r="G1054" s="3">
        <v>34.08</v>
      </c>
      <c r="H1054" s="3">
        <v>0</v>
      </c>
      <c r="I1054" s="3">
        <v>34.08</v>
      </c>
      <c r="J1054" s="3">
        <f>Table1[[#This Row],[قيمة الفاتورة]]*0.94-Table1[[#This Row],[قيمة المشاركة]]</f>
        <v>32.035199999999996</v>
      </c>
      <c r="K1054">
        <v>32.034999999999997</v>
      </c>
      <c r="L1054" s="3">
        <f t="shared" si="16"/>
        <v>1.9999999999953388E-4</v>
      </c>
      <c r="M1054" t="s">
        <v>1945</v>
      </c>
      <c r="N1054" t="s">
        <v>19</v>
      </c>
    </row>
    <row r="1055" spans="1:14" x14ac:dyDescent="0.3">
      <c r="A1055">
        <v>879</v>
      </c>
      <c r="B1055" t="s">
        <v>397</v>
      </c>
      <c r="C1055" t="s">
        <v>398</v>
      </c>
      <c r="D1055" t="s">
        <v>2372</v>
      </c>
      <c r="E1055" t="s">
        <v>23</v>
      </c>
      <c r="F1055" t="s">
        <v>2363</v>
      </c>
      <c r="G1055" s="3">
        <v>8.67</v>
      </c>
      <c r="H1055" s="3">
        <v>1.3</v>
      </c>
      <c r="I1055" s="3">
        <v>7.37</v>
      </c>
      <c r="J1055" s="3">
        <f>Table1[[#This Row],[قيمة الفاتورة]]*0.94-Table1[[#This Row],[قيمة المشاركة]]</f>
        <v>6.8497999999999992</v>
      </c>
      <c r="K1055">
        <v>6.8490000000000002</v>
      </c>
      <c r="L1055" s="3">
        <f t="shared" si="16"/>
        <v>7.9999999999902371E-4</v>
      </c>
      <c r="M1055" t="s">
        <v>1945</v>
      </c>
      <c r="N1055" t="s">
        <v>19</v>
      </c>
    </row>
    <row r="1056" spans="1:14" x14ac:dyDescent="0.3">
      <c r="A1056">
        <v>878</v>
      </c>
      <c r="B1056" t="s">
        <v>157</v>
      </c>
      <c r="C1056" t="s">
        <v>158</v>
      </c>
      <c r="D1056" t="s">
        <v>2373</v>
      </c>
      <c r="E1056" t="s">
        <v>17</v>
      </c>
      <c r="F1056" t="s">
        <v>2363</v>
      </c>
      <c r="G1056" s="3">
        <v>41.66</v>
      </c>
      <c r="H1056" s="3">
        <v>6.2489999999999997</v>
      </c>
      <c r="I1056" s="3">
        <v>35.411000000000001</v>
      </c>
      <c r="J1056" s="3">
        <f>Table1[[#This Row],[قيمة الفاتورة]]*0.94-Table1[[#This Row],[قيمة المشاركة]]</f>
        <v>32.911399999999993</v>
      </c>
      <c r="K1056">
        <v>29.495000000000001</v>
      </c>
      <c r="L1056" s="3">
        <f t="shared" si="16"/>
        <v>3.4163999999999923</v>
      </c>
      <c r="M1056" t="s">
        <v>1945</v>
      </c>
      <c r="N1056" t="s">
        <v>19</v>
      </c>
    </row>
    <row r="1057" spans="1:14" x14ac:dyDescent="0.3">
      <c r="A1057">
        <v>882</v>
      </c>
      <c r="B1057" t="s">
        <v>2374</v>
      </c>
      <c r="C1057" t="s">
        <v>2110</v>
      </c>
      <c r="D1057" t="s">
        <v>507</v>
      </c>
      <c r="E1057" t="s">
        <v>23</v>
      </c>
      <c r="F1057" t="s">
        <v>2363</v>
      </c>
      <c r="G1057" s="3">
        <v>8.69</v>
      </c>
      <c r="H1057" s="3">
        <v>0</v>
      </c>
      <c r="I1057" s="3">
        <v>8.69</v>
      </c>
      <c r="J1057" s="3">
        <f>Table1[[#This Row],[قيمة الفاتورة]]*0.94-Table1[[#This Row],[قيمة المشاركة]]</f>
        <v>8.1685999999999996</v>
      </c>
      <c r="L1057" s="3" t="str">
        <f t="shared" si="16"/>
        <v/>
      </c>
    </row>
    <row r="1058" spans="1:14" x14ac:dyDescent="0.3">
      <c r="A1058">
        <v>885</v>
      </c>
      <c r="B1058" t="s">
        <v>763</v>
      </c>
      <c r="C1058" t="s">
        <v>177</v>
      </c>
      <c r="D1058" t="s">
        <v>2375</v>
      </c>
      <c r="E1058" t="s">
        <v>17</v>
      </c>
      <c r="F1058" t="s">
        <v>2376</v>
      </c>
      <c r="G1058" s="3">
        <v>5.44</v>
      </c>
      <c r="H1058" s="3">
        <v>0</v>
      </c>
      <c r="I1058" s="3">
        <v>5.44</v>
      </c>
      <c r="J1058" s="3">
        <f>Table1[[#This Row],[قيمة الفاتورة]]*0.94-Table1[[#This Row],[قيمة المشاركة]]</f>
        <v>5.1135999999999999</v>
      </c>
      <c r="K1058">
        <v>5.1139999999999999</v>
      </c>
      <c r="L1058" s="3">
        <f t="shared" si="16"/>
        <v>-3.9999999999995595E-4</v>
      </c>
      <c r="M1058" t="s">
        <v>1945</v>
      </c>
      <c r="N1058" t="s">
        <v>19</v>
      </c>
    </row>
    <row r="1059" spans="1:14" x14ac:dyDescent="0.3">
      <c r="A1059">
        <v>886</v>
      </c>
      <c r="B1059" t="s">
        <v>662</v>
      </c>
      <c r="C1059" t="s">
        <v>663</v>
      </c>
      <c r="D1059" t="s">
        <v>2377</v>
      </c>
      <c r="E1059" t="s">
        <v>17</v>
      </c>
      <c r="F1059" t="s">
        <v>2376</v>
      </c>
      <c r="G1059" s="3">
        <v>30.36</v>
      </c>
      <c r="H1059" s="3">
        <v>0</v>
      </c>
      <c r="I1059" s="3">
        <v>30.36</v>
      </c>
      <c r="J1059" s="3">
        <f>Table1[[#This Row],[قيمة الفاتورة]]*0.94-Table1[[#This Row],[قيمة المشاركة]]</f>
        <v>28.538399999999999</v>
      </c>
      <c r="K1059">
        <v>28.538</v>
      </c>
      <c r="L1059" s="3">
        <f t="shared" si="16"/>
        <v>3.9999999999906777E-4</v>
      </c>
      <c r="M1059" t="s">
        <v>1945</v>
      </c>
      <c r="N1059" t="s">
        <v>19</v>
      </c>
    </row>
    <row r="1060" spans="1:14" x14ac:dyDescent="0.3">
      <c r="A1060">
        <v>887</v>
      </c>
      <c r="B1060" t="s">
        <v>930</v>
      </c>
      <c r="C1060" t="s">
        <v>2378</v>
      </c>
      <c r="D1060" t="s">
        <v>2379</v>
      </c>
      <c r="E1060" t="s">
        <v>23</v>
      </c>
      <c r="F1060" t="s">
        <v>2376</v>
      </c>
      <c r="G1060" s="3">
        <v>13.2</v>
      </c>
      <c r="H1060" s="3">
        <v>0</v>
      </c>
      <c r="I1060" s="3">
        <v>13.2</v>
      </c>
      <c r="J1060" s="3">
        <f>Table1[[#This Row],[قيمة الفاتورة]]*0.94-Table1[[#This Row],[قيمة المشاركة]]</f>
        <v>12.407999999999999</v>
      </c>
      <c r="K1060">
        <v>11.355</v>
      </c>
      <c r="L1060" s="3">
        <f t="shared" si="16"/>
        <v>1.052999999999999</v>
      </c>
      <c r="M1060" t="s">
        <v>1945</v>
      </c>
      <c r="N1060" t="s">
        <v>19</v>
      </c>
    </row>
    <row r="1061" spans="1:14" x14ac:dyDescent="0.3">
      <c r="A1061">
        <v>890</v>
      </c>
      <c r="B1061" t="s">
        <v>2380</v>
      </c>
      <c r="C1061" t="s">
        <v>2381</v>
      </c>
      <c r="D1061" t="s">
        <v>2382</v>
      </c>
      <c r="E1061" t="s">
        <v>23</v>
      </c>
      <c r="F1061" t="s">
        <v>2383</v>
      </c>
      <c r="G1061" s="3">
        <v>5.87</v>
      </c>
      <c r="H1061" s="3">
        <v>0</v>
      </c>
      <c r="I1061" s="3">
        <v>5.87</v>
      </c>
      <c r="J1061" s="3">
        <f>Table1[[#This Row],[قيمة الفاتورة]]*0.94-Table1[[#This Row],[قيمة المشاركة]]</f>
        <v>5.5177999999999994</v>
      </c>
      <c r="K1061">
        <v>5.5179999999999998</v>
      </c>
      <c r="L1061" s="3">
        <f t="shared" si="16"/>
        <v>-2.0000000000042206E-4</v>
      </c>
      <c r="M1061" t="s">
        <v>1945</v>
      </c>
      <c r="N1061" t="s">
        <v>19</v>
      </c>
    </row>
    <row r="1062" spans="1:14" x14ac:dyDescent="0.3">
      <c r="A1062">
        <v>888</v>
      </c>
      <c r="B1062" t="s">
        <v>656</v>
      </c>
      <c r="C1062" t="s">
        <v>657</v>
      </c>
      <c r="D1062" t="s">
        <v>2384</v>
      </c>
      <c r="E1062" t="s">
        <v>23</v>
      </c>
      <c r="F1062" t="s">
        <v>2383</v>
      </c>
      <c r="G1062" s="3">
        <v>30</v>
      </c>
      <c r="H1062" s="3">
        <v>0</v>
      </c>
      <c r="I1062" s="3">
        <v>30</v>
      </c>
      <c r="J1062" s="3">
        <f>Table1[[#This Row],[قيمة الفاتورة]]*0.94-Table1[[#This Row],[قيمة المشاركة]]</f>
        <v>28.2</v>
      </c>
      <c r="K1062">
        <v>28.2</v>
      </c>
      <c r="L1062" s="3">
        <f t="shared" si="16"/>
        <v>0</v>
      </c>
      <c r="M1062" t="s">
        <v>1945</v>
      </c>
      <c r="N1062" t="s">
        <v>19</v>
      </c>
    </row>
    <row r="1063" spans="1:14" x14ac:dyDescent="0.3">
      <c r="A1063">
        <v>889</v>
      </c>
      <c r="B1063" t="s">
        <v>45</v>
      </c>
      <c r="C1063" t="s">
        <v>46</v>
      </c>
      <c r="D1063" t="s">
        <v>2385</v>
      </c>
      <c r="E1063" t="s">
        <v>17</v>
      </c>
      <c r="F1063" t="s">
        <v>2383</v>
      </c>
      <c r="G1063" s="3">
        <v>21.04</v>
      </c>
      <c r="H1063" s="3">
        <v>0</v>
      </c>
      <c r="I1063" s="3">
        <v>21.04</v>
      </c>
      <c r="J1063" s="3">
        <f>Table1[[#This Row],[قيمة الفاتورة]]*0.94-Table1[[#This Row],[قيمة المشاركة]]</f>
        <v>19.7776</v>
      </c>
      <c r="K1063">
        <v>19.777000000000001</v>
      </c>
      <c r="L1063" s="3">
        <f t="shared" si="16"/>
        <v>5.9999999999860165E-4</v>
      </c>
      <c r="M1063" t="s">
        <v>1945</v>
      </c>
      <c r="N1063" t="s">
        <v>19</v>
      </c>
    </row>
    <row r="1064" spans="1:14" x14ac:dyDescent="0.3">
      <c r="A1064">
        <v>891</v>
      </c>
      <c r="B1064" t="s">
        <v>324</v>
      </c>
      <c r="C1064" t="s">
        <v>325</v>
      </c>
      <c r="D1064" t="s">
        <v>2386</v>
      </c>
      <c r="E1064" t="s">
        <v>17</v>
      </c>
      <c r="F1064" t="s">
        <v>2383</v>
      </c>
      <c r="G1064" s="3">
        <v>18.329999999999998</v>
      </c>
      <c r="H1064" s="3">
        <v>3.6659999999999999</v>
      </c>
      <c r="I1064" s="3">
        <v>14.664</v>
      </c>
      <c r="J1064" s="3">
        <f>Table1[[#This Row],[قيمة الفاتورة]]*0.94-Table1[[#This Row],[قيمة المشاركة]]</f>
        <v>13.564199999999996</v>
      </c>
      <c r="K1064">
        <v>13.563000000000001</v>
      </c>
      <c r="L1064" s="3">
        <f t="shared" si="16"/>
        <v>1.1999999999954269E-3</v>
      </c>
      <c r="M1064" t="s">
        <v>2024</v>
      </c>
      <c r="N1064" t="s">
        <v>328</v>
      </c>
    </row>
    <row r="1065" spans="1:14" x14ac:dyDescent="0.3">
      <c r="A1065">
        <v>892</v>
      </c>
      <c r="B1065" t="s">
        <v>2007</v>
      </c>
      <c r="C1065" t="s">
        <v>1893</v>
      </c>
      <c r="D1065" t="s">
        <v>2387</v>
      </c>
      <c r="E1065" t="s">
        <v>23</v>
      </c>
      <c r="F1065" t="s">
        <v>2383</v>
      </c>
      <c r="G1065" s="3">
        <v>22.51</v>
      </c>
      <c r="H1065" s="3">
        <v>4.5019999999999998</v>
      </c>
      <c r="I1065" s="3">
        <v>18.007999999999999</v>
      </c>
      <c r="J1065" s="3">
        <f>Table1[[#This Row],[قيمة الفاتورة]]*0.94-Table1[[#This Row],[قيمة المشاركة]]</f>
        <v>16.657400000000003</v>
      </c>
      <c r="K1065">
        <v>15.717000000000001</v>
      </c>
      <c r="L1065" s="3">
        <f t="shared" si="16"/>
        <v>0.94040000000000212</v>
      </c>
      <c r="M1065" t="s">
        <v>2024</v>
      </c>
      <c r="N1065" t="s">
        <v>328</v>
      </c>
    </row>
    <row r="1066" spans="1:14" x14ac:dyDescent="0.3">
      <c r="A1066">
        <v>893</v>
      </c>
      <c r="B1066" t="s">
        <v>256</v>
      </c>
      <c r="C1066" t="s">
        <v>2388</v>
      </c>
      <c r="D1066" t="s">
        <v>2389</v>
      </c>
      <c r="E1066" t="s">
        <v>17</v>
      </c>
      <c r="F1066" t="s">
        <v>2390</v>
      </c>
      <c r="G1066" s="3">
        <v>38.54</v>
      </c>
      <c r="H1066" s="3">
        <v>0</v>
      </c>
      <c r="I1066" s="3">
        <v>38.54</v>
      </c>
      <c r="J1066" s="3">
        <f>Table1[[#This Row],[قيمة الفاتورة]]*0.94-Table1[[#This Row],[قيمة المشاركة]]</f>
        <v>36.227599999999995</v>
      </c>
      <c r="K1066">
        <v>36.228000000000002</v>
      </c>
      <c r="L1066" s="3">
        <f t="shared" si="16"/>
        <v>-4.000000000061732E-4</v>
      </c>
      <c r="M1066" t="s">
        <v>1945</v>
      </c>
      <c r="N1066" t="s">
        <v>19</v>
      </c>
    </row>
    <row r="1067" spans="1:14" x14ac:dyDescent="0.3">
      <c r="A1067">
        <v>894</v>
      </c>
      <c r="B1067" t="s">
        <v>253</v>
      </c>
      <c r="C1067" t="s">
        <v>254</v>
      </c>
      <c r="D1067" t="s">
        <v>2391</v>
      </c>
      <c r="E1067" t="s">
        <v>17</v>
      </c>
      <c r="F1067" t="s">
        <v>2390</v>
      </c>
      <c r="G1067" s="3">
        <v>26.42</v>
      </c>
      <c r="H1067" s="3">
        <v>0</v>
      </c>
      <c r="I1067" s="3">
        <v>26.42</v>
      </c>
      <c r="J1067" s="3">
        <f>Table1[[#This Row],[قيمة الفاتورة]]*0.94-Table1[[#This Row],[قيمة المشاركة]]</f>
        <v>24.834800000000001</v>
      </c>
      <c r="K1067">
        <v>24.835000000000001</v>
      </c>
      <c r="L1067" s="3">
        <f t="shared" si="16"/>
        <v>-1.9999999999953388E-4</v>
      </c>
      <c r="M1067" t="s">
        <v>1945</v>
      </c>
      <c r="N1067" t="s">
        <v>19</v>
      </c>
    </row>
    <row r="1068" spans="1:14" x14ac:dyDescent="0.3">
      <c r="A1068">
        <v>895</v>
      </c>
      <c r="B1068" t="s">
        <v>484</v>
      </c>
      <c r="C1068" t="s">
        <v>485</v>
      </c>
      <c r="D1068" t="s">
        <v>2392</v>
      </c>
      <c r="E1068" t="s">
        <v>23</v>
      </c>
      <c r="F1068" t="s">
        <v>2390</v>
      </c>
      <c r="G1068" s="3">
        <v>14.15</v>
      </c>
      <c r="H1068" s="3">
        <v>0</v>
      </c>
      <c r="I1068" s="3">
        <v>14.15</v>
      </c>
      <c r="J1068" s="3">
        <f>Table1[[#This Row],[قيمة الفاتورة]]*0.94-Table1[[#This Row],[قيمة المشاركة]]</f>
        <v>13.301</v>
      </c>
      <c r="K1068">
        <v>13.301</v>
      </c>
      <c r="L1068" s="3">
        <f t="shared" si="16"/>
        <v>0</v>
      </c>
      <c r="M1068" t="s">
        <v>1945</v>
      </c>
      <c r="N1068" t="s">
        <v>19</v>
      </c>
    </row>
    <row r="1069" spans="1:14" x14ac:dyDescent="0.3">
      <c r="A1069">
        <v>173</v>
      </c>
      <c r="B1069" t="s">
        <v>987</v>
      </c>
      <c r="C1069" t="s">
        <v>988</v>
      </c>
      <c r="D1069" t="s">
        <v>2393</v>
      </c>
      <c r="E1069" t="s">
        <v>17</v>
      </c>
      <c r="F1069" t="s">
        <v>2390</v>
      </c>
      <c r="G1069" s="3">
        <v>14.65</v>
      </c>
      <c r="H1069" s="3">
        <v>0</v>
      </c>
      <c r="I1069" s="3">
        <v>14.65</v>
      </c>
      <c r="J1069" s="3">
        <f>Table1[[#This Row],[قيمة الفاتورة]]*0.94-Table1[[#This Row],[قيمة المشاركة]]</f>
        <v>13.770999999999999</v>
      </c>
      <c r="K1069">
        <v>13.77</v>
      </c>
      <c r="L1069" s="3">
        <f t="shared" si="16"/>
        <v>9.9999999999944578E-4</v>
      </c>
      <c r="M1069" t="s">
        <v>1945</v>
      </c>
      <c r="N1069" t="s">
        <v>19</v>
      </c>
    </row>
    <row r="1070" spans="1:14" x14ac:dyDescent="0.3">
      <c r="A1070">
        <v>896</v>
      </c>
      <c r="B1070" t="s">
        <v>519</v>
      </c>
      <c r="C1070" t="s">
        <v>520</v>
      </c>
      <c r="D1070" t="s">
        <v>2394</v>
      </c>
      <c r="E1070" t="s">
        <v>23</v>
      </c>
      <c r="F1070" t="s">
        <v>2390</v>
      </c>
      <c r="G1070" s="3">
        <v>7.67</v>
      </c>
      <c r="H1070" s="3">
        <v>0</v>
      </c>
      <c r="I1070" s="3">
        <v>7.67</v>
      </c>
      <c r="J1070" s="3">
        <f>Table1[[#This Row],[قيمة الفاتورة]]*0.94-Table1[[#This Row],[قيمة المشاركة]]</f>
        <v>7.2097999999999995</v>
      </c>
      <c r="K1070">
        <v>6.665</v>
      </c>
      <c r="L1070" s="3">
        <f t="shared" si="16"/>
        <v>0.54479999999999951</v>
      </c>
      <c r="M1070" t="s">
        <v>1945</v>
      </c>
      <c r="N1070" t="s">
        <v>19</v>
      </c>
    </row>
    <row r="1071" spans="1:14" x14ac:dyDescent="0.3">
      <c r="A1071">
        <v>897</v>
      </c>
      <c r="B1071" t="s">
        <v>1554</v>
      </c>
      <c r="C1071" t="s">
        <v>1555</v>
      </c>
      <c r="D1071" t="s">
        <v>2395</v>
      </c>
      <c r="E1071" t="s">
        <v>23</v>
      </c>
      <c r="F1071" t="s">
        <v>2390</v>
      </c>
      <c r="G1071" s="3">
        <v>24.22</v>
      </c>
      <c r="H1071" s="3">
        <v>0</v>
      </c>
      <c r="I1071" s="3">
        <v>24.22</v>
      </c>
      <c r="J1071" s="3">
        <f>Table1[[#This Row],[قيمة الفاتورة]]*0.94-Table1[[#This Row],[قيمة المشاركة]]</f>
        <v>22.766799999999996</v>
      </c>
      <c r="K1071">
        <v>22.033000000000001</v>
      </c>
      <c r="L1071" s="3">
        <f t="shared" si="16"/>
        <v>0.73379999999999512</v>
      </c>
      <c r="M1071" t="s">
        <v>1945</v>
      </c>
      <c r="N1071" t="s">
        <v>19</v>
      </c>
    </row>
    <row r="1072" spans="1:14" x14ac:dyDescent="0.3">
      <c r="A1072">
        <v>901</v>
      </c>
      <c r="B1072" t="s">
        <v>576</v>
      </c>
      <c r="C1072" t="s">
        <v>146</v>
      </c>
      <c r="D1072" t="s">
        <v>2396</v>
      </c>
      <c r="E1072" t="s">
        <v>23</v>
      </c>
      <c r="F1072" t="s">
        <v>2397</v>
      </c>
      <c r="G1072" s="3">
        <v>8.69</v>
      </c>
      <c r="H1072" s="3">
        <v>0</v>
      </c>
      <c r="I1072" s="3">
        <v>8.69</v>
      </c>
      <c r="J1072" s="3">
        <f>Table1[[#This Row],[قيمة الفاتورة]]*0.94-Table1[[#This Row],[قيمة المشاركة]]</f>
        <v>8.1685999999999996</v>
      </c>
      <c r="K1072">
        <v>8.1690000000000005</v>
      </c>
      <c r="L1072" s="3">
        <f t="shared" si="16"/>
        <v>-4.0000000000084412E-4</v>
      </c>
      <c r="M1072" t="s">
        <v>1945</v>
      </c>
      <c r="N1072" t="s">
        <v>19</v>
      </c>
    </row>
    <row r="1073" spans="1:14" x14ac:dyDescent="0.3">
      <c r="A1073">
        <v>900</v>
      </c>
      <c r="B1073" t="s">
        <v>237</v>
      </c>
      <c r="C1073" t="s">
        <v>238</v>
      </c>
      <c r="D1073" t="s">
        <v>2398</v>
      </c>
      <c r="E1073" t="s">
        <v>17</v>
      </c>
      <c r="F1073" t="s">
        <v>2397</v>
      </c>
      <c r="G1073" s="3">
        <v>11.38</v>
      </c>
      <c r="H1073" s="3">
        <v>1.7070000000000001</v>
      </c>
      <c r="I1073" s="3">
        <v>9.673</v>
      </c>
      <c r="J1073" s="3">
        <f>Table1[[#This Row],[قيمة الفاتورة]]*0.94-Table1[[#This Row],[قيمة المشاركة]]</f>
        <v>8.9901999999999997</v>
      </c>
      <c r="K1073">
        <v>8.99</v>
      </c>
      <c r="L1073" s="3">
        <f t="shared" si="16"/>
        <v>1.9999999999953388E-4</v>
      </c>
      <c r="M1073" t="s">
        <v>1945</v>
      </c>
      <c r="N1073" t="s">
        <v>19</v>
      </c>
    </row>
    <row r="1074" spans="1:14" x14ac:dyDescent="0.3">
      <c r="A1074">
        <v>904</v>
      </c>
      <c r="B1074" t="s">
        <v>1419</v>
      </c>
      <c r="C1074" t="s">
        <v>1420</v>
      </c>
      <c r="D1074" t="s">
        <v>2399</v>
      </c>
      <c r="E1074" t="s">
        <v>23</v>
      </c>
      <c r="F1074" t="s">
        <v>2397</v>
      </c>
      <c r="G1074" s="3">
        <v>11.43</v>
      </c>
      <c r="H1074" s="3">
        <v>0</v>
      </c>
      <c r="I1074" s="3">
        <v>11.43</v>
      </c>
      <c r="J1074" s="3">
        <f>Table1[[#This Row],[قيمة الفاتورة]]*0.94-Table1[[#This Row],[قيمة المشاركة]]</f>
        <v>10.744199999999999</v>
      </c>
      <c r="K1074">
        <v>10.744</v>
      </c>
      <c r="L1074" s="3">
        <f t="shared" si="16"/>
        <v>1.9999999999953388E-4</v>
      </c>
      <c r="M1074" t="s">
        <v>1945</v>
      </c>
      <c r="N1074" t="s">
        <v>19</v>
      </c>
    </row>
    <row r="1075" spans="1:14" x14ac:dyDescent="0.3">
      <c r="A1075">
        <v>905</v>
      </c>
      <c r="B1075" t="s">
        <v>2096</v>
      </c>
      <c r="C1075" t="s">
        <v>2400</v>
      </c>
      <c r="D1075" t="s">
        <v>2401</v>
      </c>
      <c r="E1075" t="s">
        <v>23</v>
      </c>
      <c r="F1075" t="s">
        <v>2397</v>
      </c>
      <c r="G1075" s="3">
        <v>11.33</v>
      </c>
      <c r="H1075" s="3">
        <v>0</v>
      </c>
      <c r="I1075" s="3">
        <v>11.33</v>
      </c>
      <c r="J1075" s="3">
        <f>Table1[[#This Row],[قيمة الفاتورة]]*0.94-Table1[[#This Row],[قيمة المشاركة]]</f>
        <v>10.6502</v>
      </c>
      <c r="K1075">
        <v>10.65</v>
      </c>
      <c r="L1075" s="3">
        <f t="shared" si="16"/>
        <v>1.9999999999953388E-4</v>
      </c>
      <c r="M1075" t="s">
        <v>1945</v>
      </c>
      <c r="N1075" t="s">
        <v>19</v>
      </c>
    </row>
    <row r="1076" spans="1:14" x14ac:dyDescent="0.3">
      <c r="A1076">
        <v>902</v>
      </c>
      <c r="B1076" t="s">
        <v>376</v>
      </c>
      <c r="C1076" t="s">
        <v>377</v>
      </c>
      <c r="D1076" t="s">
        <v>2402</v>
      </c>
      <c r="E1076" t="s">
        <v>23</v>
      </c>
      <c r="F1076" t="s">
        <v>2397</v>
      </c>
      <c r="G1076" s="3">
        <v>11.45</v>
      </c>
      <c r="H1076" s="3">
        <v>0</v>
      </c>
      <c r="I1076" s="3">
        <v>11.45</v>
      </c>
      <c r="J1076" s="3">
        <f>Table1[[#This Row],[قيمة الفاتورة]]*0.94-Table1[[#This Row],[قيمة المشاركة]]</f>
        <v>10.762999999999998</v>
      </c>
      <c r="K1076">
        <v>10.762</v>
      </c>
      <c r="L1076" s="3">
        <f t="shared" si="16"/>
        <v>9.9999999999766942E-4</v>
      </c>
      <c r="M1076" t="s">
        <v>1945</v>
      </c>
      <c r="N1076" t="s">
        <v>19</v>
      </c>
    </row>
    <row r="1077" spans="1:14" x14ac:dyDescent="0.3">
      <c r="A1077">
        <v>899</v>
      </c>
      <c r="B1077" t="s">
        <v>1067</v>
      </c>
      <c r="C1077" t="s">
        <v>412</v>
      </c>
      <c r="D1077" t="s">
        <v>2403</v>
      </c>
      <c r="E1077" t="s">
        <v>23</v>
      </c>
      <c r="F1077" t="s">
        <v>2397</v>
      </c>
      <c r="G1077" s="3">
        <v>20.84</v>
      </c>
      <c r="H1077" s="3">
        <v>0</v>
      </c>
      <c r="I1077" s="3">
        <v>20.84</v>
      </c>
      <c r="J1077" s="3">
        <f>Table1[[#This Row],[قيمة الفاتورة]]*0.94-Table1[[#This Row],[قيمة المشاركة]]</f>
        <v>19.589599999999997</v>
      </c>
      <c r="K1077">
        <v>19.552</v>
      </c>
      <c r="L1077" s="3">
        <f t="shared" si="16"/>
        <v>3.7599999999997635E-2</v>
      </c>
      <c r="M1077" t="s">
        <v>1945</v>
      </c>
      <c r="N1077" t="s">
        <v>19</v>
      </c>
    </row>
    <row r="1078" spans="1:14" x14ac:dyDescent="0.3">
      <c r="A1078">
        <v>898</v>
      </c>
      <c r="B1078" t="s">
        <v>2404</v>
      </c>
      <c r="C1078" t="s">
        <v>2405</v>
      </c>
      <c r="D1078" t="s">
        <v>2406</v>
      </c>
      <c r="E1078" t="s">
        <v>17</v>
      </c>
      <c r="F1078" t="s">
        <v>2397</v>
      </c>
      <c r="G1078" s="3">
        <v>48.26</v>
      </c>
      <c r="H1078" s="3">
        <v>9.6519999999999992</v>
      </c>
      <c r="I1078" s="3">
        <v>38.607999999999997</v>
      </c>
      <c r="J1078" s="3">
        <f>Table1[[#This Row],[قيمة الفاتورة]]*0.94-Table1[[#This Row],[قيمة المشاركة]]</f>
        <v>35.712399999999995</v>
      </c>
      <c r="K1078">
        <v>35.609000000000002</v>
      </c>
      <c r="L1078" s="3">
        <f t="shared" si="16"/>
        <v>0.1033999999999935</v>
      </c>
      <c r="M1078" t="s">
        <v>2024</v>
      </c>
      <c r="N1078" t="s">
        <v>328</v>
      </c>
    </row>
    <row r="1079" spans="1:14" x14ac:dyDescent="0.3">
      <c r="A1079">
        <v>903</v>
      </c>
      <c r="B1079" t="s">
        <v>2407</v>
      </c>
      <c r="C1079" t="s">
        <v>2408</v>
      </c>
      <c r="D1079" t="s">
        <v>2409</v>
      </c>
      <c r="E1079" t="s">
        <v>23</v>
      </c>
      <c r="F1079" t="s">
        <v>2397</v>
      </c>
      <c r="G1079" s="3">
        <v>6.98</v>
      </c>
      <c r="H1079" s="3">
        <v>0</v>
      </c>
      <c r="I1079" s="3">
        <v>6.98</v>
      </c>
      <c r="J1079" s="3">
        <f>Table1[[#This Row],[قيمة الفاتورة]]*0.94-Table1[[#This Row],[قيمة المشاركة]]</f>
        <v>6.5612000000000004</v>
      </c>
      <c r="L1079" s="3" t="str">
        <f t="shared" si="16"/>
        <v/>
      </c>
      <c r="N1079" t="s">
        <v>19</v>
      </c>
    </row>
    <row r="1080" spans="1:14" x14ac:dyDescent="0.3">
      <c r="A1080">
        <v>910</v>
      </c>
      <c r="B1080" t="s">
        <v>2410</v>
      </c>
      <c r="C1080" t="s">
        <v>2411</v>
      </c>
      <c r="D1080" t="s">
        <v>2412</v>
      </c>
      <c r="E1080" t="s">
        <v>17</v>
      </c>
      <c r="F1080" t="s">
        <v>2413</v>
      </c>
      <c r="G1080" s="3">
        <v>27.6</v>
      </c>
      <c r="H1080" s="3">
        <v>0</v>
      </c>
      <c r="I1080" s="3">
        <v>27.6</v>
      </c>
      <c r="J1080" s="3">
        <f>Table1[[#This Row],[قيمة الفاتورة]]*0.94-Table1[[#This Row],[قيمة المشاركة]]</f>
        <v>25.943999999999999</v>
      </c>
      <c r="K1080">
        <v>25.943999999999999</v>
      </c>
      <c r="L1080" s="3">
        <f t="shared" si="16"/>
        <v>0</v>
      </c>
      <c r="M1080" t="s">
        <v>1945</v>
      </c>
      <c r="N1080" t="s">
        <v>19</v>
      </c>
    </row>
    <row r="1081" spans="1:14" x14ac:dyDescent="0.3">
      <c r="A1081">
        <v>908</v>
      </c>
      <c r="B1081" t="s">
        <v>1779</v>
      </c>
      <c r="C1081" t="s">
        <v>663</v>
      </c>
      <c r="D1081" t="s">
        <v>2414</v>
      </c>
      <c r="E1081" t="s">
        <v>17</v>
      </c>
      <c r="F1081" t="s">
        <v>2413</v>
      </c>
      <c r="G1081" s="3">
        <v>32.479999999999997</v>
      </c>
      <c r="H1081" s="3">
        <v>0</v>
      </c>
      <c r="I1081" s="3">
        <v>32.479999999999997</v>
      </c>
      <c r="J1081" s="3">
        <f>Table1[[#This Row],[قيمة الفاتورة]]*0.94-Table1[[#This Row],[قيمة المشاركة]]</f>
        <v>30.531199999999995</v>
      </c>
      <c r="K1081">
        <v>30.530999999999999</v>
      </c>
      <c r="L1081" s="3">
        <f t="shared" si="16"/>
        <v>1.9999999999598117E-4</v>
      </c>
      <c r="M1081" t="s">
        <v>1945</v>
      </c>
      <c r="N1081" t="s">
        <v>19</v>
      </c>
    </row>
    <row r="1082" spans="1:14" x14ac:dyDescent="0.3">
      <c r="A1082">
        <v>907</v>
      </c>
      <c r="B1082" t="s">
        <v>581</v>
      </c>
      <c r="C1082" t="s">
        <v>582</v>
      </c>
      <c r="D1082" t="s">
        <v>2415</v>
      </c>
      <c r="E1082" t="s">
        <v>23</v>
      </c>
      <c r="F1082" t="s">
        <v>2413</v>
      </c>
      <c r="G1082" s="3">
        <v>32.479999999999997</v>
      </c>
      <c r="H1082" s="3">
        <v>0</v>
      </c>
      <c r="I1082" s="3">
        <v>32.479999999999997</v>
      </c>
      <c r="J1082" s="3">
        <f>Table1[[#This Row],[قيمة الفاتورة]]*0.94-Table1[[#This Row],[قيمة المشاركة]]</f>
        <v>30.531199999999995</v>
      </c>
      <c r="K1082">
        <v>30.530999999999999</v>
      </c>
      <c r="L1082" s="3">
        <f t="shared" si="16"/>
        <v>1.9999999999598117E-4</v>
      </c>
      <c r="M1082" t="s">
        <v>1945</v>
      </c>
      <c r="N1082" t="s">
        <v>19</v>
      </c>
    </row>
    <row r="1083" spans="1:14" x14ac:dyDescent="0.3">
      <c r="A1083">
        <v>909</v>
      </c>
      <c r="B1083" t="s">
        <v>917</v>
      </c>
      <c r="C1083" t="s">
        <v>918</v>
      </c>
      <c r="D1083" t="s">
        <v>2416</v>
      </c>
      <c r="E1083" t="s">
        <v>23</v>
      </c>
      <c r="F1083" t="s">
        <v>2413</v>
      </c>
      <c r="G1083" s="3">
        <v>33.61</v>
      </c>
      <c r="H1083" s="3">
        <v>0</v>
      </c>
      <c r="I1083" s="3">
        <v>33.61</v>
      </c>
      <c r="J1083" s="3">
        <f>Table1[[#This Row],[قيمة الفاتورة]]*0.94-Table1[[#This Row],[قيمة المشاركة]]</f>
        <v>31.593399999999999</v>
      </c>
      <c r="K1083">
        <v>31.593</v>
      </c>
      <c r="L1083" s="3">
        <f t="shared" si="16"/>
        <v>3.9999999999906777E-4</v>
      </c>
      <c r="M1083" t="s">
        <v>1945</v>
      </c>
      <c r="N1083" t="s">
        <v>19</v>
      </c>
    </row>
    <row r="1084" spans="1:14" x14ac:dyDescent="0.3">
      <c r="A1084">
        <v>913</v>
      </c>
      <c r="B1084" t="s">
        <v>1414</v>
      </c>
      <c r="C1084" t="s">
        <v>354</v>
      </c>
      <c r="D1084" t="s">
        <v>2417</v>
      </c>
      <c r="E1084" t="s">
        <v>17</v>
      </c>
      <c r="F1084" t="s">
        <v>2413</v>
      </c>
      <c r="G1084" s="3">
        <v>68.56</v>
      </c>
      <c r="H1084" s="3">
        <v>0</v>
      </c>
      <c r="I1084" s="3">
        <v>68.56</v>
      </c>
      <c r="J1084" s="3">
        <f>Table1[[#This Row],[قيمة الفاتورة]]*0.94-Table1[[#This Row],[قيمة المشاركة]]</f>
        <v>64.446399999999997</v>
      </c>
      <c r="K1084">
        <v>64.445999999999998</v>
      </c>
      <c r="L1084" s="3">
        <f t="shared" si="16"/>
        <v>3.9999999999906777E-4</v>
      </c>
      <c r="M1084" t="s">
        <v>1945</v>
      </c>
      <c r="N1084" t="s">
        <v>19</v>
      </c>
    </row>
    <row r="1085" spans="1:14" x14ac:dyDescent="0.3">
      <c r="A1085">
        <v>906</v>
      </c>
      <c r="B1085" t="s">
        <v>2418</v>
      </c>
      <c r="C1085" t="s">
        <v>2419</v>
      </c>
      <c r="D1085" t="s">
        <v>2420</v>
      </c>
      <c r="E1085" t="s">
        <v>17</v>
      </c>
      <c r="F1085" t="s">
        <v>2413</v>
      </c>
      <c r="G1085" s="3">
        <v>9.09</v>
      </c>
      <c r="H1085" s="3">
        <v>0</v>
      </c>
      <c r="I1085" s="3">
        <v>9.09</v>
      </c>
      <c r="J1085" s="3">
        <f>Table1[[#This Row],[قيمة الفاتورة]]*0.94-Table1[[#This Row],[قيمة المشاركة]]</f>
        <v>8.5445999999999991</v>
      </c>
      <c r="K1085">
        <v>8.5350000000000001</v>
      </c>
      <c r="L1085" s="3">
        <f t="shared" si="16"/>
        <v>9.5999999999989427E-3</v>
      </c>
      <c r="M1085" t="s">
        <v>1945</v>
      </c>
      <c r="N1085" t="s">
        <v>19</v>
      </c>
    </row>
    <row r="1086" spans="1:14" x14ac:dyDescent="0.3">
      <c r="A1086">
        <v>912</v>
      </c>
      <c r="B1086" t="s">
        <v>2421</v>
      </c>
      <c r="C1086" t="s">
        <v>2422</v>
      </c>
      <c r="D1086" t="s">
        <v>2423</v>
      </c>
      <c r="E1086" t="s">
        <v>23</v>
      </c>
      <c r="F1086" t="s">
        <v>2413</v>
      </c>
      <c r="G1086" s="3">
        <v>3.33</v>
      </c>
      <c r="H1086" s="3">
        <v>0</v>
      </c>
      <c r="I1086" s="3">
        <v>3.33</v>
      </c>
      <c r="J1086" s="3">
        <f>Table1[[#This Row],[قيمة الفاتورة]]*0.94-Table1[[#This Row],[قيمة المشاركة]]</f>
        <v>3.1301999999999999</v>
      </c>
      <c r="K1086">
        <v>3.0270000000000001</v>
      </c>
      <c r="L1086" s="3">
        <f t="shared" si="16"/>
        <v>0.10319999999999974</v>
      </c>
      <c r="M1086" t="s">
        <v>1945</v>
      </c>
      <c r="N1086" t="s">
        <v>19</v>
      </c>
    </row>
    <row r="1087" spans="1:14" x14ac:dyDescent="0.3">
      <c r="A1087">
        <v>911</v>
      </c>
      <c r="B1087" t="s">
        <v>2424</v>
      </c>
      <c r="C1087" t="s">
        <v>2425</v>
      </c>
      <c r="D1087" t="s">
        <v>2426</v>
      </c>
      <c r="E1087" t="s">
        <v>23</v>
      </c>
      <c r="F1087" t="s">
        <v>2413</v>
      </c>
      <c r="G1087" s="3">
        <v>30.99</v>
      </c>
      <c r="H1087" s="3">
        <v>0</v>
      </c>
      <c r="I1087" s="3">
        <v>30.99</v>
      </c>
      <c r="J1087" s="3">
        <f>Table1[[#This Row],[قيمة الفاتورة]]*0.94-Table1[[#This Row],[قيمة المشاركة]]</f>
        <v>29.130599999999998</v>
      </c>
      <c r="K1087">
        <v>28.998999999999999</v>
      </c>
      <c r="L1087" s="3">
        <f t="shared" si="16"/>
        <v>0.13159999999999883</v>
      </c>
      <c r="M1087" t="s">
        <v>1945</v>
      </c>
      <c r="N1087" t="s">
        <v>19</v>
      </c>
    </row>
    <row r="1088" spans="1:14" x14ac:dyDescent="0.3">
      <c r="A1088">
        <v>914</v>
      </c>
      <c r="B1088" t="s">
        <v>1680</v>
      </c>
      <c r="C1088" t="s">
        <v>1681</v>
      </c>
      <c r="D1088" t="s">
        <v>2427</v>
      </c>
      <c r="E1088" t="s">
        <v>17</v>
      </c>
      <c r="F1088" t="s">
        <v>2413</v>
      </c>
      <c r="G1088" s="3">
        <v>30.6</v>
      </c>
      <c r="H1088" s="3">
        <v>0</v>
      </c>
      <c r="I1088" s="3">
        <v>30.6</v>
      </c>
      <c r="J1088" s="3">
        <f>Table1[[#This Row],[قيمة الفاتورة]]*0.94-Table1[[#This Row],[قيمة المشاركة]]</f>
        <v>28.763999999999999</v>
      </c>
      <c r="K1088">
        <v>28.03</v>
      </c>
      <c r="L1088" s="3">
        <f t="shared" si="16"/>
        <v>0.73399999999999821</v>
      </c>
      <c r="M1088" t="s">
        <v>1945</v>
      </c>
      <c r="N1088" t="s">
        <v>19</v>
      </c>
    </row>
    <row r="1089" spans="1:14" x14ac:dyDescent="0.3">
      <c r="A1089">
        <v>923</v>
      </c>
      <c r="B1089" t="s">
        <v>346</v>
      </c>
      <c r="C1089" t="s">
        <v>347</v>
      </c>
      <c r="D1089" t="s">
        <v>2428</v>
      </c>
      <c r="E1089" t="s">
        <v>23</v>
      </c>
      <c r="F1089" t="s">
        <v>2429</v>
      </c>
      <c r="G1089" s="3">
        <v>25.78</v>
      </c>
      <c r="H1089" s="3">
        <v>0</v>
      </c>
      <c r="I1089" s="3">
        <v>25.78</v>
      </c>
      <c r="J1089" s="3">
        <f>Table1[[#This Row],[قيمة الفاتورة]]*0.94-Table1[[#This Row],[قيمة المشاركة]]</f>
        <v>24.2332</v>
      </c>
      <c r="K1089">
        <v>24.234000000000002</v>
      </c>
      <c r="L1089" s="3">
        <f t="shared" si="16"/>
        <v>-8.0000000000168825E-4</v>
      </c>
      <c r="M1089" t="s">
        <v>1945</v>
      </c>
      <c r="N1089" t="s">
        <v>19</v>
      </c>
    </row>
    <row r="1090" spans="1:14" x14ac:dyDescent="0.3">
      <c r="A1090">
        <v>916</v>
      </c>
      <c r="B1090" t="s">
        <v>1750</v>
      </c>
      <c r="C1090" t="s">
        <v>354</v>
      </c>
      <c r="D1090" t="s">
        <v>2430</v>
      </c>
      <c r="E1090" t="s">
        <v>23</v>
      </c>
      <c r="F1090" t="s">
        <v>2429</v>
      </c>
      <c r="G1090" s="3">
        <v>9.58</v>
      </c>
      <c r="H1090" s="3">
        <v>0</v>
      </c>
      <c r="I1090" s="3">
        <v>9.58</v>
      </c>
      <c r="J1090" s="3">
        <f>Table1[[#This Row],[قيمة الفاتورة]]*0.94-Table1[[#This Row],[قيمة المشاركة]]</f>
        <v>9.0052000000000003</v>
      </c>
      <c r="K1090">
        <v>9.0060000000000002</v>
      </c>
      <c r="L1090" s="3">
        <f t="shared" ref="L1090:L1153" si="17">IF(ISNUMBER(K1090), J1090-K1090, "")</f>
        <v>-7.9999999999991189E-4</v>
      </c>
      <c r="M1090" t="s">
        <v>1945</v>
      </c>
      <c r="N1090" t="s">
        <v>19</v>
      </c>
    </row>
    <row r="1091" spans="1:14" x14ac:dyDescent="0.3">
      <c r="A1091">
        <v>919</v>
      </c>
      <c r="B1091" t="s">
        <v>1256</v>
      </c>
      <c r="C1091" t="s">
        <v>2131</v>
      </c>
      <c r="D1091" t="s">
        <v>2431</v>
      </c>
      <c r="E1091" t="s">
        <v>23</v>
      </c>
      <c r="F1091" t="s">
        <v>2429</v>
      </c>
      <c r="G1091" s="3">
        <v>17.309999999999999</v>
      </c>
      <c r="H1091" s="3">
        <v>0</v>
      </c>
      <c r="I1091" s="3">
        <v>17.309999999999999</v>
      </c>
      <c r="J1091" s="3">
        <f>Table1[[#This Row],[قيمة الفاتورة]]*0.94-Table1[[#This Row],[قيمة المشاركة]]</f>
        <v>16.271399999999996</v>
      </c>
      <c r="K1091">
        <v>16.271999999999998</v>
      </c>
      <c r="L1091" s="3">
        <f t="shared" si="17"/>
        <v>-6.0000000000215437E-4</v>
      </c>
      <c r="M1091" t="s">
        <v>1945</v>
      </c>
      <c r="N1091" t="s">
        <v>19</v>
      </c>
    </row>
    <row r="1092" spans="1:14" x14ac:dyDescent="0.3">
      <c r="A1092">
        <v>915</v>
      </c>
      <c r="B1092" t="s">
        <v>2432</v>
      </c>
      <c r="C1092" t="s">
        <v>2433</v>
      </c>
      <c r="D1092" t="s">
        <v>2434</v>
      </c>
      <c r="E1092" t="s">
        <v>17</v>
      </c>
      <c r="F1092" t="s">
        <v>2429</v>
      </c>
      <c r="G1092" s="3">
        <v>12.6</v>
      </c>
      <c r="H1092" s="3">
        <v>0</v>
      </c>
      <c r="I1092" s="3">
        <v>12.6</v>
      </c>
      <c r="J1092" s="3">
        <f>Table1[[#This Row],[قيمة الفاتورة]]*0.94-Table1[[#This Row],[قيمة المشاركة]]</f>
        <v>11.843999999999999</v>
      </c>
      <c r="K1092">
        <v>11.843999999999999</v>
      </c>
      <c r="L1092" s="3">
        <f t="shared" si="17"/>
        <v>0</v>
      </c>
      <c r="M1092" t="s">
        <v>1945</v>
      </c>
      <c r="N1092" t="s">
        <v>19</v>
      </c>
    </row>
    <row r="1093" spans="1:14" x14ac:dyDescent="0.3">
      <c r="A1093">
        <v>918</v>
      </c>
      <c r="B1093" t="s">
        <v>385</v>
      </c>
      <c r="C1093" t="s">
        <v>743</v>
      </c>
      <c r="D1093" t="s">
        <v>2435</v>
      </c>
      <c r="E1093" t="s">
        <v>17</v>
      </c>
      <c r="F1093" t="s">
        <v>2429</v>
      </c>
      <c r="G1093" s="3">
        <v>31.8</v>
      </c>
      <c r="H1093" s="3">
        <v>0</v>
      </c>
      <c r="I1093" s="3">
        <v>31.8</v>
      </c>
      <c r="J1093" s="3">
        <f>Table1[[#This Row],[قيمة الفاتورة]]*0.94-Table1[[#This Row],[قيمة المشاركة]]</f>
        <v>29.891999999999999</v>
      </c>
      <c r="K1093">
        <v>29.891999999999999</v>
      </c>
      <c r="L1093" s="3">
        <f t="shared" si="17"/>
        <v>0</v>
      </c>
      <c r="M1093" t="s">
        <v>1945</v>
      </c>
      <c r="N1093" t="s">
        <v>19</v>
      </c>
    </row>
    <row r="1094" spans="1:14" x14ac:dyDescent="0.3">
      <c r="A1094">
        <v>177</v>
      </c>
      <c r="B1094" t="s">
        <v>2436</v>
      </c>
      <c r="C1094" t="s">
        <v>2437</v>
      </c>
      <c r="D1094" t="s">
        <v>2438</v>
      </c>
      <c r="E1094" t="s">
        <v>23</v>
      </c>
      <c r="F1094" t="s">
        <v>2429</v>
      </c>
      <c r="G1094" s="3">
        <v>9.01</v>
      </c>
      <c r="H1094" s="3">
        <v>0</v>
      </c>
      <c r="I1094" s="3">
        <v>9.01</v>
      </c>
      <c r="J1094" s="3">
        <f>Table1[[#This Row],[قيمة الفاتورة]]*0.94-Table1[[#This Row],[قيمة المشاركة]]</f>
        <v>8.4693999999999985</v>
      </c>
      <c r="K1094">
        <v>8.4689999999999994</v>
      </c>
      <c r="L1094" s="3">
        <f t="shared" si="17"/>
        <v>3.9999999999906777E-4</v>
      </c>
      <c r="M1094" t="s">
        <v>1945</v>
      </c>
      <c r="N1094" t="s">
        <v>19</v>
      </c>
    </row>
    <row r="1095" spans="1:14" x14ac:dyDescent="0.3">
      <c r="A1095">
        <v>920</v>
      </c>
      <c r="B1095" t="s">
        <v>720</v>
      </c>
      <c r="C1095" t="s">
        <v>721</v>
      </c>
      <c r="D1095" t="s">
        <v>2439</v>
      </c>
      <c r="E1095" t="s">
        <v>17</v>
      </c>
      <c r="F1095" t="s">
        <v>2429</v>
      </c>
      <c r="G1095" s="3">
        <v>25.04</v>
      </c>
      <c r="H1095" s="3">
        <v>0</v>
      </c>
      <c r="I1095" s="3">
        <v>25.04</v>
      </c>
      <c r="J1095" s="3">
        <f>Table1[[#This Row],[قيمة الفاتورة]]*0.94-Table1[[#This Row],[قيمة المشاركة]]</f>
        <v>23.537599999999998</v>
      </c>
      <c r="K1095">
        <v>23.536999999999999</v>
      </c>
      <c r="L1095" s="3">
        <f t="shared" si="17"/>
        <v>5.9999999999860165E-4</v>
      </c>
      <c r="M1095" t="s">
        <v>1945</v>
      </c>
      <c r="N1095" t="s">
        <v>19</v>
      </c>
    </row>
    <row r="1096" spans="1:14" x14ac:dyDescent="0.3">
      <c r="A1096">
        <v>176</v>
      </c>
      <c r="B1096" t="s">
        <v>696</v>
      </c>
      <c r="C1096" t="s">
        <v>697</v>
      </c>
      <c r="D1096" t="s">
        <v>2440</v>
      </c>
      <c r="E1096" t="s">
        <v>17</v>
      </c>
      <c r="F1096" t="s">
        <v>2429</v>
      </c>
      <c r="G1096" s="3">
        <v>9.89</v>
      </c>
      <c r="H1096" s="3">
        <v>0</v>
      </c>
      <c r="I1096" s="3">
        <v>9.89</v>
      </c>
      <c r="J1096" s="3">
        <f>Table1[[#This Row],[قيمة الفاتورة]]*0.94-Table1[[#This Row],[قيمة المشاركة]]</f>
        <v>9.2965999999999998</v>
      </c>
      <c r="K1096">
        <v>9.2959999999999994</v>
      </c>
      <c r="L1096" s="3">
        <f t="shared" si="17"/>
        <v>6.0000000000037801E-4</v>
      </c>
      <c r="M1096" t="s">
        <v>1945</v>
      </c>
      <c r="N1096" t="s">
        <v>19</v>
      </c>
    </row>
    <row r="1097" spans="1:14" x14ac:dyDescent="0.3">
      <c r="A1097">
        <v>917</v>
      </c>
      <c r="B1097" t="s">
        <v>1315</v>
      </c>
      <c r="C1097" t="s">
        <v>1316</v>
      </c>
      <c r="D1097" t="s">
        <v>2441</v>
      </c>
      <c r="E1097" t="s">
        <v>17</v>
      </c>
      <c r="F1097" t="s">
        <v>2429</v>
      </c>
      <c r="G1097" s="3">
        <v>9.6170000000000009</v>
      </c>
      <c r="H1097" s="3">
        <v>0</v>
      </c>
      <c r="I1097" s="3">
        <v>9.6170000000000009</v>
      </c>
      <c r="J1097" s="3">
        <f>Table1[[#This Row],[قيمة الفاتورة]]*0.94-Table1[[#This Row],[قيمة المشاركة]]</f>
        <v>9.0399799999999999</v>
      </c>
      <c r="K1097">
        <v>9.0389999999999997</v>
      </c>
      <c r="L1097" s="3">
        <f t="shared" si="17"/>
        <v>9.8000000000020293E-4</v>
      </c>
      <c r="M1097" t="s">
        <v>1945</v>
      </c>
      <c r="N1097" t="s">
        <v>19</v>
      </c>
    </row>
    <row r="1098" spans="1:14" x14ac:dyDescent="0.3">
      <c r="A1098">
        <v>174</v>
      </c>
      <c r="B1098" t="s">
        <v>61</v>
      </c>
      <c r="C1098" t="s">
        <v>62</v>
      </c>
      <c r="D1098" t="s">
        <v>2442</v>
      </c>
      <c r="E1098" t="s">
        <v>23</v>
      </c>
      <c r="F1098" t="s">
        <v>2429</v>
      </c>
      <c r="G1098" s="3">
        <v>10.38</v>
      </c>
      <c r="H1098" s="3">
        <v>1.5569999999999999</v>
      </c>
      <c r="I1098" s="3">
        <v>8.8230000000000004</v>
      </c>
      <c r="J1098" s="3">
        <f>Table1[[#This Row],[قيمة الفاتورة]]*0.94-Table1[[#This Row],[قيمة المشاركة]]</f>
        <v>8.2002000000000006</v>
      </c>
      <c r="K1098">
        <v>8.1989999999999998</v>
      </c>
      <c r="L1098" s="3">
        <f t="shared" si="17"/>
        <v>1.200000000000756E-3</v>
      </c>
      <c r="M1098" t="s">
        <v>1945</v>
      </c>
      <c r="N1098" t="s">
        <v>19</v>
      </c>
    </row>
    <row r="1099" spans="1:14" x14ac:dyDescent="0.3">
      <c r="A1099">
        <v>175</v>
      </c>
      <c r="B1099" t="s">
        <v>2443</v>
      </c>
      <c r="C1099" t="s">
        <v>2444</v>
      </c>
      <c r="D1099" t="s">
        <v>2445</v>
      </c>
      <c r="E1099" t="s">
        <v>23</v>
      </c>
      <c r="F1099" t="s">
        <v>2429</v>
      </c>
      <c r="G1099" s="3">
        <v>11.61</v>
      </c>
      <c r="H1099" s="3">
        <v>1.161</v>
      </c>
      <c r="I1099" s="3">
        <v>10.449</v>
      </c>
      <c r="J1099" s="3">
        <f>Table1[[#This Row],[قيمة الفاتورة]]*0.94-Table1[[#This Row],[قيمة المشاركة]]</f>
        <v>9.7523999999999997</v>
      </c>
      <c r="K1099">
        <v>9.7509999999999994</v>
      </c>
      <c r="L1099" s="3">
        <f t="shared" si="17"/>
        <v>1.4000000000002899E-3</v>
      </c>
      <c r="M1099" t="s">
        <v>2024</v>
      </c>
      <c r="N1099" t="s">
        <v>328</v>
      </c>
    </row>
    <row r="1100" spans="1:14" x14ac:dyDescent="0.3">
      <c r="A1100">
        <v>922</v>
      </c>
      <c r="B1100" t="s">
        <v>2446</v>
      </c>
      <c r="C1100" t="s">
        <v>2447</v>
      </c>
      <c r="D1100" t="s">
        <v>2448</v>
      </c>
      <c r="E1100" t="s">
        <v>23</v>
      </c>
      <c r="F1100" t="s">
        <v>2429</v>
      </c>
      <c r="G1100" s="3">
        <v>5.6449999999999996</v>
      </c>
      <c r="H1100" s="3">
        <v>0</v>
      </c>
      <c r="I1100" s="3">
        <v>5.6449999999999996</v>
      </c>
      <c r="J1100" s="3">
        <f>Table1[[#This Row],[قيمة الفاتورة]]*0.94-Table1[[#This Row],[قيمة المشاركة]]</f>
        <v>5.3062999999999994</v>
      </c>
      <c r="K1100">
        <v>5.3019999999999996</v>
      </c>
      <c r="L1100" s="3">
        <f t="shared" si="17"/>
        <v>4.2999999999997485E-3</v>
      </c>
      <c r="M1100" t="s">
        <v>1945</v>
      </c>
      <c r="N1100" t="s">
        <v>19</v>
      </c>
    </row>
    <row r="1101" spans="1:14" x14ac:dyDescent="0.3">
      <c r="A1101">
        <v>921</v>
      </c>
      <c r="B1101" t="s">
        <v>432</v>
      </c>
      <c r="C1101" t="s">
        <v>2449</v>
      </c>
      <c r="D1101" t="s">
        <v>2450</v>
      </c>
      <c r="E1101" t="s">
        <v>23</v>
      </c>
      <c r="F1101" t="s">
        <v>2429</v>
      </c>
      <c r="G1101" s="3">
        <v>10.18</v>
      </c>
      <c r="H1101" s="3">
        <v>1.018</v>
      </c>
      <c r="I1101" s="3">
        <v>9.1620000000000008</v>
      </c>
      <c r="J1101" s="3">
        <f>Table1[[#This Row],[قيمة الفاتورة]]*0.94-Table1[[#This Row],[قيمة المشاركة]]</f>
        <v>8.5511999999999979</v>
      </c>
      <c r="K1101">
        <v>8.3840000000000003</v>
      </c>
      <c r="L1101" s="3">
        <f t="shared" si="17"/>
        <v>0.16719999999999757</v>
      </c>
      <c r="M1101" t="s">
        <v>2357</v>
      </c>
      <c r="N1101" t="s">
        <v>126</v>
      </c>
    </row>
    <row r="1102" spans="1:14" x14ac:dyDescent="0.3">
      <c r="A1102">
        <v>925</v>
      </c>
      <c r="B1102" t="s">
        <v>2451</v>
      </c>
      <c r="C1102" t="s">
        <v>2452</v>
      </c>
      <c r="D1102" t="s">
        <v>2453</v>
      </c>
      <c r="E1102" t="s">
        <v>23</v>
      </c>
      <c r="F1102" t="s">
        <v>2454</v>
      </c>
      <c r="G1102" s="3">
        <v>14.23</v>
      </c>
      <c r="H1102" s="3">
        <v>0</v>
      </c>
      <c r="I1102" s="3">
        <v>14.23</v>
      </c>
      <c r="J1102" s="3">
        <f>Table1[[#This Row],[قيمة الفاتورة]]*0.94-Table1[[#This Row],[قيمة المشاركة]]</f>
        <v>13.376199999999999</v>
      </c>
      <c r="K1102">
        <v>13.377000000000001</v>
      </c>
      <c r="L1102" s="3">
        <f t="shared" si="17"/>
        <v>-8.0000000000168825E-4</v>
      </c>
      <c r="M1102" t="s">
        <v>1945</v>
      </c>
      <c r="N1102" t="s">
        <v>19</v>
      </c>
    </row>
    <row r="1103" spans="1:14" x14ac:dyDescent="0.3">
      <c r="A1103">
        <v>924</v>
      </c>
      <c r="B1103" t="s">
        <v>806</v>
      </c>
      <c r="C1103" t="s">
        <v>807</v>
      </c>
      <c r="D1103" t="s">
        <v>2455</v>
      </c>
      <c r="E1103" t="s">
        <v>23</v>
      </c>
      <c r="F1103" t="s">
        <v>2454</v>
      </c>
      <c r="G1103" s="3">
        <v>20.37</v>
      </c>
      <c r="H1103" s="3">
        <v>0</v>
      </c>
      <c r="I1103" s="3">
        <v>20.37</v>
      </c>
      <c r="J1103" s="3">
        <f>Table1[[#This Row],[قيمة الفاتورة]]*0.94-Table1[[#This Row],[قيمة المشاركة]]</f>
        <v>19.1478</v>
      </c>
      <c r="K1103">
        <v>19.146999999999998</v>
      </c>
      <c r="L1103" s="3">
        <f t="shared" si="17"/>
        <v>8.0000000000168825E-4</v>
      </c>
      <c r="M1103" t="s">
        <v>1945</v>
      </c>
      <c r="N1103" t="s">
        <v>19</v>
      </c>
    </row>
    <row r="1104" spans="1:14" x14ac:dyDescent="0.3">
      <c r="A1104">
        <v>926</v>
      </c>
      <c r="B1104" t="s">
        <v>648</v>
      </c>
      <c r="C1104" t="s">
        <v>649</v>
      </c>
      <c r="D1104" t="s">
        <v>2456</v>
      </c>
      <c r="E1104" t="s">
        <v>17</v>
      </c>
      <c r="F1104" t="s">
        <v>2454</v>
      </c>
      <c r="G1104" s="3">
        <v>5.57</v>
      </c>
      <c r="H1104" s="3">
        <v>0</v>
      </c>
      <c r="I1104" s="3">
        <v>5.57</v>
      </c>
      <c r="J1104" s="3">
        <f>Table1[[#This Row],[قيمة الفاتورة]]*0.94-Table1[[#This Row],[قيمة المشاركة]]</f>
        <v>5.2358000000000002</v>
      </c>
      <c r="L1104" s="3" t="str">
        <f t="shared" si="17"/>
        <v/>
      </c>
      <c r="N1104" t="s">
        <v>19</v>
      </c>
    </row>
    <row r="1105" spans="1:14" x14ac:dyDescent="0.3">
      <c r="A1105">
        <v>178</v>
      </c>
      <c r="B1105" t="s">
        <v>648</v>
      </c>
      <c r="C1105" t="s">
        <v>649</v>
      </c>
      <c r="D1105" t="s">
        <v>2456</v>
      </c>
      <c r="E1105" t="s">
        <v>17</v>
      </c>
      <c r="F1105" t="s">
        <v>2454</v>
      </c>
      <c r="G1105" s="3">
        <v>29.82</v>
      </c>
      <c r="H1105" s="3">
        <v>0</v>
      </c>
      <c r="I1105" s="3">
        <v>29.82</v>
      </c>
      <c r="J1105" s="3">
        <f>Table1[[#This Row],[قيمة الفاتورة]]*0.94-Table1[[#This Row],[قيمة المشاركة]]</f>
        <v>28.030799999999999</v>
      </c>
      <c r="L1105" s="3" t="str">
        <f t="shared" si="17"/>
        <v/>
      </c>
      <c r="N1105" t="s">
        <v>19</v>
      </c>
    </row>
    <row r="1106" spans="1:14" x14ac:dyDescent="0.3">
      <c r="A1106">
        <v>928</v>
      </c>
      <c r="B1106" t="s">
        <v>1750</v>
      </c>
      <c r="C1106" t="s">
        <v>354</v>
      </c>
      <c r="D1106" t="s">
        <v>2457</v>
      </c>
      <c r="E1106" t="s">
        <v>23</v>
      </c>
      <c r="F1106" t="s">
        <v>2454</v>
      </c>
      <c r="G1106" s="3">
        <v>3.53</v>
      </c>
      <c r="H1106" s="3">
        <v>0</v>
      </c>
      <c r="I1106" s="3">
        <v>3.53</v>
      </c>
      <c r="J1106" s="3">
        <f>Table1[[#This Row],[قيمة الفاتورة]]*0.94-Table1[[#This Row],[قيمة المشاركة]]</f>
        <v>3.3181999999999996</v>
      </c>
      <c r="L1106" s="3" t="str">
        <f t="shared" si="17"/>
        <v/>
      </c>
      <c r="N1106" t="s">
        <v>19</v>
      </c>
    </row>
    <row r="1107" spans="1:14" x14ac:dyDescent="0.3">
      <c r="A1107">
        <v>927</v>
      </c>
      <c r="B1107" t="s">
        <v>537</v>
      </c>
      <c r="C1107" t="s">
        <v>448</v>
      </c>
      <c r="D1107" t="s">
        <v>2458</v>
      </c>
      <c r="E1107" t="s">
        <v>17</v>
      </c>
      <c r="F1107" t="s">
        <v>2454</v>
      </c>
      <c r="G1107" s="3">
        <v>27.74</v>
      </c>
      <c r="H1107" s="3">
        <v>0</v>
      </c>
      <c r="I1107" s="3">
        <v>27.74</v>
      </c>
      <c r="J1107" s="3">
        <f>Table1[[#This Row],[قيمة الفاتورة]]*0.94-Table1[[#This Row],[قيمة المشاركة]]</f>
        <v>26.075599999999998</v>
      </c>
      <c r="L1107" s="3" t="str">
        <f t="shared" si="17"/>
        <v/>
      </c>
      <c r="N1107" t="s">
        <v>19</v>
      </c>
    </row>
    <row r="1108" spans="1:14" x14ac:dyDescent="0.3">
      <c r="A1108">
        <v>179</v>
      </c>
      <c r="B1108" t="s">
        <v>537</v>
      </c>
      <c r="C1108" t="s">
        <v>2459</v>
      </c>
      <c r="D1108" t="s">
        <v>2460</v>
      </c>
      <c r="E1108" t="s">
        <v>23</v>
      </c>
      <c r="F1108" t="s">
        <v>2454</v>
      </c>
      <c r="G1108" s="3">
        <v>25.34</v>
      </c>
      <c r="H1108" s="3">
        <v>0</v>
      </c>
      <c r="I1108" s="3">
        <v>25.34</v>
      </c>
      <c r="J1108" s="3">
        <f>Table1[[#This Row],[قيمة الفاتورة]]*0.94-Table1[[#This Row],[قيمة المشاركة]]</f>
        <v>23.819599999999998</v>
      </c>
      <c r="L1108" s="3" t="str">
        <f t="shared" si="17"/>
        <v/>
      </c>
      <c r="N1108" t="s">
        <v>19</v>
      </c>
    </row>
    <row r="1109" spans="1:14" x14ac:dyDescent="0.3">
      <c r="A1109">
        <v>931</v>
      </c>
      <c r="B1109" t="s">
        <v>1338</v>
      </c>
      <c r="C1109" t="s">
        <v>2461</v>
      </c>
      <c r="D1109" t="s">
        <v>2462</v>
      </c>
      <c r="E1109" t="s">
        <v>17</v>
      </c>
      <c r="F1109" t="s">
        <v>2463</v>
      </c>
      <c r="G1109" s="3">
        <v>19.600000000000001</v>
      </c>
      <c r="H1109" s="3">
        <v>0</v>
      </c>
      <c r="I1109" s="3">
        <v>19.600000000000001</v>
      </c>
      <c r="J1109" s="3">
        <f>Table1[[#This Row],[قيمة الفاتورة]]*0.94-Table1[[#This Row],[قيمة المشاركة]]</f>
        <v>18.423999999999999</v>
      </c>
      <c r="L1109" s="3" t="str">
        <f t="shared" si="17"/>
        <v/>
      </c>
      <c r="N1109" t="s">
        <v>19</v>
      </c>
    </row>
    <row r="1110" spans="1:14" x14ac:dyDescent="0.3">
      <c r="A1110">
        <v>934</v>
      </c>
      <c r="B1110" t="s">
        <v>652</v>
      </c>
      <c r="C1110" t="s">
        <v>2464</v>
      </c>
      <c r="D1110" t="s">
        <v>2465</v>
      </c>
      <c r="E1110" t="s">
        <v>17</v>
      </c>
      <c r="F1110" t="s">
        <v>2463</v>
      </c>
      <c r="G1110" s="3">
        <v>31.29</v>
      </c>
      <c r="H1110" s="3">
        <v>0</v>
      </c>
      <c r="I1110" s="3">
        <v>31.29</v>
      </c>
      <c r="J1110" s="3">
        <f>Table1[[#This Row],[قيمة الفاتورة]]*0.94-Table1[[#This Row],[قيمة المشاركة]]</f>
        <v>29.412599999999998</v>
      </c>
      <c r="L1110" s="3" t="str">
        <f t="shared" si="17"/>
        <v/>
      </c>
      <c r="N1110" t="s">
        <v>19</v>
      </c>
    </row>
    <row r="1111" spans="1:14" x14ac:dyDescent="0.3">
      <c r="A1111">
        <v>930</v>
      </c>
      <c r="B1111" t="s">
        <v>29</v>
      </c>
      <c r="C1111" t="s">
        <v>30</v>
      </c>
      <c r="D1111" t="s">
        <v>2466</v>
      </c>
      <c r="E1111" t="s">
        <v>23</v>
      </c>
      <c r="F1111" t="s">
        <v>2463</v>
      </c>
      <c r="G1111" s="3">
        <v>6.7</v>
      </c>
      <c r="H1111" s="3">
        <v>0</v>
      </c>
      <c r="I1111" s="3">
        <v>6.7</v>
      </c>
      <c r="J1111" s="3">
        <f>Table1[[#This Row],[قيمة الفاتورة]]*0.94-Table1[[#This Row],[قيمة المشاركة]]</f>
        <v>6.298</v>
      </c>
      <c r="L1111" s="3" t="str">
        <f t="shared" si="17"/>
        <v/>
      </c>
      <c r="N1111" t="s">
        <v>19</v>
      </c>
    </row>
    <row r="1112" spans="1:14" x14ac:dyDescent="0.3">
      <c r="A1112">
        <v>933</v>
      </c>
      <c r="B1112" t="s">
        <v>2467</v>
      </c>
      <c r="C1112" t="s">
        <v>2468</v>
      </c>
      <c r="D1112" t="s">
        <v>2469</v>
      </c>
      <c r="E1112" t="s">
        <v>23</v>
      </c>
      <c r="F1112" t="s">
        <v>2463</v>
      </c>
      <c r="G1112" s="3">
        <v>44.84</v>
      </c>
      <c r="H1112" s="3">
        <v>0</v>
      </c>
      <c r="I1112" s="3">
        <v>44.84</v>
      </c>
      <c r="J1112" s="3">
        <f>Table1[[#This Row],[قيمة الفاتورة]]*0.94-Table1[[#This Row],[قيمة المشاركة]]</f>
        <v>42.1496</v>
      </c>
      <c r="L1112" s="3" t="str">
        <f t="shared" si="17"/>
        <v/>
      </c>
      <c r="N1112" t="s">
        <v>19</v>
      </c>
    </row>
    <row r="1113" spans="1:14" x14ac:dyDescent="0.3">
      <c r="A1113">
        <v>180</v>
      </c>
      <c r="B1113" t="s">
        <v>2470</v>
      </c>
      <c r="C1113" t="s">
        <v>2471</v>
      </c>
      <c r="D1113" t="s">
        <v>539</v>
      </c>
      <c r="E1113" t="s">
        <v>17</v>
      </c>
      <c r="F1113" t="s">
        <v>2463</v>
      </c>
      <c r="G1113" s="3">
        <v>11.37</v>
      </c>
      <c r="H1113" s="3">
        <v>0</v>
      </c>
      <c r="I1113" s="3">
        <v>11.37</v>
      </c>
      <c r="J1113" s="3">
        <f>Table1[[#This Row],[قيمة الفاتورة]]*0.94-Table1[[#This Row],[قيمة المشاركة]]</f>
        <v>10.687799999999999</v>
      </c>
      <c r="L1113" s="3" t="str">
        <f t="shared" si="17"/>
        <v/>
      </c>
      <c r="N1113" t="s">
        <v>19</v>
      </c>
    </row>
    <row r="1114" spans="1:14" x14ac:dyDescent="0.3">
      <c r="A1114">
        <v>929</v>
      </c>
      <c r="B1114" t="s">
        <v>728</v>
      </c>
      <c r="C1114" t="s">
        <v>354</v>
      </c>
      <c r="D1114" t="s">
        <v>2472</v>
      </c>
      <c r="E1114" t="s">
        <v>23</v>
      </c>
      <c r="F1114" t="s">
        <v>2463</v>
      </c>
      <c r="G1114" s="3">
        <v>8.06</v>
      </c>
      <c r="H1114" s="3">
        <v>0</v>
      </c>
      <c r="I1114" s="3">
        <v>8.06</v>
      </c>
      <c r="J1114" s="3">
        <f>Table1[[#This Row],[قيمة الفاتورة]]*0.94-Table1[[#This Row],[قيمة المشاركة]]</f>
        <v>7.5764000000000005</v>
      </c>
      <c r="L1114" s="3" t="str">
        <f t="shared" si="17"/>
        <v/>
      </c>
      <c r="N1114" t="s">
        <v>19</v>
      </c>
    </row>
    <row r="1115" spans="1:14" x14ac:dyDescent="0.3">
      <c r="A1115">
        <v>932</v>
      </c>
      <c r="B1115" t="s">
        <v>107</v>
      </c>
      <c r="C1115" t="s">
        <v>1257</v>
      </c>
      <c r="D1115" t="s">
        <v>2473</v>
      </c>
      <c r="E1115" t="s">
        <v>23</v>
      </c>
      <c r="F1115" t="s">
        <v>2463</v>
      </c>
      <c r="G1115" s="3">
        <v>4.16</v>
      </c>
      <c r="H1115" s="3">
        <v>0</v>
      </c>
      <c r="I1115" s="3">
        <v>4.16</v>
      </c>
      <c r="J1115" s="3">
        <f>Table1[[#This Row],[قيمة الفاتورة]]*0.94-Table1[[#This Row],[قيمة المشاركة]]</f>
        <v>3.9104000000000001</v>
      </c>
      <c r="L1115" s="3" t="str">
        <f t="shared" si="17"/>
        <v/>
      </c>
      <c r="N1115" t="s">
        <v>19</v>
      </c>
    </row>
    <row r="1116" spans="1:14" x14ac:dyDescent="0.3">
      <c r="A1116">
        <v>935</v>
      </c>
      <c r="B1116" t="s">
        <v>2029</v>
      </c>
      <c r="C1116" t="s">
        <v>2030</v>
      </c>
      <c r="D1116" t="s">
        <v>2474</v>
      </c>
      <c r="E1116" t="s">
        <v>23</v>
      </c>
      <c r="F1116" t="s">
        <v>2475</v>
      </c>
      <c r="G1116" s="3">
        <v>20.62</v>
      </c>
      <c r="H1116" s="3">
        <v>4.1239999999999997</v>
      </c>
      <c r="I1116" s="3">
        <v>16.495999999999999</v>
      </c>
      <c r="J1116" s="3">
        <f>Table1[[#This Row],[قيمة الفاتورة]]*0.94-Table1[[#This Row],[قيمة المشاركة]]</f>
        <v>15.258800000000001</v>
      </c>
      <c r="K1116">
        <v>15.259</v>
      </c>
      <c r="L1116" s="3">
        <f t="shared" si="17"/>
        <v>-1.9999999999953388E-4</v>
      </c>
      <c r="M1116" t="s">
        <v>2024</v>
      </c>
      <c r="N1116" t="s">
        <v>328</v>
      </c>
    </row>
    <row r="1117" spans="1:14" x14ac:dyDescent="0.3">
      <c r="A1117">
        <v>939</v>
      </c>
      <c r="B1117" t="s">
        <v>563</v>
      </c>
      <c r="C1117" t="s">
        <v>564</v>
      </c>
      <c r="D1117" t="s">
        <v>2476</v>
      </c>
      <c r="E1117" t="s">
        <v>23</v>
      </c>
      <c r="F1117" t="s">
        <v>2475</v>
      </c>
      <c r="G1117" s="3">
        <v>7.49</v>
      </c>
      <c r="H1117" s="3">
        <v>0</v>
      </c>
      <c r="I1117" s="3">
        <v>7.49</v>
      </c>
      <c r="J1117" s="3">
        <f>Table1[[#This Row],[قيمة الفاتورة]]*0.94-Table1[[#This Row],[قيمة المشاركة]]</f>
        <v>7.0405999999999995</v>
      </c>
      <c r="L1117" s="3" t="str">
        <f t="shared" si="17"/>
        <v/>
      </c>
      <c r="N1117" t="s">
        <v>19</v>
      </c>
    </row>
    <row r="1118" spans="1:14" x14ac:dyDescent="0.3">
      <c r="A1118">
        <v>937</v>
      </c>
      <c r="B1118" t="s">
        <v>596</v>
      </c>
      <c r="C1118" t="s">
        <v>173</v>
      </c>
      <c r="D1118" t="s">
        <v>2477</v>
      </c>
      <c r="E1118" t="s">
        <v>17</v>
      </c>
      <c r="F1118" t="s">
        <v>2475</v>
      </c>
      <c r="G1118" s="3">
        <v>32.659999999999997</v>
      </c>
      <c r="H1118" s="3">
        <v>0</v>
      </c>
      <c r="I1118" s="3">
        <v>32.659999999999997</v>
      </c>
      <c r="J1118" s="3">
        <f>Table1[[#This Row],[قيمة الفاتورة]]*0.94-Table1[[#This Row],[قيمة المشاركة]]</f>
        <v>30.700399999999995</v>
      </c>
      <c r="L1118" s="3" t="str">
        <f t="shared" si="17"/>
        <v/>
      </c>
      <c r="N1118" t="s">
        <v>19</v>
      </c>
    </row>
    <row r="1119" spans="1:14" x14ac:dyDescent="0.3">
      <c r="A1119">
        <v>938</v>
      </c>
      <c r="B1119" t="s">
        <v>2478</v>
      </c>
      <c r="C1119" t="s">
        <v>2479</v>
      </c>
      <c r="D1119" t="s">
        <v>2480</v>
      </c>
      <c r="E1119" t="s">
        <v>23</v>
      </c>
      <c r="F1119" t="s">
        <v>2475</v>
      </c>
      <c r="G1119" s="3">
        <v>19.88</v>
      </c>
      <c r="H1119" s="3">
        <v>0</v>
      </c>
      <c r="I1119" s="3">
        <v>19.88</v>
      </c>
      <c r="J1119" s="3">
        <f>Table1[[#This Row],[قيمة الفاتورة]]*0.94-Table1[[#This Row],[قيمة المشاركة]]</f>
        <v>18.687199999999997</v>
      </c>
      <c r="L1119" s="3" t="str">
        <f t="shared" si="17"/>
        <v/>
      </c>
      <c r="N1119" t="s">
        <v>19</v>
      </c>
    </row>
    <row r="1120" spans="1:14" x14ac:dyDescent="0.3">
      <c r="A1120">
        <v>936</v>
      </c>
      <c r="B1120" t="s">
        <v>1753</v>
      </c>
      <c r="C1120" t="s">
        <v>1754</v>
      </c>
      <c r="D1120" t="s">
        <v>2481</v>
      </c>
      <c r="E1120" t="s">
        <v>23</v>
      </c>
      <c r="F1120" t="s">
        <v>2475</v>
      </c>
      <c r="G1120" s="3">
        <v>23.26</v>
      </c>
      <c r="H1120" s="3">
        <v>0</v>
      </c>
      <c r="I1120" s="3">
        <v>23.26</v>
      </c>
      <c r="J1120" s="3">
        <f>Table1[[#This Row],[قيمة الفاتورة]]*0.94-Table1[[#This Row],[قيمة المشاركة]]</f>
        <v>21.8644</v>
      </c>
      <c r="L1120" s="3" t="str">
        <f t="shared" si="17"/>
        <v/>
      </c>
      <c r="N1120" t="s">
        <v>19</v>
      </c>
    </row>
    <row r="1121" spans="1:14" x14ac:dyDescent="0.3">
      <c r="A1121">
        <v>181</v>
      </c>
      <c r="B1121" t="s">
        <v>311</v>
      </c>
      <c r="C1121" t="s">
        <v>312</v>
      </c>
      <c r="D1121" t="s">
        <v>2482</v>
      </c>
      <c r="E1121" t="s">
        <v>17</v>
      </c>
      <c r="F1121" t="s">
        <v>2483</v>
      </c>
      <c r="G1121" s="3">
        <v>13.58</v>
      </c>
      <c r="H1121" s="3">
        <v>0</v>
      </c>
      <c r="I1121" s="3">
        <v>13.58</v>
      </c>
      <c r="J1121" s="3">
        <f>Table1[[#This Row],[قيمة الفاتورة]]*0.94-Table1[[#This Row],[قيمة المشاركة]]</f>
        <v>12.7652</v>
      </c>
      <c r="L1121" s="3" t="str">
        <f t="shared" si="17"/>
        <v/>
      </c>
      <c r="N1121" t="s">
        <v>19</v>
      </c>
    </row>
    <row r="1122" spans="1:14" x14ac:dyDescent="0.3">
      <c r="A1122">
        <v>940</v>
      </c>
      <c r="B1122" t="s">
        <v>2484</v>
      </c>
      <c r="C1122" t="s">
        <v>2485</v>
      </c>
      <c r="D1122" t="s">
        <v>2486</v>
      </c>
      <c r="E1122" t="s">
        <v>23</v>
      </c>
      <c r="F1122" t="s">
        <v>2483</v>
      </c>
      <c r="G1122" s="3">
        <v>13.63</v>
      </c>
      <c r="H1122" s="3">
        <v>0</v>
      </c>
      <c r="I1122" s="3">
        <v>13.63</v>
      </c>
      <c r="J1122" s="3">
        <f>Table1[[#This Row],[قيمة الفاتورة]]*0.94-Table1[[#This Row],[قيمة المشاركة]]</f>
        <v>12.812200000000001</v>
      </c>
      <c r="L1122" s="3" t="str">
        <f t="shared" si="17"/>
        <v/>
      </c>
      <c r="N1122" t="s">
        <v>19</v>
      </c>
    </row>
    <row r="1123" spans="1:14" x14ac:dyDescent="0.3">
      <c r="A1123">
        <v>941</v>
      </c>
      <c r="B1123" t="s">
        <v>1176</v>
      </c>
      <c r="C1123" t="s">
        <v>1177</v>
      </c>
      <c r="D1123" t="s">
        <v>2487</v>
      </c>
      <c r="E1123" t="s">
        <v>23</v>
      </c>
      <c r="F1123" t="s">
        <v>2483</v>
      </c>
      <c r="G1123" s="3">
        <v>13.25</v>
      </c>
      <c r="H1123" s="3">
        <v>0</v>
      </c>
      <c r="I1123" s="3">
        <v>13.25</v>
      </c>
      <c r="J1123" s="3">
        <f>Table1[[#This Row],[قيمة الفاتورة]]*0.94-Table1[[#This Row],[قيمة المشاركة]]</f>
        <v>12.455</v>
      </c>
      <c r="L1123" s="3" t="str">
        <f t="shared" si="17"/>
        <v/>
      </c>
      <c r="N1123" t="s">
        <v>19</v>
      </c>
    </row>
    <row r="1124" spans="1:14" x14ac:dyDescent="0.3">
      <c r="A1124">
        <v>942</v>
      </c>
      <c r="B1124" t="s">
        <v>1127</v>
      </c>
      <c r="C1124" t="s">
        <v>1128</v>
      </c>
      <c r="D1124" t="s">
        <v>2488</v>
      </c>
      <c r="E1124" t="s">
        <v>23</v>
      </c>
      <c r="F1124" t="s">
        <v>2483</v>
      </c>
      <c r="G1124" s="3">
        <v>3.53</v>
      </c>
      <c r="H1124" s="3">
        <v>0</v>
      </c>
      <c r="I1124" s="3">
        <v>3.53</v>
      </c>
      <c r="J1124" s="3">
        <f>Table1[[#This Row],[قيمة الفاتورة]]*0.94-Table1[[#This Row],[قيمة المشاركة]]</f>
        <v>3.3181999999999996</v>
      </c>
      <c r="L1124" s="3" t="str">
        <f t="shared" si="17"/>
        <v/>
      </c>
      <c r="N1124" t="s">
        <v>19</v>
      </c>
    </row>
    <row r="1125" spans="1:14" x14ac:dyDescent="0.3">
      <c r="A1125">
        <v>943</v>
      </c>
      <c r="B1125" t="s">
        <v>1127</v>
      </c>
      <c r="C1125" t="s">
        <v>1128</v>
      </c>
      <c r="D1125" t="s">
        <v>2489</v>
      </c>
      <c r="E1125" t="s">
        <v>23</v>
      </c>
      <c r="F1125" t="s">
        <v>2483</v>
      </c>
      <c r="G1125" s="3">
        <v>8.36</v>
      </c>
      <c r="H1125" s="3">
        <v>0</v>
      </c>
      <c r="I1125" s="3">
        <v>8.36</v>
      </c>
      <c r="J1125" s="3">
        <f>Table1[[#This Row],[قيمة الفاتورة]]*0.94-Table1[[#This Row],[قيمة المشاركة]]</f>
        <v>7.8583999999999987</v>
      </c>
      <c r="L1125" s="3" t="str">
        <f t="shared" si="17"/>
        <v/>
      </c>
      <c r="N1125" t="s">
        <v>19</v>
      </c>
    </row>
    <row r="1126" spans="1:14" x14ac:dyDescent="0.3">
      <c r="A1126">
        <v>944</v>
      </c>
      <c r="B1126" t="s">
        <v>52</v>
      </c>
      <c r="C1126" t="s">
        <v>53</v>
      </c>
      <c r="D1126" t="s">
        <v>2490</v>
      </c>
      <c r="E1126" t="s">
        <v>17</v>
      </c>
      <c r="F1126" t="s">
        <v>2483</v>
      </c>
      <c r="G1126" s="3">
        <v>21.17</v>
      </c>
      <c r="H1126" s="3">
        <v>0</v>
      </c>
      <c r="I1126" s="3">
        <v>21.17</v>
      </c>
      <c r="J1126" s="3">
        <f>Table1[[#This Row],[قيمة الفاتورة]]*0.94-Table1[[#This Row],[قيمة المشاركة]]</f>
        <v>19.899799999999999</v>
      </c>
      <c r="L1126" s="3" t="str">
        <f t="shared" si="17"/>
        <v/>
      </c>
      <c r="N1126" t="s">
        <v>19</v>
      </c>
    </row>
    <row r="1127" spans="1:14" x14ac:dyDescent="0.3">
      <c r="A1127">
        <v>946</v>
      </c>
      <c r="B1127" t="s">
        <v>68</v>
      </c>
      <c r="C1127" t="s">
        <v>69</v>
      </c>
      <c r="D1127" t="s">
        <v>2491</v>
      </c>
      <c r="E1127" t="s">
        <v>17</v>
      </c>
      <c r="F1127" t="s">
        <v>2492</v>
      </c>
      <c r="G1127" s="3">
        <v>5.23</v>
      </c>
      <c r="H1127" s="3">
        <v>0</v>
      </c>
      <c r="I1127" s="3">
        <v>5.23</v>
      </c>
      <c r="J1127" s="3">
        <f>Table1[[#This Row],[قيمة الفاتورة]]*0.94-Table1[[#This Row],[قيمة المشاركة]]</f>
        <v>4.9161999999999999</v>
      </c>
      <c r="L1127" s="3" t="str">
        <f t="shared" si="17"/>
        <v/>
      </c>
      <c r="N1127" t="s">
        <v>19</v>
      </c>
    </row>
    <row r="1128" spans="1:14" x14ac:dyDescent="0.3">
      <c r="A1128">
        <v>945</v>
      </c>
      <c r="B1128" t="s">
        <v>1841</v>
      </c>
      <c r="C1128" t="s">
        <v>2493</v>
      </c>
      <c r="D1128" t="s">
        <v>2494</v>
      </c>
      <c r="E1128" t="s">
        <v>17</v>
      </c>
      <c r="F1128" t="s">
        <v>2492</v>
      </c>
      <c r="G1128" s="3">
        <v>20.18</v>
      </c>
      <c r="H1128" s="3">
        <v>0</v>
      </c>
      <c r="I1128" s="3">
        <v>20.18</v>
      </c>
      <c r="J1128" s="3">
        <f>Table1[[#This Row],[قيمة الفاتورة]]*0.94-Table1[[#This Row],[قيمة المشاركة]]</f>
        <v>18.969199999999997</v>
      </c>
      <c r="L1128" s="3" t="str">
        <f t="shared" si="17"/>
        <v/>
      </c>
      <c r="N1128" t="s">
        <v>19</v>
      </c>
    </row>
    <row r="1129" spans="1:14" x14ac:dyDescent="0.3">
      <c r="A1129">
        <v>947</v>
      </c>
      <c r="B1129" t="s">
        <v>2495</v>
      </c>
      <c r="C1129" t="s">
        <v>2496</v>
      </c>
      <c r="D1129" t="s">
        <v>2497</v>
      </c>
      <c r="E1129" t="s">
        <v>23</v>
      </c>
      <c r="F1129" t="s">
        <v>2492</v>
      </c>
      <c r="G1129" s="3">
        <v>24.36</v>
      </c>
      <c r="H1129" s="3">
        <v>0</v>
      </c>
      <c r="I1129" s="3">
        <v>24.36</v>
      </c>
      <c r="J1129" s="3">
        <f>Table1[[#This Row],[قيمة الفاتورة]]*0.94-Table1[[#This Row],[قيمة المشاركة]]</f>
        <v>22.898399999999999</v>
      </c>
      <c r="L1129" s="3" t="str">
        <f t="shared" si="17"/>
        <v/>
      </c>
      <c r="N1129" t="s">
        <v>19</v>
      </c>
    </row>
    <row r="1130" spans="1:14" x14ac:dyDescent="0.3">
      <c r="A1130">
        <v>183</v>
      </c>
      <c r="B1130" t="s">
        <v>464</v>
      </c>
      <c r="C1130" t="s">
        <v>465</v>
      </c>
      <c r="D1130" t="s">
        <v>2498</v>
      </c>
      <c r="E1130" t="s">
        <v>23</v>
      </c>
      <c r="F1130" t="s">
        <v>2492</v>
      </c>
      <c r="G1130" s="3">
        <v>6.47</v>
      </c>
      <c r="H1130" s="3">
        <v>0</v>
      </c>
      <c r="I1130" s="3">
        <v>6.47</v>
      </c>
      <c r="J1130" s="3">
        <f>Table1[[#This Row],[قيمة الفاتورة]]*0.94-Table1[[#This Row],[قيمة المشاركة]]</f>
        <v>6.0817999999999994</v>
      </c>
      <c r="L1130" s="3" t="str">
        <f t="shared" si="17"/>
        <v/>
      </c>
      <c r="N1130" t="s">
        <v>19</v>
      </c>
    </row>
    <row r="1131" spans="1:14" x14ac:dyDescent="0.3">
      <c r="A1131">
        <v>182</v>
      </c>
      <c r="B1131" t="s">
        <v>2145</v>
      </c>
      <c r="C1131" t="s">
        <v>2146</v>
      </c>
      <c r="D1131" t="s">
        <v>2499</v>
      </c>
      <c r="E1131" t="s">
        <v>23</v>
      </c>
      <c r="F1131" t="s">
        <v>2492</v>
      </c>
      <c r="G1131" s="3">
        <v>15.63</v>
      </c>
      <c r="H1131" s="3">
        <v>0</v>
      </c>
      <c r="I1131" s="3">
        <v>15.63</v>
      </c>
      <c r="J1131" s="3">
        <f>Table1[[#This Row],[قيمة الفاتورة]]*0.94-Table1[[#This Row],[قيمة المشاركة]]</f>
        <v>14.6922</v>
      </c>
      <c r="L1131" s="3" t="str">
        <f t="shared" si="17"/>
        <v/>
      </c>
      <c r="N1131" t="s">
        <v>19</v>
      </c>
    </row>
    <row r="1132" spans="1:14" x14ac:dyDescent="0.3">
      <c r="A1132">
        <v>184</v>
      </c>
      <c r="B1132" t="s">
        <v>1261</v>
      </c>
      <c r="C1132" t="s">
        <v>1262</v>
      </c>
      <c r="D1132" t="s">
        <v>2500</v>
      </c>
      <c r="E1132" t="s">
        <v>23</v>
      </c>
      <c r="F1132" t="s">
        <v>2501</v>
      </c>
      <c r="G1132" s="3">
        <v>24.7</v>
      </c>
      <c r="H1132" s="3">
        <v>0</v>
      </c>
      <c r="I1132" s="3">
        <v>24.7</v>
      </c>
      <c r="J1132" s="3">
        <f>Table1[[#This Row],[قيمة الفاتورة]]*0.94-Table1[[#This Row],[قيمة المشاركة]]</f>
        <v>23.217999999999996</v>
      </c>
      <c r="L1132" s="3" t="str">
        <f t="shared" si="17"/>
        <v/>
      </c>
      <c r="N1132" t="s">
        <v>19</v>
      </c>
    </row>
    <row r="1133" spans="1:14" x14ac:dyDescent="0.3">
      <c r="A1133">
        <v>948</v>
      </c>
      <c r="B1133" t="s">
        <v>2117</v>
      </c>
      <c r="C1133" t="s">
        <v>2118</v>
      </c>
      <c r="D1133" t="s">
        <v>2502</v>
      </c>
      <c r="E1133" t="s">
        <v>17</v>
      </c>
      <c r="F1133" t="s">
        <v>2501</v>
      </c>
      <c r="G1133" s="3">
        <v>7.87</v>
      </c>
      <c r="H1133" s="3">
        <v>0</v>
      </c>
      <c r="I1133" s="3">
        <v>7.87</v>
      </c>
      <c r="J1133" s="3">
        <f>Table1[[#This Row],[قيمة الفاتورة]]*0.94-Table1[[#This Row],[قيمة المشاركة]]</f>
        <v>7.3977999999999993</v>
      </c>
      <c r="L1133" s="3" t="str">
        <f t="shared" si="17"/>
        <v/>
      </c>
      <c r="N1133" t="s">
        <v>19</v>
      </c>
    </row>
    <row r="1134" spans="1:14" x14ac:dyDescent="0.3">
      <c r="A1134">
        <v>949</v>
      </c>
      <c r="B1134" t="s">
        <v>340</v>
      </c>
      <c r="C1134" t="s">
        <v>341</v>
      </c>
      <c r="D1134" t="s">
        <v>2503</v>
      </c>
      <c r="E1134" t="s">
        <v>17</v>
      </c>
      <c r="F1134" t="s">
        <v>2501</v>
      </c>
      <c r="G1134" s="3">
        <v>11.34</v>
      </c>
      <c r="H1134" s="3">
        <v>0</v>
      </c>
      <c r="I1134" s="3">
        <v>11.34</v>
      </c>
      <c r="J1134" s="3">
        <f>Table1[[#This Row],[قيمة الفاتورة]]*0.94-Table1[[#This Row],[قيمة المشاركة]]</f>
        <v>10.659599999999999</v>
      </c>
      <c r="L1134" s="3" t="str">
        <f t="shared" si="17"/>
        <v/>
      </c>
      <c r="N1134" t="s">
        <v>19</v>
      </c>
    </row>
    <row r="1135" spans="1:14" x14ac:dyDescent="0.3">
      <c r="A1135">
        <v>950</v>
      </c>
      <c r="B1135" t="s">
        <v>20</v>
      </c>
      <c r="C1135" t="s">
        <v>21</v>
      </c>
      <c r="D1135" t="s">
        <v>2504</v>
      </c>
      <c r="E1135" t="s">
        <v>17</v>
      </c>
      <c r="F1135" t="s">
        <v>2501</v>
      </c>
      <c r="G1135" s="3">
        <v>23.52</v>
      </c>
      <c r="H1135" s="3">
        <v>3.528</v>
      </c>
      <c r="I1135" s="3">
        <v>19.992000000000001</v>
      </c>
      <c r="J1135" s="3">
        <f>Table1[[#This Row],[قيمة الفاتورة]]*0.94-Table1[[#This Row],[قيمة المشاركة]]</f>
        <v>18.5808</v>
      </c>
      <c r="L1135" s="3" t="str">
        <f t="shared" si="17"/>
        <v/>
      </c>
      <c r="N1135" t="s">
        <v>19</v>
      </c>
    </row>
    <row r="1136" spans="1:14" x14ac:dyDescent="0.3">
      <c r="A1136">
        <v>951</v>
      </c>
      <c r="B1136" t="s">
        <v>20</v>
      </c>
      <c r="C1136" t="s">
        <v>21</v>
      </c>
      <c r="D1136" t="s">
        <v>2505</v>
      </c>
      <c r="E1136" t="s">
        <v>23</v>
      </c>
      <c r="F1136" t="s">
        <v>2501</v>
      </c>
      <c r="G1136" s="3">
        <v>23.52</v>
      </c>
      <c r="H1136" s="3">
        <v>3.528</v>
      </c>
      <c r="I1136" s="3">
        <v>19.992000000000001</v>
      </c>
      <c r="J1136" s="3">
        <f>Table1[[#This Row],[قيمة الفاتورة]]*0.94-Table1[[#This Row],[قيمة المشاركة]]</f>
        <v>18.5808</v>
      </c>
      <c r="L1136" s="3" t="str">
        <f t="shared" si="17"/>
        <v/>
      </c>
      <c r="N1136" t="s">
        <v>19</v>
      </c>
    </row>
    <row r="1137" spans="1:14" x14ac:dyDescent="0.3">
      <c r="A1137">
        <v>953</v>
      </c>
      <c r="B1137" t="s">
        <v>2506</v>
      </c>
      <c r="C1137" t="s">
        <v>2507</v>
      </c>
      <c r="D1137" t="s">
        <v>2508</v>
      </c>
      <c r="E1137" t="s">
        <v>17</v>
      </c>
      <c r="F1137" t="s">
        <v>2509</v>
      </c>
      <c r="G1137" s="3">
        <v>18.95</v>
      </c>
      <c r="H1137" s="3">
        <v>0</v>
      </c>
      <c r="I1137" s="3">
        <v>18.95</v>
      </c>
      <c r="J1137" s="3">
        <f>Table1[[#This Row],[قيمة الفاتورة]]*0.94-Table1[[#This Row],[قيمة المشاركة]]</f>
        <v>17.812999999999999</v>
      </c>
      <c r="L1137" s="3" t="str">
        <f t="shared" si="17"/>
        <v/>
      </c>
      <c r="N1137" t="s">
        <v>19</v>
      </c>
    </row>
    <row r="1138" spans="1:14" x14ac:dyDescent="0.3">
      <c r="A1138">
        <v>952</v>
      </c>
      <c r="B1138" t="s">
        <v>42</v>
      </c>
      <c r="C1138" t="s">
        <v>43</v>
      </c>
      <c r="D1138" t="s">
        <v>2510</v>
      </c>
      <c r="E1138" t="s">
        <v>23</v>
      </c>
      <c r="F1138" t="s">
        <v>2509</v>
      </c>
      <c r="G1138" s="3">
        <v>26.15</v>
      </c>
      <c r="H1138" s="3">
        <v>0</v>
      </c>
      <c r="I1138" s="3">
        <v>26.15</v>
      </c>
      <c r="J1138" s="3">
        <f>Table1[[#This Row],[قيمة الفاتورة]]*0.94-Table1[[#This Row],[قيمة المشاركة]]</f>
        <v>24.580999999999996</v>
      </c>
      <c r="L1138" s="3" t="str">
        <f t="shared" si="17"/>
        <v/>
      </c>
      <c r="N1138" t="s">
        <v>19</v>
      </c>
    </row>
    <row r="1139" spans="1:14" x14ac:dyDescent="0.3">
      <c r="A1139">
        <v>185</v>
      </c>
      <c r="B1139" t="s">
        <v>526</v>
      </c>
      <c r="C1139" t="s">
        <v>2511</v>
      </c>
      <c r="D1139" t="s">
        <v>2512</v>
      </c>
      <c r="E1139" t="s">
        <v>23</v>
      </c>
      <c r="F1139" t="s">
        <v>2513</v>
      </c>
      <c r="G1139" s="3">
        <v>32.75</v>
      </c>
      <c r="H1139" s="3">
        <v>0</v>
      </c>
      <c r="I1139" s="3">
        <v>32.75</v>
      </c>
      <c r="J1139" s="3">
        <f>Table1[[#This Row],[قيمة الفاتورة]]*0.94-Table1[[#This Row],[قيمة المشاركة]]</f>
        <v>30.784999999999997</v>
      </c>
      <c r="L1139" s="3" t="str">
        <f t="shared" si="17"/>
        <v/>
      </c>
      <c r="N1139" t="s">
        <v>19</v>
      </c>
    </row>
    <row r="1140" spans="1:14" x14ac:dyDescent="0.3">
      <c r="A1140">
        <v>954</v>
      </c>
      <c r="B1140" t="s">
        <v>1997</v>
      </c>
      <c r="C1140" t="s">
        <v>2514</v>
      </c>
      <c r="D1140" t="s">
        <v>2515</v>
      </c>
      <c r="E1140" t="s">
        <v>23</v>
      </c>
      <c r="F1140" t="s">
        <v>2513</v>
      </c>
      <c r="G1140" s="3">
        <v>20.079999999999998</v>
      </c>
      <c r="H1140" s="3">
        <v>0</v>
      </c>
      <c r="I1140" s="3">
        <v>20.079999999999998</v>
      </c>
      <c r="J1140" s="3">
        <f>Table1[[#This Row],[قيمة الفاتورة]]*0.94-Table1[[#This Row],[قيمة المشاركة]]</f>
        <v>18.875199999999996</v>
      </c>
      <c r="L1140" s="3" t="str">
        <f t="shared" si="17"/>
        <v/>
      </c>
      <c r="N1140" t="s">
        <v>19</v>
      </c>
    </row>
    <row r="1141" spans="1:14" x14ac:dyDescent="0.3">
      <c r="A1141">
        <v>955</v>
      </c>
      <c r="B1141" t="s">
        <v>389</v>
      </c>
      <c r="C1141" t="s">
        <v>390</v>
      </c>
      <c r="D1141" t="s">
        <v>2516</v>
      </c>
      <c r="E1141" t="s">
        <v>23</v>
      </c>
      <c r="F1141" t="s">
        <v>2513</v>
      </c>
      <c r="G1141" s="3">
        <v>20.14</v>
      </c>
      <c r="H1141" s="3">
        <v>0</v>
      </c>
      <c r="I1141" s="3">
        <v>20.14</v>
      </c>
      <c r="J1141" s="3">
        <f>Table1[[#This Row],[قيمة الفاتورة]]*0.94-Table1[[#This Row],[قيمة المشاركة]]</f>
        <v>18.9316</v>
      </c>
      <c r="L1141" s="3" t="str">
        <f t="shared" si="17"/>
        <v/>
      </c>
      <c r="N1141" t="s">
        <v>19</v>
      </c>
    </row>
    <row r="1142" spans="1:14" x14ac:dyDescent="0.3">
      <c r="A1142">
        <v>956</v>
      </c>
      <c r="B1142" t="s">
        <v>2517</v>
      </c>
      <c r="C1142" t="s">
        <v>2518</v>
      </c>
      <c r="D1142" t="s">
        <v>2519</v>
      </c>
      <c r="E1142" t="s">
        <v>23</v>
      </c>
      <c r="F1142" t="s">
        <v>2520</v>
      </c>
      <c r="G1142" s="3">
        <v>22.72</v>
      </c>
      <c r="H1142" s="3">
        <v>0</v>
      </c>
      <c r="I1142" s="3">
        <v>22.72</v>
      </c>
      <c r="J1142" s="3">
        <f>Table1[[#This Row],[قيمة الفاتورة]]*0.94-Table1[[#This Row],[قيمة المشاركة]]</f>
        <v>21.356799999999996</v>
      </c>
      <c r="L1142" s="3" t="str">
        <f t="shared" si="17"/>
        <v/>
      </c>
      <c r="N1142" t="s">
        <v>19</v>
      </c>
    </row>
    <row r="1143" spans="1:14" x14ac:dyDescent="0.3">
      <c r="A1143">
        <v>186</v>
      </c>
      <c r="B1143" t="s">
        <v>104</v>
      </c>
      <c r="C1143" t="s">
        <v>2521</v>
      </c>
      <c r="D1143" t="s">
        <v>2522</v>
      </c>
      <c r="E1143" t="s">
        <v>23</v>
      </c>
      <c r="F1143" t="s">
        <v>2520</v>
      </c>
      <c r="G1143" s="3">
        <v>21.87</v>
      </c>
      <c r="H1143" s="3">
        <v>0</v>
      </c>
      <c r="I1143" s="3">
        <v>21.87</v>
      </c>
      <c r="J1143" s="3">
        <f>Table1[[#This Row],[قيمة الفاتورة]]*0.94-Table1[[#This Row],[قيمة المشاركة]]</f>
        <v>20.5578</v>
      </c>
      <c r="L1143" s="3" t="str">
        <f t="shared" si="17"/>
        <v/>
      </c>
      <c r="N1143" t="s">
        <v>19</v>
      </c>
    </row>
    <row r="1144" spans="1:14" x14ac:dyDescent="0.3">
      <c r="A1144">
        <v>959</v>
      </c>
      <c r="B1144" t="s">
        <v>917</v>
      </c>
      <c r="C1144" t="s">
        <v>918</v>
      </c>
      <c r="D1144" t="s">
        <v>2523</v>
      </c>
      <c r="E1144" t="s">
        <v>23</v>
      </c>
      <c r="F1144" t="s">
        <v>2524</v>
      </c>
      <c r="G1144" s="3">
        <v>64.790000000000006</v>
      </c>
      <c r="H1144" s="3">
        <v>0</v>
      </c>
      <c r="I1144" s="3">
        <v>64.790000000000006</v>
      </c>
      <c r="J1144" s="3">
        <f>Table1[[#This Row],[قيمة الفاتورة]]*0.94-Table1[[#This Row],[قيمة المشاركة]]</f>
        <v>60.9026</v>
      </c>
      <c r="L1144" s="3" t="str">
        <f t="shared" si="17"/>
        <v/>
      </c>
      <c r="N1144" t="s">
        <v>19</v>
      </c>
    </row>
    <row r="1145" spans="1:14" x14ac:dyDescent="0.3">
      <c r="A1145">
        <v>957</v>
      </c>
      <c r="B1145" t="s">
        <v>2525</v>
      </c>
      <c r="C1145" t="s">
        <v>2526</v>
      </c>
      <c r="D1145" t="s">
        <v>2527</v>
      </c>
      <c r="E1145" t="s">
        <v>23</v>
      </c>
      <c r="F1145" t="s">
        <v>2524</v>
      </c>
      <c r="G1145" s="3">
        <v>33.01</v>
      </c>
      <c r="H1145" s="3">
        <v>0</v>
      </c>
      <c r="I1145" s="3">
        <v>33.01</v>
      </c>
      <c r="J1145" s="3">
        <f>Table1[[#This Row],[قيمة الفاتورة]]*0.94-Table1[[#This Row],[قيمة المشاركة]]</f>
        <v>31.029399999999995</v>
      </c>
      <c r="L1145" s="3" t="str">
        <f t="shared" si="17"/>
        <v/>
      </c>
      <c r="N1145" t="s">
        <v>19</v>
      </c>
    </row>
    <row r="1146" spans="1:14" x14ac:dyDescent="0.3">
      <c r="A1146">
        <v>958</v>
      </c>
      <c r="B1146" t="s">
        <v>2528</v>
      </c>
      <c r="C1146" t="s">
        <v>2529</v>
      </c>
      <c r="D1146" t="s">
        <v>2530</v>
      </c>
      <c r="E1146" t="s">
        <v>17</v>
      </c>
      <c r="F1146" t="s">
        <v>2524</v>
      </c>
      <c r="G1146" s="3">
        <v>15.65</v>
      </c>
      <c r="H1146" s="3">
        <v>0</v>
      </c>
      <c r="I1146" s="3">
        <v>15.65</v>
      </c>
      <c r="J1146" s="3">
        <f>Table1[[#This Row],[قيمة الفاتورة]]*0.94-Table1[[#This Row],[قيمة المشاركة]]</f>
        <v>14.711</v>
      </c>
      <c r="L1146" s="3" t="str">
        <f t="shared" si="17"/>
        <v/>
      </c>
      <c r="N1146" t="s">
        <v>19</v>
      </c>
    </row>
    <row r="1147" spans="1:14" x14ac:dyDescent="0.3">
      <c r="A1147">
        <v>962</v>
      </c>
      <c r="B1147" t="s">
        <v>353</v>
      </c>
      <c r="C1147" t="s">
        <v>354</v>
      </c>
      <c r="D1147" t="s">
        <v>2531</v>
      </c>
      <c r="E1147" t="s">
        <v>23</v>
      </c>
      <c r="F1147" t="s">
        <v>2532</v>
      </c>
      <c r="G1147" s="3">
        <v>30.47</v>
      </c>
      <c r="H1147" s="3">
        <v>0</v>
      </c>
      <c r="I1147" s="3">
        <v>30.47</v>
      </c>
      <c r="J1147" s="3">
        <f>Table1[[#This Row],[قيمة الفاتورة]]*0.94-Table1[[#This Row],[قيمة المشاركة]]</f>
        <v>28.641799999999996</v>
      </c>
      <c r="L1147" s="3" t="str">
        <f t="shared" si="17"/>
        <v/>
      </c>
      <c r="N1147" t="s">
        <v>19</v>
      </c>
    </row>
    <row r="1148" spans="1:14" x14ac:dyDescent="0.3">
      <c r="A1148">
        <v>963</v>
      </c>
      <c r="B1148" t="s">
        <v>1616</v>
      </c>
      <c r="C1148" t="s">
        <v>1617</v>
      </c>
      <c r="D1148" t="s">
        <v>2533</v>
      </c>
      <c r="E1148" t="s">
        <v>17</v>
      </c>
      <c r="F1148" t="s">
        <v>2532</v>
      </c>
      <c r="G1148" s="3">
        <v>41.69</v>
      </c>
      <c r="H1148" s="3">
        <v>0</v>
      </c>
      <c r="I1148" s="3">
        <v>41.69</v>
      </c>
      <c r="J1148" s="3">
        <f>Table1[[#This Row],[قيمة الفاتورة]]*0.94-Table1[[#This Row],[قيمة المشاركة]]</f>
        <v>39.188599999999994</v>
      </c>
      <c r="L1148" s="3" t="str">
        <f t="shared" si="17"/>
        <v/>
      </c>
      <c r="N1148" t="s">
        <v>19</v>
      </c>
    </row>
    <row r="1149" spans="1:14" x14ac:dyDescent="0.3">
      <c r="A1149">
        <v>960</v>
      </c>
      <c r="B1149" t="s">
        <v>2432</v>
      </c>
      <c r="C1149" t="s">
        <v>2433</v>
      </c>
      <c r="D1149" t="s">
        <v>2534</v>
      </c>
      <c r="E1149" t="s">
        <v>23</v>
      </c>
      <c r="F1149" t="s">
        <v>2532</v>
      </c>
      <c r="G1149" s="3">
        <v>25.11</v>
      </c>
      <c r="H1149" s="3">
        <v>0</v>
      </c>
      <c r="I1149" s="3">
        <v>25.11</v>
      </c>
      <c r="J1149" s="3">
        <f>Table1[[#This Row],[قيمة الفاتورة]]*0.94-Table1[[#This Row],[قيمة المشاركة]]</f>
        <v>23.603399999999997</v>
      </c>
      <c r="L1149" s="3" t="str">
        <f t="shared" si="17"/>
        <v/>
      </c>
      <c r="N1149" t="s">
        <v>19</v>
      </c>
    </row>
    <row r="1150" spans="1:14" x14ac:dyDescent="0.3">
      <c r="A1150">
        <v>961</v>
      </c>
      <c r="B1150" t="s">
        <v>1594</v>
      </c>
      <c r="C1150" t="s">
        <v>1595</v>
      </c>
      <c r="D1150" t="s">
        <v>2535</v>
      </c>
      <c r="E1150" t="s">
        <v>23</v>
      </c>
      <c r="F1150" t="s">
        <v>2532</v>
      </c>
      <c r="G1150" s="3">
        <v>7.95</v>
      </c>
      <c r="H1150" s="3">
        <v>0</v>
      </c>
      <c r="I1150" s="3">
        <v>7.95</v>
      </c>
      <c r="J1150" s="3">
        <f>Table1[[#This Row],[قيمة الفاتورة]]*0.94-Table1[[#This Row],[قيمة المشاركة]]</f>
        <v>7.4729999999999999</v>
      </c>
      <c r="L1150" s="3" t="str">
        <f t="shared" si="17"/>
        <v/>
      </c>
      <c r="N1150" t="s">
        <v>19</v>
      </c>
    </row>
    <row r="1151" spans="1:14" x14ac:dyDescent="0.3">
      <c r="A1151">
        <v>966</v>
      </c>
      <c r="B1151" t="s">
        <v>369</v>
      </c>
      <c r="C1151" t="s">
        <v>370</v>
      </c>
      <c r="D1151" t="s">
        <v>2536</v>
      </c>
      <c r="E1151" t="s">
        <v>23</v>
      </c>
      <c r="F1151" t="s">
        <v>2537</v>
      </c>
      <c r="G1151" s="3">
        <v>17.02</v>
      </c>
      <c r="H1151" s="3">
        <v>0</v>
      </c>
      <c r="I1151" s="3">
        <v>17.02</v>
      </c>
      <c r="J1151" s="3">
        <f>Table1[[#This Row],[قيمة الفاتورة]]*0.94-Table1[[#This Row],[قيمة المشاركة]]</f>
        <v>15.998799999999999</v>
      </c>
      <c r="L1151" s="3" t="str">
        <f t="shared" si="17"/>
        <v/>
      </c>
      <c r="N1151" t="s">
        <v>19</v>
      </c>
    </row>
    <row r="1152" spans="1:14" x14ac:dyDescent="0.3">
      <c r="A1152">
        <v>968</v>
      </c>
      <c r="B1152" t="s">
        <v>1333</v>
      </c>
      <c r="C1152" t="s">
        <v>1334</v>
      </c>
      <c r="D1152" t="s">
        <v>2538</v>
      </c>
      <c r="E1152" t="s">
        <v>23</v>
      </c>
      <c r="F1152" t="s">
        <v>2537</v>
      </c>
      <c r="G1152" s="3">
        <v>29.59</v>
      </c>
      <c r="H1152" s="3">
        <v>0</v>
      </c>
      <c r="I1152" s="3">
        <v>29.59</v>
      </c>
      <c r="J1152" s="3">
        <f>Table1[[#This Row],[قيمة الفاتورة]]*0.94-Table1[[#This Row],[قيمة المشاركة]]</f>
        <v>27.814599999999999</v>
      </c>
      <c r="L1152" s="3" t="str">
        <f t="shared" si="17"/>
        <v/>
      </c>
      <c r="N1152" t="s">
        <v>19</v>
      </c>
    </row>
    <row r="1153" spans="1:14" x14ac:dyDescent="0.3">
      <c r="A1153">
        <v>967</v>
      </c>
      <c r="B1153" t="s">
        <v>2539</v>
      </c>
      <c r="C1153" t="s">
        <v>2540</v>
      </c>
      <c r="D1153" t="s">
        <v>2541</v>
      </c>
      <c r="E1153" t="s">
        <v>23</v>
      </c>
      <c r="F1153" t="s">
        <v>2537</v>
      </c>
      <c r="G1153" s="3">
        <v>37.700000000000003</v>
      </c>
      <c r="H1153" s="3">
        <v>0</v>
      </c>
      <c r="I1153" s="3">
        <v>37.700000000000003</v>
      </c>
      <c r="J1153" s="3">
        <f>Table1[[#This Row],[قيمة الفاتورة]]*0.94-Table1[[#This Row],[قيمة المشاركة]]</f>
        <v>35.438000000000002</v>
      </c>
      <c r="L1153" s="3" t="str">
        <f t="shared" si="17"/>
        <v/>
      </c>
      <c r="N1153" t="s">
        <v>19</v>
      </c>
    </row>
    <row r="1154" spans="1:14" x14ac:dyDescent="0.3">
      <c r="A1154">
        <v>964</v>
      </c>
      <c r="B1154" t="s">
        <v>360</v>
      </c>
      <c r="C1154" t="s">
        <v>361</v>
      </c>
      <c r="D1154" t="s">
        <v>2542</v>
      </c>
      <c r="E1154" t="s">
        <v>23</v>
      </c>
      <c r="F1154" t="s">
        <v>2537</v>
      </c>
      <c r="G1154" s="3">
        <v>42.53</v>
      </c>
      <c r="H1154" s="3">
        <v>0</v>
      </c>
      <c r="I1154" s="3">
        <v>42.53</v>
      </c>
      <c r="J1154" s="3">
        <f>Table1[[#This Row],[قيمة الفاتورة]]*0.94-Table1[[#This Row],[قيمة المشاركة]]</f>
        <v>39.978200000000001</v>
      </c>
      <c r="L1154" s="3" t="str">
        <f t="shared" ref="L1154:L1217" si="18">IF(ISNUMBER(K1154), J1154-K1154, "")</f>
        <v/>
      </c>
      <c r="N1154" t="s">
        <v>19</v>
      </c>
    </row>
    <row r="1155" spans="1:14" x14ac:dyDescent="0.3">
      <c r="A1155">
        <v>965</v>
      </c>
      <c r="B1155" t="s">
        <v>321</v>
      </c>
      <c r="C1155" t="s">
        <v>322</v>
      </c>
      <c r="D1155" t="s">
        <v>2543</v>
      </c>
      <c r="E1155" t="s">
        <v>23</v>
      </c>
      <c r="F1155" t="s">
        <v>2537</v>
      </c>
      <c r="G1155" s="3">
        <v>27.84</v>
      </c>
      <c r="H1155" s="3">
        <v>0</v>
      </c>
      <c r="I1155" s="3">
        <v>27.84</v>
      </c>
      <c r="J1155" s="3">
        <f>Table1[[#This Row],[قيمة الفاتورة]]*0.94-Table1[[#This Row],[قيمة المشاركة]]</f>
        <v>26.169599999999999</v>
      </c>
      <c r="L1155" s="3" t="str">
        <f t="shared" si="18"/>
        <v/>
      </c>
      <c r="N1155" t="s">
        <v>19</v>
      </c>
    </row>
    <row r="1156" spans="1:14" x14ac:dyDescent="0.3">
      <c r="A1156">
        <v>970</v>
      </c>
      <c r="B1156" t="s">
        <v>1197</v>
      </c>
      <c r="C1156" t="s">
        <v>2544</v>
      </c>
      <c r="D1156" t="s">
        <v>2545</v>
      </c>
      <c r="E1156" t="s">
        <v>23</v>
      </c>
      <c r="F1156" t="s">
        <v>2546</v>
      </c>
      <c r="G1156" s="3">
        <v>29.07</v>
      </c>
      <c r="H1156" s="3">
        <v>0</v>
      </c>
      <c r="I1156" s="3">
        <v>29.07</v>
      </c>
      <c r="J1156" s="3">
        <f>Table1[[#This Row],[قيمة الفاتورة]]*0.94-Table1[[#This Row],[قيمة المشاركة]]</f>
        <v>27.325799999999997</v>
      </c>
      <c r="L1156" s="3" t="str">
        <f t="shared" si="18"/>
        <v/>
      </c>
      <c r="N1156" t="s">
        <v>19</v>
      </c>
    </row>
    <row r="1157" spans="1:14" x14ac:dyDescent="0.3">
      <c r="A1157">
        <v>969</v>
      </c>
      <c r="B1157" t="s">
        <v>1694</v>
      </c>
      <c r="C1157" t="s">
        <v>2547</v>
      </c>
      <c r="D1157" t="s">
        <v>2548</v>
      </c>
      <c r="E1157" t="s">
        <v>23</v>
      </c>
      <c r="F1157" t="s">
        <v>2546</v>
      </c>
      <c r="G1157" s="3">
        <v>60.74</v>
      </c>
      <c r="H1157" s="3">
        <v>0</v>
      </c>
      <c r="I1157" s="3">
        <v>60.74</v>
      </c>
      <c r="J1157" s="3">
        <f>Table1[[#This Row],[قيمة الفاتورة]]*0.94-Table1[[#This Row],[قيمة المشاركة]]</f>
        <v>57.095599999999997</v>
      </c>
      <c r="L1157" s="3" t="str">
        <f t="shared" si="18"/>
        <v/>
      </c>
      <c r="N1157" t="s">
        <v>19</v>
      </c>
    </row>
    <row r="1158" spans="1:14" x14ac:dyDescent="0.3">
      <c r="A1158">
        <v>971</v>
      </c>
      <c r="B1158" t="s">
        <v>2549</v>
      </c>
      <c r="C1158" t="s">
        <v>2550</v>
      </c>
      <c r="D1158" t="s">
        <v>2551</v>
      </c>
      <c r="E1158" t="s">
        <v>23</v>
      </c>
      <c r="F1158" t="s">
        <v>2552</v>
      </c>
      <c r="G1158" s="3">
        <v>40.97</v>
      </c>
      <c r="H1158" s="3">
        <v>0</v>
      </c>
      <c r="I1158" s="3">
        <v>40.97</v>
      </c>
      <c r="J1158" s="3">
        <f>Table1[[#This Row],[قيمة الفاتورة]]*0.94-Table1[[#This Row],[قيمة المشاركة]]</f>
        <v>38.511799999999994</v>
      </c>
      <c r="L1158" s="3" t="str">
        <f t="shared" si="18"/>
        <v/>
      </c>
      <c r="N1158" t="s">
        <v>19</v>
      </c>
    </row>
    <row r="1159" spans="1:14" x14ac:dyDescent="0.3">
      <c r="A1159">
        <v>977</v>
      </c>
      <c r="B1159" t="s">
        <v>2553</v>
      </c>
      <c r="C1159" t="s">
        <v>2554</v>
      </c>
      <c r="D1159" t="s">
        <v>2555</v>
      </c>
      <c r="E1159" t="s">
        <v>23</v>
      </c>
      <c r="F1159" t="s">
        <v>2556</v>
      </c>
      <c r="G1159" s="3">
        <v>42.24</v>
      </c>
      <c r="H1159" s="3">
        <v>8.4480000000000004</v>
      </c>
      <c r="I1159" s="3">
        <v>33.792000000000002</v>
      </c>
      <c r="J1159" s="3">
        <f>Table1[[#This Row],[قيمة الفاتورة]]*0.94-Table1[[#This Row],[قيمة المشاركة]]</f>
        <v>31.257599999999996</v>
      </c>
      <c r="K1159">
        <v>33.555</v>
      </c>
      <c r="L1159" s="3">
        <f t="shared" si="18"/>
        <v>-2.2974000000000032</v>
      </c>
      <c r="M1159" t="s">
        <v>2557</v>
      </c>
      <c r="N1159" t="s">
        <v>2558</v>
      </c>
    </row>
    <row r="1160" spans="1:14" x14ac:dyDescent="0.3">
      <c r="A1160">
        <v>981</v>
      </c>
      <c r="B1160" t="s">
        <v>2559</v>
      </c>
      <c r="C1160" t="s">
        <v>344</v>
      </c>
      <c r="D1160" t="s">
        <v>2560</v>
      </c>
      <c r="E1160" t="s">
        <v>17</v>
      </c>
      <c r="F1160" t="s">
        <v>2556</v>
      </c>
      <c r="G1160" s="3">
        <v>31.86</v>
      </c>
      <c r="H1160" s="3">
        <v>6.3719999999999999</v>
      </c>
      <c r="I1160" s="3">
        <v>25.488</v>
      </c>
      <c r="J1160" s="3">
        <f>Table1[[#This Row],[قيمة الفاتورة]]*0.94-Table1[[#This Row],[قيمة المشاركة]]</f>
        <v>23.5764</v>
      </c>
      <c r="K1160">
        <v>23.577000000000002</v>
      </c>
      <c r="L1160" s="3">
        <f t="shared" si="18"/>
        <v>-6.0000000000215437E-4</v>
      </c>
      <c r="M1160" t="s">
        <v>2557</v>
      </c>
      <c r="N1160" t="s">
        <v>2558</v>
      </c>
    </row>
    <row r="1161" spans="1:14" x14ac:dyDescent="0.3">
      <c r="A1161">
        <v>976</v>
      </c>
      <c r="B1161" t="s">
        <v>2561</v>
      </c>
      <c r="C1161" t="s">
        <v>2562</v>
      </c>
      <c r="D1161" t="s">
        <v>2563</v>
      </c>
      <c r="E1161" t="s">
        <v>23</v>
      </c>
      <c r="F1161" t="s">
        <v>2556</v>
      </c>
      <c r="G1161" s="3">
        <v>44.82</v>
      </c>
      <c r="H1161" s="3">
        <v>8.9640000000000004</v>
      </c>
      <c r="I1161" s="3">
        <v>35.856000000000002</v>
      </c>
      <c r="J1161" s="3">
        <f>Table1[[#This Row],[قيمة الفاتورة]]*0.94-Table1[[#This Row],[قيمة المشاركة]]</f>
        <v>33.166800000000002</v>
      </c>
      <c r="K1161">
        <v>33.167000000000002</v>
      </c>
      <c r="L1161" s="3">
        <f t="shared" si="18"/>
        <v>-1.9999999999953388E-4</v>
      </c>
      <c r="M1161" t="s">
        <v>2557</v>
      </c>
      <c r="N1161" t="s">
        <v>2558</v>
      </c>
    </row>
    <row r="1162" spans="1:14" x14ac:dyDescent="0.3">
      <c r="A1162">
        <v>979</v>
      </c>
      <c r="B1162" t="s">
        <v>2564</v>
      </c>
      <c r="C1162" t="s">
        <v>2565</v>
      </c>
      <c r="D1162" t="s">
        <v>2566</v>
      </c>
      <c r="E1162" t="s">
        <v>23</v>
      </c>
      <c r="F1162" t="s">
        <v>2556</v>
      </c>
      <c r="G1162" s="3">
        <v>11.25</v>
      </c>
      <c r="H1162" s="3">
        <v>2.25</v>
      </c>
      <c r="I1162" s="3">
        <v>9</v>
      </c>
      <c r="J1162" s="3">
        <f>Table1[[#This Row],[قيمة الفاتورة]]*0.94-Table1[[#This Row],[قيمة المشاركة]]</f>
        <v>8.3249999999999993</v>
      </c>
      <c r="K1162">
        <v>8.3249999999999993</v>
      </c>
      <c r="L1162" s="3">
        <f t="shared" si="18"/>
        <v>0</v>
      </c>
      <c r="M1162" t="s">
        <v>2557</v>
      </c>
      <c r="N1162" t="s">
        <v>2558</v>
      </c>
    </row>
    <row r="1163" spans="1:14" x14ac:dyDescent="0.3">
      <c r="A1163">
        <v>980</v>
      </c>
      <c r="B1163" t="s">
        <v>2567</v>
      </c>
      <c r="C1163" t="s">
        <v>2568</v>
      </c>
      <c r="D1163" t="s">
        <v>2569</v>
      </c>
      <c r="E1163" t="s">
        <v>23</v>
      </c>
      <c r="F1163" t="s">
        <v>2556</v>
      </c>
      <c r="G1163" s="3">
        <v>38.58</v>
      </c>
      <c r="H1163" s="3">
        <v>7.7160000000000002</v>
      </c>
      <c r="I1163" s="3">
        <v>30.864000000000001</v>
      </c>
      <c r="J1163" s="3">
        <f>Table1[[#This Row],[قيمة الفاتورة]]*0.94-Table1[[#This Row],[قيمة المشاركة]]</f>
        <v>28.549199999999992</v>
      </c>
      <c r="K1163">
        <v>28.492999999999999</v>
      </c>
      <c r="L1163" s="3">
        <f t="shared" si="18"/>
        <v>5.6199999999993366E-2</v>
      </c>
      <c r="M1163" t="s">
        <v>2557</v>
      </c>
      <c r="N1163" t="s">
        <v>2558</v>
      </c>
    </row>
    <row r="1164" spans="1:14" x14ac:dyDescent="0.3">
      <c r="A1164">
        <v>978</v>
      </c>
      <c r="B1164" t="s">
        <v>2561</v>
      </c>
      <c r="C1164" t="s">
        <v>2570</v>
      </c>
      <c r="D1164" t="s">
        <v>2571</v>
      </c>
      <c r="E1164" t="s">
        <v>23</v>
      </c>
      <c r="F1164" t="s">
        <v>2556</v>
      </c>
      <c r="G1164" s="3">
        <v>79.650000000000006</v>
      </c>
      <c r="H1164" s="3">
        <v>15.93</v>
      </c>
      <c r="I1164" s="3">
        <v>63.72</v>
      </c>
      <c r="J1164" s="3">
        <f>Table1[[#This Row],[قيمة الفاتورة]]*0.94-Table1[[#This Row],[قيمة المشاركة]]</f>
        <v>58.940999999999995</v>
      </c>
      <c r="L1164" s="3" t="str">
        <f t="shared" si="18"/>
        <v/>
      </c>
      <c r="N1164" t="s">
        <v>2558</v>
      </c>
    </row>
    <row r="1165" spans="1:14" x14ac:dyDescent="0.3">
      <c r="A1165">
        <v>982</v>
      </c>
      <c r="B1165" t="s">
        <v>1049</v>
      </c>
      <c r="C1165" t="s">
        <v>2572</v>
      </c>
      <c r="D1165" t="s">
        <v>2573</v>
      </c>
      <c r="E1165" t="s">
        <v>17</v>
      </c>
      <c r="F1165" t="s">
        <v>2556</v>
      </c>
      <c r="G1165" s="3">
        <v>6.77</v>
      </c>
      <c r="H1165" s="3">
        <v>0</v>
      </c>
      <c r="I1165" s="3">
        <v>6.77</v>
      </c>
      <c r="J1165" s="3">
        <f>Table1[[#This Row],[قيمة الفاتورة]]*0.94-Table1[[#This Row],[قيمة المشاركة]]</f>
        <v>6.3637999999999995</v>
      </c>
      <c r="L1165" s="3" t="str">
        <f t="shared" si="18"/>
        <v/>
      </c>
      <c r="N1165" t="s">
        <v>19</v>
      </c>
    </row>
    <row r="1166" spans="1:14" x14ac:dyDescent="0.3">
      <c r="A1166">
        <v>973</v>
      </c>
      <c r="B1166" t="s">
        <v>1099</v>
      </c>
      <c r="C1166" t="s">
        <v>2574</v>
      </c>
      <c r="D1166" t="s">
        <v>2575</v>
      </c>
      <c r="E1166" t="s">
        <v>23</v>
      </c>
      <c r="F1166" t="s">
        <v>2556</v>
      </c>
      <c r="G1166" s="3">
        <v>22.45</v>
      </c>
      <c r="H1166" s="3">
        <v>0</v>
      </c>
      <c r="I1166" s="3">
        <v>22.45</v>
      </c>
      <c r="J1166" s="3">
        <f>Table1[[#This Row],[قيمة الفاتورة]]*0.94-Table1[[#This Row],[قيمة المشاركة]]</f>
        <v>21.102999999999998</v>
      </c>
      <c r="L1166" s="3" t="str">
        <f t="shared" si="18"/>
        <v/>
      </c>
      <c r="N1166" t="s">
        <v>19</v>
      </c>
    </row>
    <row r="1167" spans="1:14" x14ac:dyDescent="0.3">
      <c r="A1167">
        <v>974</v>
      </c>
      <c r="B1167" t="s">
        <v>392</v>
      </c>
      <c r="C1167" t="s">
        <v>393</v>
      </c>
      <c r="D1167" t="s">
        <v>2576</v>
      </c>
      <c r="E1167" t="s">
        <v>17</v>
      </c>
      <c r="F1167" t="s">
        <v>2556</v>
      </c>
      <c r="G1167" s="3">
        <v>9.8699999999999992</v>
      </c>
      <c r="H1167" s="3">
        <v>0</v>
      </c>
      <c r="I1167" s="3">
        <v>9.8699999999999992</v>
      </c>
      <c r="J1167" s="3">
        <f>Table1[[#This Row],[قيمة الفاتورة]]*0.94-Table1[[#This Row],[قيمة المشاركة]]</f>
        <v>9.2777999999999992</v>
      </c>
      <c r="L1167" s="3" t="str">
        <f t="shared" si="18"/>
        <v/>
      </c>
      <c r="N1167" t="s">
        <v>19</v>
      </c>
    </row>
    <row r="1168" spans="1:14" x14ac:dyDescent="0.3">
      <c r="A1168">
        <v>975</v>
      </c>
      <c r="B1168" t="s">
        <v>2539</v>
      </c>
      <c r="C1168" t="s">
        <v>2540</v>
      </c>
      <c r="D1168" t="s">
        <v>2577</v>
      </c>
      <c r="E1168" t="s">
        <v>23</v>
      </c>
      <c r="F1168" t="s">
        <v>2556</v>
      </c>
      <c r="G1168" s="3">
        <v>7.95</v>
      </c>
      <c r="H1168" s="3">
        <v>0</v>
      </c>
      <c r="I1168" s="3">
        <v>7.95</v>
      </c>
      <c r="J1168" s="3">
        <f>Table1[[#This Row],[قيمة الفاتورة]]*0.94-Table1[[#This Row],[قيمة المشاركة]]</f>
        <v>7.4729999999999999</v>
      </c>
      <c r="L1168" s="3" t="str">
        <f t="shared" si="18"/>
        <v/>
      </c>
      <c r="N1168" t="s">
        <v>19</v>
      </c>
    </row>
    <row r="1169" spans="1:14" x14ac:dyDescent="0.3">
      <c r="A1169">
        <v>187</v>
      </c>
      <c r="B1169" t="s">
        <v>1345</v>
      </c>
      <c r="C1169" t="s">
        <v>1346</v>
      </c>
      <c r="D1169" t="s">
        <v>2578</v>
      </c>
      <c r="E1169" t="s">
        <v>23</v>
      </c>
      <c r="F1169" t="s">
        <v>2556</v>
      </c>
      <c r="G1169" s="3">
        <v>9.08</v>
      </c>
      <c r="H1169" s="3">
        <v>0</v>
      </c>
      <c r="I1169" s="3">
        <v>9.08</v>
      </c>
      <c r="J1169" s="3">
        <f>Table1[[#This Row],[قيمة الفاتورة]]*0.94-Table1[[#This Row],[قيمة المشاركة]]</f>
        <v>8.5351999999999997</v>
      </c>
      <c r="L1169" s="3" t="str">
        <f t="shared" si="18"/>
        <v/>
      </c>
      <c r="N1169" t="s">
        <v>19</v>
      </c>
    </row>
    <row r="1170" spans="1:14" x14ac:dyDescent="0.3">
      <c r="A1170">
        <v>188</v>
      </c>
      <c r="B1170" t="s">
        <v>1345</v>
      </c>
      <c r="C1170" t="s">
        <v>1346</v>
      </c>
      <c r="D1170" t="s">
        <v>2579</v>
      </c>
      <c r="E1170" t="s">
        <v>23</v>
      </c>
      <c r="F1170" t="s">
        <v>2556</v>
      </c>
      <c r="G1170" s="3">
        <v>23.39</v>
      </c>
      <c r="H1170" s="3">
        <v>0</v>
      </c>
      <c r="I1170" s="3">
        <v>23.39</v>
      </c>
      <c r="J1170" s="3">
        <f>Table1[[#This Row],[قيمة الفاتورة]]*0.94-Table1[[#This Row],[قيمة المشاركة]]</f>
        <v>21.986599999999999</v>
      </c>
      <c r="L1170" s="3" t="str">
        <f t="shared" si="18"/>
        <v/>
      </c>
      <c r="N1170" t="s">
        <v>19</v>
      </c>
    </row>
    <row r="1171" spans="1:14" x14ac:dyDescent="0.3">
      <c r="A1171">
        <v>972</v>
      </c>
      <c r="B1171" t="s">
        <v>2063</v>
      </c>
      <c r="C1171" t="s">
        <v>2580</v>
      </c>
      <c r="D1171" t="s">
        <v>2581</v>
      </c>
      <c r="E1171" t="s">
        <v>23</v>
      </c>
      <c r="F1171" t="s">
        <v>2556</v>
      </c>
      <c r="G1171" s="3">
        <v>42.54</v>
      </c>
      <c r="H1171" s="3">
        <v>0</v>
      </c>
      <c r="I1171" s="3">
        <v>42.54</v>
      </c>
      <c r="J1171" s="3">
        <f>Table1[[#This Row],[قيمة الفاتورة]]*0.94-Table1[[#This Row],[قيمة المشاركة]]</f>
        <v>39.9876</v>
      </c>
      <c r="L1171" s="3" t="str">
        <f t="shared" si="18"/>
        <v/>
      </c>
      <c r="N1171" t="s">
        <v>19</v>
      </c>
    </row>
    <row r="1172" spans="1:14" x14ac:dyDescent="0.3">
      <c r="A1172">
        <v>987</v>
      </c>
      <c r="B1172" t="s">
        <v>1197</v>
      </c>
      <c r="C1172" t="s">
        <v>2544</v>
      </c>
      <c r="D1172" t="s">
        <v>2582</v>
      </c>
      <c r="E1172" t="s">
        <v>23</v>
      </c>
      <c r="F1172" t="s">
        <v>2583</v>
      </c>
      <c r="G1172" s="3">
        <v>8.31</v>
      </c>
      <c r="H1172" s="3">
        <v>0</v>
      </c>
      <c r="I1172" s="3">
        <v>8.31</v>
      </c>
      <c r="J1172" s="3">
        <f>Table1[[#This Row],[قيمة الفاتورة]]*0.94-Table1[[#This Row],[قيمة المشاركة]]</f>
        <v>7.8113999999999999</v>
      </c>
      <c r="L1172" s="3" t="str">
        <f t="shared" si="18"/>
        <v/>
      </c>
      <c r="N1172" t="s">
        <v>19</v>
      </c>
    </row>
    <row r="1173" spans="1:14" x14ac:dyDescent="0.3">
      <c r="A1173">
        <v>189</v>
      </c>
      <c r="B1173" t="s">
        <v>1769</v>
      </c>
      <c r="C1173" t="s">
        <v>2584</v>
      </c>
      <c r="D1173" t="s">
        <v>2585</v>
      </c>
      <c r="E1173" t="s">
        <v>23</v>
      </c>
      <c r="F1173" t="s">
        <v>2583</v>
      </c>
      <c r="G1173" s="3">
        <v>28.23</v>
      </c>
      <c r="H1173" s="3">
        <v>0</v>
      </c>
      <c r="I1173" s="3">
        <v>28.23</v>
      </c>
      <c r="J1173" s="3">
        <f>Table1[[#This Row],[قيمة الفاتورة]]*0.94-Table1[[#This Row],[قيمة المشاركة]]</f>
        <v>26.536199999999997</v>
      </c>
      <c r="L1173" s="3" t="str">
        <f t="shared" si="18"/>
        <v/>
      </c>
      <c r="N1173" t="s">
        <v>19</v>
      </c>
    </row>
    <row r="1174" spans="1:14" x14ac:dyDescent="0.3">
      <c r="A1174">
        <v>984</v>
      </c>
      <c r="B1174" t="s">
        <v>2586</v>
      </c>
      <c r="C1174" t="s">
        <v>2587</v>
      </c>
      <c r="D1174" t="s">
        <v>2588</v>
      </c>
      <c r="E1174" t="s">
        <v>17</v>
      </c>
      <c r="F1174" t="s">
        <v>2583</v>
      </c>
      <c r="G1174" s="3">
        <v>9.7799999999999994</v>
      </c>
      <c r="H1174" s="3">
        <v>0</v>
      </c>
      <c r="I1174" s="3">
        <v>9.7799999999999994</v>
      </c>
      <c r="J1174" s="3">
        <f>Table1[[#This Row],[قيمة الفاتورة]]*0.94-Table1[[#This Row],[قيمة المشاركة]]</f>
        <v>9.1931999999999992</v>
      </c>
      <c r="L1174" s="3" t="str">
        <f t="shared" si="18"/>
        <v/>
      </c>
      <c r="N1174" t="s">
        <v>19</v>
      </c>
    </row>
    <row r="1175" spans="1:14" x14ac:dyDescent="0.3">
      <c r="A1175">
        <v>985</v>
      </c>
      <c r="B1175" t="s">
        <v>1562</v>
      </c>
      <c r="C1175" t="s">
        <v>1563</v>
      </c>
      <c r="D1175" t="s">
        <v>2589</v>
      </c>
      <c r="E1175" t="s">
        <v>23</v>
      </c>
      <c r="F1175" t="s">
        <v>2583</v>
      </c>
      <c r="G1175" s="3">
        <v>13.23</v>
      </c>
      <c r="H1175" s="3">
        <v>0</v>
      </c>
      <c r="I1175" s="3">
        <v>13.23</v>
      </c>
      <c r="J1175" s="3">
        <f>Table1[[#This Row],[قيمة الفاتورة]]*0.94-Table1[[#This Row],[قيمة المشاركة]]</f>
        <v>12.436199999999999</v>
      </c>
      <c r="L1175" s="3" t="str">
        <f t="shared" si="18"/>
        <v/>
      </c>
      <c r="N1175" t="s">
        <v>19</v>
      </c>
    </row>
    <row r="1176" spans="1:14" x14ac:dyDescent="0.3">
      <c r="A1176">
        <v>986</v>
      </c>
      <c r="B1176" t="s">
        <v>2590</v>
      </c>
      <c r="C1176" t="s">
        <v>2591</v>
      </c>
      <c r="D1176" t="s">
        <v>2592</v>
      </c>
      <c r="E1176" t="s">
        <v>23</v>
      </c>
      <c r="F1176" t="s">
        <v>2583</v>
      </c>
      <c r="G1176" s="3">
        <v>14.66</v>
      </c>
      <c r="H1176" s="3">
        <v>0</v>
      </c>
      <c r="I1176" s="3">
        <v>14.66</v>
      </c>
      <c r="J1176" s="3">
        <f>Table1[[#This Row],[قيمة الفاتورة]]*0.94-Table1[[#This Row],[قيمة المشاركة]]</f>
        <v>13.7804</v>
      </c>
      <c r="L1176" s="3" t="str">
        <f t="shared" si="18"/>
        <v/>
      </c>
      <c r="N1176" t="s">
        <v>19</v>
      </c>
    </row>
    <row r="1177" spans="1:14" x14ac:dyDescent="0.3">
      <c r="A1177">
        <v>983</v>
      </c>
      <c r="B1177" t="s">
        <v>2593</v>
      </c>
      <c r="C1177" t="s">
        <v>2425</v>
      </c>
      <c r="D1177" t="s">
        <v>2594</v>
      </c>
      <c r="E1177" t="s">
        <v>23</v>
      </c>
      <c r="F1177" t="s">
        <v>2583</v>
      </c>
      <c r="G1177" s="3">
        <v>9.6300000000000008</v>
      </c>
      <c r="H1177" s="3">
        <v>0</v>
      </c>
      <c r="I1177" s="3">
        <v>9.6300000000000008</v>
      </c>
      <c r="J1177" s="3">
        <f>Table1[[#This Row],[قيمة الفاتورة]]*0.94-Table1[[#This Row],[قيمة المشاركة]]</f>
        <v>9.0522000000000009</v>
      </c>
      <c r="L1177" s="3" t="str">
        <f t="shared" si="18"/>
        <v/>
      </c>
    </row>
    <row r="1178" spans="1:14" x14ac:dyDescent="0.3">
      <c r="A1178">
        <v>190</v>
      </c>
      <c r="B1178" t="s">
        <v>598</v>
      </c>
      <c r="C1178" t="s">
        <v>2595</v>
      </c>
      <c r="D1178" t="s">
        <v>2596</v>
      </c>
      <c r="E1178" t="s">
        <v>23</v>
      </c>
      <c r="F1178" t="s">
        <v>2597</v>
      </c>
      <c r="G1178" s="3">
        <v>22.69</v>
      </c>
      <c r="H1178" s="3">
        <v>0</v>
      </c>
      <c r="I1178" s="3">
        <v>22.69</v>
      </c>
      <c r="J1178" s="3">
        <f>Table1[[#This Row],[قيمة الفاتورة]]*0.94-Table1[[#This Row],[قيمة المشاركة]]</f>
        <v>21.328600000000002</v>
      </c>
      <c r="L1178" s="3" t="str">
        <f t="shared" si="18"/>
        <v/>
      </c>
      <c r="N1178" t="s">
        <v>19</v>
      </c>
    </row>
    <row r="1179" spans="1:14" x14ac:dyDescent="0.3">
      <c r="A1179">
        <v>989</v>
      </c>
      <c r="B1179" t="s">
        <v>39</v>
      </c>
      <c r="C1179" t="s">
        <v>40</v>
      </c>
      <c r="D1179" t="s">
        <v>2598</v>
      </c>
      <c r="E1179" t="s">
        <v>17</v>
      </c>
      <c r="F1179" t="s">
        <v>2599</v>
      </c>
      <c r="G1179" s="3">
        <v>23.53</v>
      </c>
      <c r="H1179" s="3">
        <v>0</v>
      </c>
      <c r="I1179" s="3">
        <v>23.53</v>
      </c>
      <c r="J1179" s="3">
        <f>Table1[[#This Row],[قيمة الفاتورة]]*0.94-Table1[[#This Row],[قيمة المشاركة]]</f>
        <v>22.118199999999998</v>
      </c>
      <c r="L1179" s="3" t="str">
        <f t="shared" si="18"/>
        <v/>
      </c>
      <c r="N1179" t="s">
        <v>19</v>
      </c>
    </row>
    <row r="1180" spans="1:14" x14ac:dyDescent="0.3">
      <c r="A1180">
        <v>988</v>
      </c>
      <c r="B1180" t="s">
        <v>290</v>
      </c>
      <c r="C1180" t="s">
        <v>291</v>
      </c>
      <c r="D1180" t="s">
        <v>2600</v>
      </c>
      <c r="E1180" t="s">
        <v>17</v>
      </c>
      <c r="F1180" t="s">
        <v>2599</v>
      </c>
      <c r="G1180" s="3">
        <v>5.65</v>
      </c>
      <c r="H1180" s="3">
        <v>0</v>
      </c>
      <c r="I1180" s="3">
        <v>5.65</v>
      </c>
      <c r="J1180" s="3">
        <f>Table1[[#This Row],[قيمة الفاتورة]]*0.94-Table1[[#This Row],[قيمة المشاركة]]</f>
        <v>5.3109999999999999</v>
      </c>
      <c r="L1180" s="3" t="str">
        <f t="shared" si="18"/>
        <v/>
      </c>
      <c r="N1180" t="s">
        <v>19</v>
      </c>
    </row>
    <row r="1181" spans="1:14" x14ac:dyDescent="0.3">
      <c r="A1181">
        <v>191</v>
      </c>
      <c r="B1181" t="s">
        <v>447</v>
      </c>
      <c r="C1181" t="s">
        <v>448</v>
      </c>
      <c r="D1181" t="s">
        <v>2601</v>
      </c>
      <c r="E1181" t="s">
        <v>23</v>
      </c>
      <c r="F1181" t="s">
        <v>2599</v>
      </c>
      <c r="G1181" s="3">
        <v>20.16</v>
      </c>
      <c r="H1181" s="3">
        <v>0</v>
      </c>
      <c r="I1181" s="3">
        <v>20.16</v>
      </c>
      <c r="J1181" s="3">
        <f>Table1[[#This Row],[قيمة الفاتورة]]*0.94-Table1[[#This Row],[قيمة المشاركة]]</f>
        <v>18.950399999999998</v>
      </c>
      <c r="L1181" s="3" t="str">
        <f t="shared" si="18"/>
        <v/>
      </c>
      <c r="N1181" t="s">
        <v>19</v>
      </c>
    </row>
    <row r="1182" spans="1:14" x14ac:dyDescent="0.3">
      <c r="A1182">
        <v>990</v>
      </c>
      <c r="B1182" t="s">
        <v>2602</v>
      </c>
      <c r="C1182" t="s">
        <v>2603</v>
      </c>
      <c r="D1182" t="s">
        <v>2604</v>
      </c>
      <c r="E1182" t="s">
        <v>23</v>
      </c>
      <c r="F1182" t="s">
        <v>2599</v>
      </c>
      <c r="G1182" s="3">
        <v>14.77</v>
      </c>
      <c r="H1182" s="3">
        <v>0</v>
      </c>
      <c r="I1182" s="3">
        <v>14.77</v>
      </c>
      <c r="J1182" s="3">
        <f>Table1[[#This Row],[قيمة الفاتورة]]*0.94-Table1[[#This Row],[قيمة المشاركة]]</f>
        <v>13.883799999999999</v>
      </c>
      <c r="L1182" s="3" t="str">
        <f t="shared" si="18"/>
        <v/>
      </c>
      <c r="N1182" t="s">
        <v>19</v>
      </c>
    </row>
    <row r="1183" spans="1:14" x14ac:dyDescent="0.3">
      <c r="A1183">
        <v>992</v>
      </c>
      <c r="B1183" t="s">
        <v>432</v>
      </c>
      <c r="C1183" t="s">
        <v>433</v>
      </c>
      <c r="D1183" t="s">
        <v>2605</v>
      </c>
      <c r="E1183" t="s">
        <v>23</v>
      </c>
      <c r="F1183" t="s">
        <v>2606</v>
      </c>
      <c r="G1183" s="3">
        <v>26.24</v>
      </c>
      <c r="H1183" s="3">
        <v>2.6240000000000001</v>
      </c>
      <c r="I1183" s="3">
        <v>23.616</v>
      </c>
      <c r="J1183" s="3">
        <f>Table1[[#This Row],[قيمة الفاتورة]]*0.94-Table1[[#This Row],[قيمة المشاركة]]</f>
        <v>22.041599999999999</v>
      </c>
      <c r="K1183">
        <v>22.04</v>
      </c>
      <c r="L1183" s="3">
        <f t="shared" si="18"/>
        <v>1.5999999999998238E-3</v>
      </c>
      <c r="M1183" t="s">
        <v>2557</v>
      </c>
      <c r="N1183" t="s">
        <v>126</v>
      </c>
    </row>
    <row r="1184" spans="1:14" x14ac:dyDescent="0.3">
      <c r="A1184">
        <v>192</v>
      </c>
      <c r="B1184" t="s">
        <v>2607</v>
      </c>
      <c r="C1184" t="s">
        <v>2608</v>
      </c>
      <c r="D1184" t="s">
        <v>2609</v>
      </c>
      <c r="E1184" t="s">
        <v>23</v>
      </c>
      <c r="F1184" t="s">
        <v>2606</v>
      </c>
      <c r="G1184" s="3">
        <v>14.84</v>
      </c>
      <c r="H1184" s="3">
        <v>0</v>
      </c>
      <c r="I1184" s="3">
        <v>14.84</v>
      </c>
      <c r="J1184" s="3">
        <f>Table1[[#This Row],[قيمة الفاتورة]]*0.94-Table1[[#This Row],[قيمة المشاركة]]</f>
        <v>13.949599999999998</v>
      </c>
      <c r="L1184" s="3" t="str">
        <f t="shared" si="18"/>
        <v/>
      </c>
      <c r="N1184" t="s">
        <v>19</v>
      </c>
    </row>
    <row r="1185" spans="1:14" x14ac:dyDescent="0.3">
      <c r="A1185">
        <v>193</v>
      </c>
      <c r="B1185" t="s">
        <v>2610</v>
      </c>
      <c r="C1185" t="s">
        <v>2611</v>
      </c>
      <c r="D1185" t="s">
        <v>2612</v>
      </c>
      <c r="E1185" t="s">
        <v>23</v>
      </c>
      <c r="F1185" t="s">
        <v>2606</v>
      </c>
      <c r="G1185" s="3">
        <v>5.1100000000000003</v>
      </c>
      <c r="H1185" s="3">
        <v>0</v>
      </c>
      <c r="I1185" s="3">
        <v>5.1100000000000003</v>
      </c>
      <c r="J1185" s="3">
        <f>Table1[[#This Row],[قيمة الفاتورة]]*0.94-Table1[[#This Row],[قيمة المشاركة]]</f>
        <v>4.8033999999999999</v>
      </c>
      <c r="L1185" s="3" t="str">
        <f t="shared" si="18"/>
        <v/>
      </c>
      <c r="N1185" t="s">
        <v>19</v>
      </c>
    </row>
    <row r="1186" spans="1:14" x14ac:dyDescent="0.3">
      <c r="A1186">
        <v>991</v>
      </c>
      <c r="B1186" t="s">
        <v>275</v>
      </c>
      <c r="C1186" t="s">
        <v>276</v>
      </c>
      <c r="D1186" t="s">
        <v>2613</v>
      </c>
      <c r="E1186" t="s">
        <v>17</v>
      </c>
      <c r="F1186" t="s">
        <v>2606</v>
      </c>
      <c r="G1186" s="3">
        <v>14.2</v>
      </c>
      <c r="H1186" s="3">
        <v>0</v>
      </c>
      <c r="I1186" s="3">
        <v>14.2</v>
      </c>
      <c r="J1186" s="3">
        <f>Table1[[#This Row],[قيمة الفاتورة]]*0.94-Table1[[#This Row],[قيمة المشاركة]]</f>
        <v>13.347999999999999</v>
      </c>
      <c r="L1186" s="3" t="str">
        <f t="shared" si="18"/>
        <v/>
      </c>
      <c r="N1186" t="s">
        <v>19</v>
      </c>
    </row>
    <row r="1187" spans="1:14" x14ac:dyDescent="0.3">
      <c r="A1187">
        <v>195</v>
      </c>
      <c r="B1187" t="s">
        <v>2607</v>
      </c>
      <c r="C1187" t="s">
        <v>2608</v>
      </c>
      <c r="D1187" t="s">
        <v>2614</v>
      </c>
      <c r="E1187" t="s">
        <v>23</v>
      </c>
      <c r="F1187" t="s">
        <v>2615</v>
      </c>
      <c r="G1187" s="3">
        <v>2.68</v>
      </c>
      <c r="H1187" s="3">
        <v>0</v>
      </c>
      <c r="I1187" s="3">
        <v>2.68</v>
      </c>
      <c r="J1187" s="3">
        <f>Table1[[#This Row],[قيمة الفاتورة]]*0.94-Table1[[#This Row],[قيمة المشاركة]]</f>
        <v>2.5192000000000001</v>
      </c>
      <c r="L1187" s="3" t="str">
        <f t="shared" si="18"/>
        <v/>
      </c>
      <c r="N1187" t="s">
        <v>19</v>
      </c>
    </row>
    <row r="1188" spans="1:14" x14ac:dyDescent="0.3">
      <c r="A1188">
        <v>993</v>
      </c>
      <c r="B1188" t="s">
        <v>2616</v>
      </c>
      <c r="C1188" t="s">
        <v>2617</v>
      </c>
      <c r="D1188" t="s">
        <v>2618</v>
      </c>
      <c r="E1188" t="s">
        <v>17</v>
      </c>
      <c r="F1188" t="s">
        <v>2615</v>
      </c>
      <c r="G1188" s="3">
        <v>11.8</v>
      </c>
      <c r="H1188" s="3">
        <v>0</v>
      </c>
      <c r="I1188" s="3">
        <v>11.8</v>
      </c>
      <c r="J1188" s="3">
        <f>Table1[[#This Row],[قيمة الفاتورة]]*0.94-Table1[[#This Row],[قيمة المشاركة]]</f>
        <v>11.092000000000001</v>
      </c>
      <c r="L1188" s="3" t="str">
        <f t="shared" si="18"/>
        <v/>
      </c>
      <c r="N1188" t="s">
        <v>19</v>
      </c>
    </row>
    <row r="1189" spans="1:14" x14ac:dyDescent="0.3">
      <c r="A1189">
        <v>194</v>
      </c>
      <c r="B1189" t="s">
        <v>2619</v>
      </c>
      <c r="C1189" t="s">
        <v>2620</v>
      </c>
      <c r="D1189" t="s">
        <v>2621</v>
      </c>
      <c r="E1189" t="s">
        <v>23</v>
      </c>
      <c r="F1189" t="s">
        <v>2615</v>
      </c>
      <c r="G1189" s="3">
        <v>3.96</v>
      </c>
      <c r="H1189" s="3">
        <v>0</v>
      </c>
      <c r="I1189" s="3">
        <v>3.96</v>
      </c>
      <c r="J1189" s="3">
        <f>Table1[[#This Row],[قيمة الفاتورة]]*0.94-Table1[[#This Row],[قيمة المشاركة]]</f>
        <v>3.7223999999999999</v>
      </c>
      <c r="L1189" s="3" t="str">
        <f t="shared" si="18"/>
        <v/>
      </c>
      <c r="N1189" t="s">
        <v>19</v>
      </c>
    </row>
    <row r="1190" spans="1:14" x14ac:dyDescent="0.3">
      <c r="A1190">
        <v>995</v>
      </c>
      <c r="B1190" t="s">
        <v>302</v>
      </c>
      <c r="C1190" t="s">
        <v>303</v>
      </c>
      <c r="D1190" t="s">
        <v>2622</v>
      </c>
      <c r="E1190" t="s">
        <v>17</v>
      </c>
      <c r="F1190" t="s">
        <v>2615</v>
      </c>
      <c r="G1190" s="3">
        <v>32.119999999999997</v>
      </c>
      <c r="H1190" s="3">
        <v>0</v>
      </c>
      <c r="I1190" s="3">
        <v>32.119999999999997</v>
      </c>
      <c r="J1190" s="3">
        <f>Table1[[#This Row],[قيمة الفاتورة]]*0.94-Table1[[#This Row],[قيمة المشاركة]]</f>
        <v>30.192799999999995</v>
      </c>
      <c r="L1190" s="3" t="str">
        <f t="shared" si="18"/>
        <v/>
      </c>
      <c r="N1190" t="s">
        <v>19</v>
      </c>
    </row>
    <row r="1191" spans="1:14" x14ac:dyDescent="0.3">
      <c r="A1191">
        <v>994</v>
      </c>
      <c r="B1191" t="s">
        <v>2180</v>
      </c>
      <c r="C1191" t="s">
        <v>2181</v>
      </c>
      <c r="D1191" t="s">
        <v>2623</v>
      </c>
      <c r="E1191" t="s">
        <v>23</v>
      </c>
      <c r="F1191" t="s">
        <v>2615</v>
      </c>
      <c r="G1191" s="3">
        <v>28.62</v>
      </c>
      <c r="H1191" s="3">
        <v>0</v>
      </c>
      <c r="I1191" s="3">
        <v>28.62</v>
      </c>
      <c r="J1191" s="3">
        <f>Table1[[#This Row],[قيمة الفاتورة]]*0.94-Table1[[#This Row],[قيمة المشاركة]]</f>
        <v>26.902799999999999</v>
      </c>
      <c r="L1191" s="3" t="str">
        <f t="shared" si="18"/>
        <v/>
      </c>
      <c r="N1191" t="s">
        <v>19</v>
      </c>
    </row>
    <row r="1192" spans="1:14" x14ac:dyDescent="0.3">
      <c r="A1192">
        <v>996</v>
      </c>
      <c r="B1192" t="s">
        <v>720</v>
      </c>
      <c r="C1192" t="s">
        <v>721</v>
      </c>
      <c r="D1192" t="s">
        <v>2624</v>
      </c>
      <c r="E1192" t="s">
        <v>17</v>
      </c>
      <c r="F1192" t="s">
        <v>2625</v>
      </c>
      <c r="G1192" s="3">
        <v>41.65</v>
      </c>
      <c r="H1192" s="3">
        <v>0</v>
      </c>
      <c r="I1192" s="3">
        <v>41.65</v>
      </c>
      <c r="J1192" s="3">
        <f>Table1[[#This Row],[قيمة الفاتورة]]*0.94-Table1[[#This Row],[قيمة المشاركة]]</f>
        <v>39.150999999999996</v>
      </c>
      <c r="L1192" s="3" t="str">
        <f t="shared" si="18"/>
        <v/>
      </c>
      <c r="N1192" t="s">
        <v>19</v>
      </c>
    </row>
    <row r="1193" spans="1:14" x14ac:dyDescent="0.3">
      <c r="A1193">
        <v>196</v>
      </c>
      <c r="B1193" t="s">
        <v>2619</v>
      </c>
      <c r="C1193" t="s">
        <v>2620</v>
      </c>
      <c r="D1193" t="s">
        <v>2626</v>
      </c>
      <c r="E1193" t="s">
        <v>23</v>
      </c>
      <c r="F1193" t="s">
        <v>2625</v>
      </c>
      <c r="G1193" s="3">
        <v>31.74</v>
      </c>
      <c r="H1193" s="3">
        <v>0</v>
      </c>
      <c r="I1193" s="3">
        <v>31.74</v>
      </c>
      <c r="J1193" s="3">
        <f>Table1[[#This Row],[قيمة الفاتورة]]*0.94-Table1[[#This Row],[قيمة المشاركة]]</f>
        <v>29.835599999999996</v>
      </c>
      <c r="L1193" s="3" t="str">
        <f t="shared" si="18"/>
        <v/>
      </c>
      <c r="N1193" t="s">
        <v>19</v>
      </c>
    </row>
    <row r="1194" spans="1:14" x14ac:dyDescent="0.3">
      <c r="A1194">
        <v>197</v>
      </c>
      <c r="B1194" t="s">
        <v>1017</v>
      </c>
      <c r="C1194" t="s">
        <v>2627</v>
      </c>
      <c r="D1194" t="s">
        <v>2628</v>
      </c>
      <c r="E1194" t="s">
        <v>23</v>
      </c>
      <c r="F1194" t="s">
        <v>2625</v>
      </c>
      <c r="G1194" s="3">
        <v>8.41</v>
      </c>
      <c r="H1194" s="3">
        <v>0</v>
      </c>
      <c r="I1194" s="3">
        <v>8.41</v>
      </c>
      <c r="J1194" s="3">
        <f>Table1[[#This Row],[قيمة الفاتورة]]*0.94-Table1[[#This Row],[قيمة المشاركة]]</f>
        <v>7.9053999999999993</v>
      </c>
      <c r="L1194" s="3" t="str">
        <f t="shared" si="18"/>
        <v/>
      </c>
      <c r="N1194" t="s">
        <v>19</v>
      </c>
    </row>
    <row r="1195" spans="1:14" x14ac:dyDescent="0.3">
      <c r="A1195">
        <v>998</v>
      </c>
      <c r="B1195" t="s">
        <v>1452</v>
      </c>
      <c r="C1195" t="s">
        <v>2629</v>
      </c>
      <c r="D1195" t="s">
        <v>2630</v>
      </c>
      <c r="E1195" t="s">
        <v>17</v>
      </c>
      <c r="F1195" t="s">
        <v>2631</v>
      </c>
      <c r="G1195" s="3">
        <v>25.98</v>
      </c>
      <c r="H1195" s="3">
        <v>0</v>
      </c>
      <c r="I1195" s="3">
        <v>25.98</v>
      </c>
      <c r="J1195" s="3">
        <f>Table1[[#This Row],[قيمة الفاتورة]]*0.94-Table1[[#This Row],[قيمة المشاركة]]</f>
        <v>24.421199999999999</v>
      </c>
      <c r="L1195" s="3" t="str">
        <f t="shared" si="18"/>
        <v/>
      </c>
      <c r="N1195" t="s">
        <v>19</v>
      </c>
    </row>
    <row r="1196" spans="1:14" x14ac:dyDescent="0.3">
      <c r="A1196">
        <v>198</v>
      </c>
      <c r="B1196" t="s">
        <v>1148</v>
      </c>
      <c r="C1196" t="s">
        <v>1149</v>
      </c>
      <c r="D1196" t="s">
        <v>2632</v>
      </c>
      <c r="E1196" t="s">
        <v>17</v>
      </c>
      <c r="F1196" t="s">
        <v>2631</v>
      </c>
      <c r="G1196" s="3">
        <v>33.86</v>
      </c>
      <c r="H1196" s="3">
        <v>0</v>
      </c>
      <c r="I1196" s="3">
        <v>33.86</v>
      </c>
      <c r="J1196" s="3">
        <f>Table1[[#This Row],[قيمة الفاتورة]]*0.94-Table1[[#This Row],[قيمة المشاركة]]</f>
        <v>31.828399999999998</v>
      </c>
      <c r="L1196" s="3" t="str">
        <f t="shared" si="18"/>
        <v/>
      </c>
      <c r="N1196" t="s">
        <v>19</v>
      </c>
    </row>
    <row r="1197" spans="1:14" x14ac:dyDescent="0.3">
      <c r="A1197">
        <v>999</v>
      </c>
      <c r="B1197" t="s">
        <v>2616</v>
      </c>
      <c r="C1197" t="s">
        <v>2617</v>
      </c>
      <c r="D1197" t="s">
        <v>2633</v>
      </c>
      <c r="E1197" t="s">
        <v>17</v>
      </c>
      <c r="F1197" t="s">
        <v>2631</v>
      </c>
      <c r="G1197" s="3">
        <v>11</v>
      </c>
      <c r="H1197" s="3">
        <v>0</v>
      </c>
      <c r="I1197" s="3">
        <v>11</v>
      </c>
      <c r="J1197" s="3">
        <f>Table1[[#This Row],[قيمة الفاتورة]]*0.94-Table1[[#This Row],[قيمة المشاركة]]</f>
        <v>10.34</v>
      </c>
      <c r="L1197" s="3" t="str">
        <f t="shared" si="18"/>
        <v/>
      </c>
      <c r="N1197" t="s">
        <v>19</v>
      </c>
    </row>
    <row r="1198" spans="1:14" x14ac:dyDescent="0.3">
      <c r="A1198">
        <v>1000</v>
      </c>
      <c r="B1198" t="s">
        <v>385</v>
      </c>
      <c r="C1198" t="s">
        <v>2634</v>
      </c>
      <c r="D1198" t="s">
        <v>2635</v>
      </c>
      <c r="E1198" t="s">
        <v>23</v>
      </c>
      <c r="F1198" t="s">
        <v>2631</v>
      </c>
      <c r="G1198" s="3">
        <v>19.5</v>
      </c>
      <c r="H1198" s="3">
        <v>0</v>
      </c>
      <c r="I1198" s="3">
        <v>19.5</v>
      </c>
      <c r="J1198" s="3">
        <f>Table1[[#This Row],[قيمة الفاتورة]]*0.94-Table1[[#This Row],[قيمة المشاركة]]</f>
        <v>18.329999999999998</v>
      </c>
      <c r="L1198" s="3" t="str">
        <f t="shared" si="18"/>
        <v/>
      </c>
      <c r="N1198" t="s">
        <v>19</v>
      </c>
    </row>
    <row r="1199" spans="1:14" x14ac:dyDescent="0.3">
      <c r="A1199">
        <v>200</v>
      </c>
      <c r="B1199" t="s">
        <v>666</v>
      </c>
      <c r="C1199" t="s">
        <v>667</v>
      </c>
      <c r="D1199" t="s">
        <v>2636</v>
      </c>
      <c r="E1199" t="s">
        <v>23</v>
      </c>
      <c r="F1199" t="s">
        <v>2631</v>
      </c>
      <c r="G1199" s="3">
        <v>16.260000000000002</v>
      </c>
      <c r="H1199" s="3">
        <v>0</v>
      </c>
      <c r="I1199" s="3">
        <v>16.260000000000002</v>
      </c>
      <c r="J1199" s="3">
        <f>Table1[[#This Row],[قيمة الفاتورة]]*0.94-Table1[[#This Row],[قيمة المشاركة]]</f>
        <v>15.2844</v>
      </c>
      <c r="L1199" s="3" t="str">
        <f t="shared" si="18"/>
        <v/>
      </c>
      <c r="N1199" t="s">
        <v>19</v>
      </c>
    </row>
    <row r="1200" spans="1:14" x14ac:dyDescent="0.3">
      <c r="A1200">
        <v>997</v>
      </c>
      <c r="B1200" t="s">
        <v>343</v>
      </c>
      <c r="C1200" t="s">
        <v>344</v>
      </c>
      <c r="D1200" t="s">
        <v>2637</v>
      </c>
      <c r="E1200" t="s">
        <v>17</v>
      </c>
      <c r="F1200" t="s">
        <v>2631</v>
      </c>
      <c r="G1200" s="3">
        <v>49.98</v>
      </c>
      <c r="H1200" s="3">
        <v>0</v>
      </c>
      <c r="I1200" s="3">
        <v>49.98</v>
      </c>
      <c r="J1200" s="3">
        <f>Table1[[#This Row],[قيمة الفاتورة]]*0.94-Table1[[#This Row],[قيمة المشاركة]]</f>
        <v>46.981199999999994</v>
      </c>
      <c r="L1200" s="3" t="str">
        <f t="shared" si="18"/>
        <v/>
      </c>
      <c r="N1200" t="s">
        <v>19</v>
      </c>
    </row>
    <row r="1201" spans="1:14" x14ac:dyDescent="0.3">
      <c r="A1201">
        <v>199</v>
      </c>
      <c r="B1201" t="s">
        <v>343</v>
      </c>
      <c r="C1201" t="s">
        <v>344</v>
      </c>
      <c r="D1201" t="s">
        <v>2637</v>
      </c>
      <c r="E1201" t="s">
        <v>17</v>
      </c>
      <c r="F1201" t="s">
        <v>2631</v>
      </c>
      <c r="G1201" s="3">
        <v>5.26</v>
      </c>
      <c r="H1201" s="3">
        <v>0</v>
      </c>
      <c r="I1201" s="3">
        <v>5.26</v>
      </c>
      <c r="J1201" s="3">
        <f>Table1[[#This Row],[قيمة الفاتورة]]*0.94-Table1[[#This Row],[قيمة المشاركة]]</f>
        <v>4.9443999999999999</v>
      </c>
      <c r="L1201" s="3" t="str">
        <f t="shared" si="18"/>
        <v/>
      </c>
      <c r="N1201" t="s">
        <v>19</v>
      </c>
    </row>
    <row r="1202" spans="1:14" x14ac:dyDescent="0.3">
      <c r="A1202">
        <v>1001</v>
      </c>
      <c r="B1202" t="s">
        <v>2007</v>
      </c>
      <c r="C1202" t="s">
        <v>2008</v>
      </c>
      <c r="D1202" t="s">
        <v>2638</v>
      </c>
      <c r="E1202" t="s">
        <v>23</v>
      </c>
      <c r="F1202" t="s">
        <v>2639</v>
      </c>
      <c r="G1202" s="3">
        <v>43.51</v>
      </c>
      <c r="H1202" s="3">
        <v>8.702</v>
      </c>
      <c r="I1202" s="3">
        <v>34.808</v>
      </c>
      <c r="J1202" s="3">
        <f>Table1[[#This Row],[قيمة الفاتورة]]*0.94-Table1[[#This Row],[قيمة المشاركة]]</f>
        <v>32.197399999999995</v>
      </c>
      <c r="K1202">
        <v>32.197000000000003</v>
      </c>
      <c r="L1202" s="3">
        <f t="shared" si="18"/>
        <v>3.9999999999196234E-4</v>
      </c>
      <c r="M1202" t="s">
        <v>2357</v>
      </c>
      <c r="N1202" t="s">
        <v>328</v>
      </c>
    </row>
    <row r="1203" spans="1:14" x14ac:dyDescent="0.3">
      <c r="A1203">
        <v>1003</v>
      </c>
      <c r="B1203" t="s">
        <v>315</v>
      </c>
      <c r="C1203" t="s">
        <v>316</v>
      </c>
      <c r="D1203" t="s">
        <v>2640</v>
      </c>
      <c r="E1203" t="s">
        <v>17</v>
      </c>
      <c r="F1203" t="s">
        <v>2641</v>
      </c>
      <c r="G1203" s="3">
        <v>17.16</v>
      </c>
      <c r="H1203" s="3">
        <v>0</v>
      </c>
      <c r="I1203" s="3">
        <v>17.16</v>
      </c>
      <c r="J1203" s="3">
        <f>Table1[[#This Row],[قيمة الفاتورة]]*0.94-Table1[[#This Row],[قيمة المشاركة]]</f>
        <v>16.130399999999998</v>
      </c>
      <c r="L1203" s="3" t="str">
        <f t="shared" si="18"/>
        <v/>
      </c>
      <c r="N1203" t="s">
        <v>19</v>
      </c>
    </row>
    <row r="1204" spans="1:14" x14ac:dyDescent="0.3">
      <c r="A1204">
        <v>1002</v>
      </c>
      <c r="B1204" t="s">
        <v>134</v>
      </c>
      <c r="C1204" t="s">
        <v>220</v>
      </c>
      <c r="D1204" t="s">
        <v>2642</v>
      </c>
      <c r="E1204" t="s">
        <v>17</v>
      </c>
      <c r="F1204" t="s">
        <v>2641</v>
      </c>
      <c r="G1204" s="3">
        <v>17.579999999999998</v>
      </c>
      <c r="H1204" s="3">
        <v>0</v>
      </c>
      <c r="I1204" s="3">
        <v>17.579999999999998</v>
      </c>
      <c r="J1204" s="3">
        <f>Table1[[#This Row],[قيمة الفاتورة]]*0.94-Table1[[#This Row],[قيمة المشاركة]]</f>
        <v>16.525199999999998</v>
      </c>
      <c r="L1204" s="3" t="str">
        <f t="shared" si="18"/>
        <v/>
      </c>
      <c r="N1204" t="s">
        <v>19</v>
      </c>
    </row>
    <row r="1205" spans="1:14" x14ac:dyDescent="0.3">
      <c r="A1205">
        <v>1004</v>
      </c>
      <c r="B1205" t="s">
        <v>659</v>
      </c>
      <c r="C1205" t="s">
        <v>660</v>
      </c>
      <c r="D1205" t="s">
        <v>2643</v>
      </c>
      <c r="E1205" t="s">
        <v>17</v>
      </c>
      <c r="F1205" t="s">
        <v>2641</v>
      </c>
      <c r="G1205" s="3">
        <v>27.2</v>
      </c>
      <c r="H1205" s="3">
        <v>0</v>
      </c>
      <c r="I1205" s="3">
        <v>27.2</v>
      </c>
      <c r="J1205" s="3">
        <f>Table1[[#This Row],[قيمة الفاتورة]]*0.94-Table1[[#This Row],[قيمة المشاركة]]</f>
        <v>25.567999999999998</v>
      </c>
      <c r="L1205" s="3" t="str">
        <f t="shared" si="18"/>
        <v/>
      </c>
      <c r="N1205" t="s">
        <v>19</v>
      </c>
    </row>
    <row r="1206" spans="1:14" x14ac:dyDescent="0.3">
      <c r="A1206">
        <v>1006</v>
      </c>
      <c r="B1206" t="s">
        <v>2610</v>
      </c>
      <c r="C1206" t="s">
        <v>2611</v>
      </c>
      <c r="D1206" t="s">
        <v>2644</v>
      </c>
      <c r="E1206" t="s">
        <v>23</v>
      </c>
      <c r="F1206" t="s">
        <v>2645</v>
      </c>
      <c r="G1206" s="3">
        <v>27.677</v>
      </c>
      <c r="H1206" s="3">
        <v>0</v>
      </c>
      <c r="I1206" s="3">
        <v>27.677</v>
      </c>
      <c r="J1206" s="3">
        <f>Table1[[#This Row],[قيمة الفاتورة]]*0.94-Table1[[#This Row],[قيمة المشاركة]]</f>
        <v>26.016379999999998</v>
      </c>
      <c r="L1206" s="3" t="str">
        <f t="shared" si="18"/>
        <v/>
      </c>
      <c r="N1206" t="s">
        <v>19</v>
      </c>
    </row>
    <row r="1207" spans="1:14" x14ac:dyDescent="0.3">
      <c r="A1207">
        <v>1005</v>
      </c>
      <c r="B1207" t="s">
        <v>1038</v>
      </c>
      <c r="C1207" t="s">
        <v>1039</v>
      </c>
      <c r="D1207" t="s">
        <v>2646</v>
      </c>
      <c r="E1207" t="s">
        <v>17</v>
      </c>
      <c r="F1207" t="s">
        <v>2645</v>
      </c>
      <c r="G1207" s="3">
        <v>24.46</v>
      </c>
      <c r="H1207" s="3">
        <v>0</v>
      </c>
      <c r="I1207" s="3">
        <v>24.46</v>
      </c>
      <c r="J1207" s="3">
        <f>Table1[[#This Row],[قيمة الفاتورة]]*0.94-Table1[[#This Row],[قيمة المشاركة]]</f>
        <v>22.9924</v>
      </c>
      <c r="L1207" s="3" t="str">
        <f t="shared" si="18"/>
        <v/>
      </c>
      <c r="N1207" t="s">
        <v>19</v>
      </c>
    </row>
    <row r="1208" spans="1:14" x14ac:dyDescent="0.3">
      <c r="A1208">
        <v>1007</v>
      </c>
      <c r="B1208" t="s">
        <v>440</v>
      </c>
      <c r="C1208" t="s">
        <v>441</v>
      </c>
      <c r="D1208" t="s">
        <v>2647</v>
      </c>
      <c r="E1208" t="s">
        <v>17</v>
      </c>
      <c r="F1208" t="s">
        <v>2645</v>
      </c>
      <c r="G1208" s="3">
        <v>4.13</v>
      </c>
      <c r="H1208" s="3">
        <v>0</v>
      </c>
      <c r="I1208" s="3">
        <v>4.13</v>
      </c>
      <c r="J1208" s="3">
        <f>Table1[[#This Row],[قيمة الفاتورة]]*0.94-Table1[[#This Row],[قيمة المشاركة]]</f>
        <v>3.8821999999999997</v>
      </c>
      <c r="L1208" s="3" t="str">
        <f t="shared" si="18"/>
        <v/>
      </c>
      <c r="N1208" t="s">
        <v>19</v>
      </c>
    </row>
    <row r="1209" spans="1:14" x14ac:dyDescent="0.3">
      <c r="A1209">
        <v>1008</v>
      </c>
      <c r="B1209" t="s">
        <v>686</v>
      </c>
      <c r="C1209" t="s">
        <v>226</v>
      </c>
      <c r="D1209" t="s">
        <v>2648</v>
      </c>
      <c r="E1209" t="s">
        <v>17</v>
      </c>
      <c r="F1209" t="s">
        <v>2649</v>
      </c>
      <c r="G1209" s="3">
        <v>37.56</v>
      </c>
      <c r="H1209" s="3">
        <v>7.5119999999999996</v>
      </c>
      <c r="I1209" s="3">
        <v>30.047999999999998</v>
      </c>
      <c r="J1209" s="3">
        <f>Table1[[#This Row],[قيمة الفاتورة]]*0.94-Table1[[#This Row],[قيمة المشاركة]]</f>
        <v>27.794400000000003</v>
      </c>
      <c r="L1209" s="3" t="str">
        <f t="shared" si="18"/>
        <v/>
      </c>
      <c r="N1209" t="s">
        <v>19</v>
      </c>
    </row>
    <row r="1210" spans="1:14" x14ac:dyDescent="0.3">
      <c r="A1210">
        <v>1009</v>
      </c>
      <c r="B1210" t="s">
        <v>955</v>
      </c>
      <c r="C1210" t="s">
        <v>956</v>
      </c>
      <c r="D1210" t="s">
        <v>2650</v>
      </c>
      <c r="E1210" t="s">
        <v>23</v>
      </c>
      <c r="F1210" t="s">
        <v>2649</v>
      </c>
      <c r="G1210" s="3">
        <v>7.38</v>
      </c>
      <c r="H1210" s="3">
        <v>0</v>
      </c>
      <c r="I1210" s="3">
        <v>7.38</v>
      </c>
      <c r="J1210" s="3">
        <f>Table1[[#This Row],[قيمة الفاتورة]]*0.94-Table1[[#This Row],[قيمة المشاركة]]</f>
        <v>6.9371999999999998</v>
      </c>
      <c r="L1210" s="3" t="str">
        <f t="shared" si="18"/>
        <v/>
      </c>
      <c r="N1210" t="s">
        <v>19</v>
      </c>
    </row>
    <row r="1211" spans="1:14" x14ac:dyDescent="0.3">
      <c r="A1211">
        <v>1011</v>
      </c>
      <c r="B1211" t="s">
        <v>2651</v>
      </c>
      <c r="C1211" t="s">
        <v>2652</v>
      </c>
      <c r="D1211" t="s">
        <v>2653</v>
      </c>
      <c r="E1211" t="s">
        <v>23</v>
      </c>
      <c r="F1211" t="s">
        <v>2649</v>
      </c>
      <c r="G1211" s="3">
        <v>3.24</v>
      </c>
      <c r="H1211" s="3">
        <v>0</v>
      </c>
      <c r="I1211" s="3">
        <v>3.24</v>
      </c>
      <c r="J1211" s="3">
        <f>Table1[[#This Row],[قيمة الفاتورة]]*0.94-Table1[[#This Row],[قيمة المشاركة]]</f>
        <v>3.0455999999999999</v>
      </c>
      <c r="L1211" s="3" t="str">
        <f t="shared" si="18"/>
        <v/>
      </c>
      <c r="N1211" t="s">
        <v>19</v>
      </c>
    </row>
    <row r="1212" spans="1:14" x14ac:dyDescent="0.3">
      <c r="A1212">
        <v>1012</v>
      </c>
      <c r="B1212" t="s">
        <v>2207</v>
      </c>
      <c r="C1212" t="s">
        <v>1733</v>
      </c>
      <c r="D1212" t="s">
        <v>2654</v>
      </c>
      <c r="E1212" t="s">
        <v>23</v>
      </c>
      <c r="F1212" t="s">
        <v>2649</v>
      </c>
      <c r="G1212" s="3">
        <v>7.46</v>
      </c>
      <c r="H1212" s="3">
        <v>0</v>
      </c>
      <c r="I1212" s="3">
        <v>7.46</v>
      </c>
      <c r="J1212" s="3">
        <f>Table1[[#This Row],[قيمة الفاتورة]]*0.94-Table1[[#This Row],[قيمة المشاركة]]</f>
        <v>7.0123999999999995</v>
      </c>
      <c r="L1212" s="3" t="str">
        <f t="shared" si="18"/>
        <v/>
      </c>
      <c r="N1212" t="s">
        <v>19</v>
      </c>
    </row>
    <row r="1213" spans="1:14" x14ac:dyDescent="0.3">
      <c r="A1213">
        <v>1013</v>
      </c>
      <c r="B1213" t="s">
        <v>2180</v>
      </c>
      <c r="C1213" t="s">
        <v>2181</v>
      </c>
      <c r="D1213" t="s">
        <v>2655</v>
      </c>
      <c r="E1213" t="s">
        <v>23</v>
      </c>
      <c r="F1213" t="s">
        <v>2649</v>
      </c>
      <c r="G1213" s="3">
        <v>25.73</v>
      </c>
      <c r="H1213" s="3">
        <v>0</v>
      </c>
      <c r="I1213" s="3">
        <v>25.73</v>
      </c>
      <c r="J1213" s="3">
        <f>Table1[[#This Row],[قيمة الفاتورة]]*0.94-Table1[[#This Row],[قيمة المشاركة]]</f>
        <v>24.186199999999999</v>
      </c>
      <c r="L1213" s="3" t="str">
        <f t="shared" si="18"/>
        <v/>
      </c>
      <c r="N1213" t="s">
        <v>19</v>
      </c>
    </row>
    <row r="1214" spans="1:14" x14ac:dyDescent="0.3">
      <c r="A1214">
        <v>1010</v>
      </c>
      <c r="B1214" t="s">
        <v>2656</v>
      </c>
      <c r="C1214" t="s">
        <v>2657</v>
      </c>
      <c r="D1214" t="s">
        <v>2658</v>
      </c>
      <c r="E1214" t="s">
        <v>23</v>
      </c>
      <c r="F1214" t="s">
        <v>2649</v>
      </c>
      <c r="G1214" s="3">
        <v>10.47</v>
      </c>
      <c r="H1214" s="3">
        <v>0</v>
      </c>
      <c r="I1214" s="3">
        <v>10.47</v>
      </c>
      <c r="J1214" s="3">
        <f>Table1[[#This Row],[قيمة الفاتورة]]*0.94-Table1[[#This Row],[قيمة المشاركة]]</f>
        <v>9.8417999999999992</v>
      </c>
      <c r="L1214" s="3" t="str">
        <f t="shared" si="18"/>
        <v/>
      </c>
      <c r="N1214" t="s">
        <v>19</v>
      </c>
    </row>
    <row r="1215" spans="1:14" x14ac:dyDescent="0.3">
      <c r="A1215">
        <v>1015</v>
      </c>
      <c r="B1215" t="s">
        <v>2659</v>
      </c>
      <c r="C1215" t="s">
        <v>2660</v>
      </c>
      <c r="D1215" t="s">
        <v>2661</v>
      </c>
      <c r="E1215" t="s">
        <v>17</v>
      </c>
      <c r="F1215" t="s">
        <v>2662</v>
      </c>
      <c r="G1215" s="3">
        <v>40.57</v>
      </c>
      <c r="H1215" s="3">
        <v>0</v>
      </c>
      <c r="I1215" s="3">
        <v>40.57</v>
      </c>
      <c r="J1215" s="3">
        <f>Table1[[#This Row],[قيمة الفاتورة]]*0.94-Table1[[#This Row],[قيمة المشاركة]]</f>
        <v>38.135799999999996</v>
      </c>
      <c r="L1215" s="3" t="str">
        <f t="shared" si="18"/>
        <v/>
      </c>
      <c r="N1215" t="s">
        <v>19</v>
      </c>
    </row>
    <row r="1216" spans="1:14" x14ac:dyDescent="0.3">
      <c r="A1216">
        <v>1014</v>
      </c>
      <c r="B1216" t="s">
        <v>2663</v>
      </c>
      <c r="C1216" t="s">
        <v>2664</v>
      </c>
      <c r="D1216" t="s">
        <v>2665</v>
      </c>
      <c r="E1216" t="s">
        <v>17</v>
      </c>
      <c r="F1216" t="s">
        <v>2662</v>
      </c>
      <c r="G1216" s="3">
        <v>32.07</v>
      </c>
      <c r="H1216" s="3">
        <v>0</v>
      </c>
      <c r="I1216" s="3">
        <v>32.07</v>
      </c>
      <c r="J1216" s="3">
        <f>Table1[[#This Row],[قيمة الفاتورة]]*0.94-Table1[[#This Row],[قيمة المشاركة]]</f>
        <v>30.145799999999998</v>
      </c>
      <c r="L1216" s="3" t="str">
        <f t="shared" si="18"/>
        <v/>
      </c>
      <c r="N1216" t="s">
        <v>19</v>
      </c>
    </row>
    <row r="1217" spans="1:14" x14ac:dyDescent="0.3">
      <c r="A1217">
        <v>1016</v>
      </c>
      <c r="B1217" t="s">
        <v>2666</v>
      </c>
      <c r="C1217" t="s">
        <v>2667</v>
      </c>
      <c r="D1217" t="s">
        <v>2668</v>
      </c>
      <c r="E1217" t="s">
        <v>17</v>
      </c>
      <c r="F1217" t="s">
        <v>2662</v>
      </c>
      <c r="G1217" s="3">
        <v>37.21</v>
      </c>
      <c r="H1217" s="3">
        <v>0</v>
      </c>
      <c r="I1217" s="3">
        <v>37.21</v>
      </c>
      <c r="J1217" s="3">
        <f>Table1[[#This Row],[قيمة الفاتورة]]*0.94-Table1[[#This Row],[قيمة المشاركة]]</f>
        <v>34.977399999999996</v>
      </c>
      <c r="L1217" s="3" t="str">
        <f t="shared" si="18"/>
        <v/>
      </c>
      <c r="N1217" t="s">
        <v>19</v>
      </c>
    </row>
    <row r="1218" spans="1:14" x14ac:dyDescent="0.3">
      <c r="A1218">
        <v>202</v>
      </c>
      <c r="B1218" t="s">
        <v>2666</v>
      </c>
      <c r="C1218" t="s">
        <v>2667</v>
      </c>
      <c r="D1218" t="s">
        <v>2669</v>
      </c>
      <c r="E1218" t="s">
        <v>17</v>
      </c>
      <c r="F1218" t="s">
        <v>2662</v>
      </c>
      <c r="G1218" s="3">
        <v>10.54</v>
      </c>
      <c r="H1218" s="3">
        <v>0</v>
      </c>
      <c r="I1218" s="3">
        <v>10.54</v>
      </c>
      <c r="J1218" s="3">
        <f>Table1[[#This Row],[قيمة الفاتورة]]*0.94-Table1[[#This Row],[قيمة المشاركة]]</f>
        <v>9.9075999999999986</v>
      </c>
      <c r="L1218" s="3" t="str">
        <f t="shared" ref="L1218:L1281" si="19">IF(ISNUMBER(K1218), J1218-K1218, "")</f>
        <v/>
      </c>
      <c r="N1218" t="s">
        <v>19</v>
      </c>
    </row>
    <row r="1219" spans="1:14" x14ac:dyDescent="0.3">
      <c r="A1219">
        <v>1021</v>
      </c>
      <c r="B1219" t="s">
        <v>510</v>
      </c>
      <c r="C1219" t="s">
        <v>511</v>
      </c>
      <c r="D1219" t="s">
        <v>2670</v>
      </c>
      <c r="E1219" t="s">
        <v>23</v>
      </c>
      <c r="F1219" t="s">
        <v>2662</v>
      </c>
      <c r="G1219" s="3">
        <v>10.119999999999999</v>
      </c>
      <c r="H1219" s="3">
        <v>0</v>
      </c>
      <c r="I1219" s="3">
        <v>10.119999999999999</v>
      </c>
      <c r="J1219" s="3">
        <f>Table1[[#This Row],[قيمة الفاتورة]]*0.94-Table1[[#This Row],[قيمة المشاركة]]</f>
        <v>9.5127999999999986</v>
      </c>
      <c r="L1219" s="3" t="str">
        <f t="shared" si="19"/>
        <v/>
      </c>
      <c r="N1219" t="s">
        <v>19</v>
      </c>
    </row>
    <row r="1220" spans="1:14" x14ac:dyDescent="0.3">
      <c r="A1220">
        <v>1019</v>
      </c>
      <c r="B1220" t="s">
        <v>49</v>
      </c>
      <c r="C1220" t="s">
        <v>50</v>
      </c>
      <c r="D1220" t="s">
        <v>2671</v>
      </c>
      <c r="E1220" t="s">
        <v>17</v>
      </c>
      <c r="F1220" t="s">
        <v>2662</v>
      </c>
      <c r="G1220" s="3">
        <v>18.850000000000001</v>
      </c>
      <c r="H1220" s="3">
        <v>0</v>
      </c>
      <c r="I1220" s="3">
        <v>18.850000000000001</v>
      </c>
      <c r="J1220" s="3">
        <f>Table1[[#This Row],[قيمة الفاتورة]]*0.94-Table1[[#This Row],[قيمة المشاركة]]</f>
        <v>17.719000000000001</v>
      </c>
      <c r="L1220" s="3" t="str">
        <f t="shared" si="19"/>
        <v/>
      </c>
      <c r="N1220" t="s">
        <v>19</v>
      </c>
    </row>
    <row r="1221" spans="1:14" x14ac:dyDescent="0.3">
      <c r="A1221">
        <v>1018</v>
      </c>
      <c r="B1221" t="s">
        <v>945</v>
      </c>
      <c r="C1221" t="s">
        <v>946</v>
      </c>
      <c r="D1221" t="s">
        <v>2672</v>
      </c>
      <c r="E1221" t="s">
        <v>17</v>
      </c>
      <c r="F1221" t="s">
        <v>2662</v>
      </c>
      <c r="G1221" s="3">
        <v>29.92</v>
      </c>
      <c r="H1221" s="3">
        <v>0</v>
      </c>
      <c r="I1221" s="3">
        <v>29.92</v>
      </c>
      <c r="J1221" s="3">
        <f>Table1[[#This Row],[قيمة الفاتورة]]*0.94-Table1[[#This Row],[قيمة المشاركة]]</f>
        <v>28.1248</v>
      </c>
      <c r="L1221" s="3" t="str">
        <f t="shared" si="19"/>
        <v/>
      </c>
      <c r="N1221" t="s">
        <v>19</v>
      </c>
    </row>
    <row r="1222" spans="1:14" x14ac:dyDescent="0.3">
      <c r="A1222">
        <v>1020</v>
      </c>
      <c r="B1222" t="s">
        <v>2410</v>
      </c>
      <c r="C1222" t="s">
        <v>2411</v>
      </c>
      <c r="D1222" t="s">
        <v>2673</v>
      </c>
      <c r="E1222" t="s">
        <v>23</v>
      </c>
      <c r="F1222" t="s">
        <v>2662</v>
      </c>
      <c r="G1222" s="3">
        <v>17.68</v>
      </c>
      <c r="H1222" s="3">
        <v>0</v>
      </c>
      <c r="I1222" s="3">
        <v>17.68</v>
      </c>
      <c r="J1222" s="3">
        <f>Table1[[#This Row],[قيمة الفاتورة]]*0.94-Table1[[#This Row],[قيمة المشاركة]]</f>
        <v>16.619199999999999</v>
      </c>
      <c r="L1222" s="3" t="str">
        <f t="shared" si="19"/>
        <v/>
      </c>
      <c r="N1222" t="s">
        <v>19</v>
      </c>
    </row>
    <row r="1223" spans="1:14" x14ac:dyDescent="0.3">
      <c r="A1223">
        <v>1017</v>
      </c>
      <c r="B1223" t="s">
        <v>65</v>
      </c>
      <c r="C1223" t="s">
        <v>66</v>
      </c>
      <c r="D1223" t="s">
        <v>2674</v>
      </c>
      <c r="E1223" t="s">
        <v>17</v>
      </c>
      <c r="F1223" t="s">
        <v>2662</v>
      </c>
      <c r="G1223" s="3">
        <v>18.95</v>
      </c>
      <c r="H1223" s="3">
        <v>0</v>
      </c>
      <c r="I1223" s="3">
        <v>18.95</v>
      </c>
      <c r="J1223" s="3">
        <f>Table1[[#This Row],[قيمة الفاتورة]]*0.94-Table1[[#This Row],[قيمة المشاركة]]</f>
        <v>17.812999999999999</v>
      </c>
      <c r="L1223" s="3" t="str">
        <f t="shared" si="19"/>
        <v/>
      </c>
      <c r="N1223" t="s">
        <v>19</v>
      </c>
    </row>
    <row r="1224" spans="1:14" x14ac:dyDescent="0.3">
      <c r="A1224">
        <v>201</v>
      </c>
      <c r="B1224" t="s">
        <v>1065</v>
      </c>
      <c r="C1224" t="s">
        <v>1012</v>
      </c>
      <c r="D1224" t="s">
        <v>2675</v>
      </c>
      <c r="E1224" t="s">
        <v>23</v>
      </c>
      <c r="F1224" t="s">
        <v>2662</v>
      </c>
      <c r="G1224" s="3">
        <v>35.47</v>
      </c>
      <c r="H1224" s="3">
        <v>0</v>
      </c>
      <c r="I1224" s="3">
        <v>35.47</v>
      </c>
      <c r="J1224" s="3">
        <f>Table1[[#This Row],[قيمة الفاتورة]]*0.94-Table1[[#This Row],[قيمة المشاركة]]</f>
        <v>33.341799999999999</v>
      </c>
      <c r="L1224" s="3" t="str">
        <f t="shared" si="19"/>
        <v/>
      </c>
      <c r="N1224" t="s">
        <v>19</v>
      </c>
    </row>
    <row r="1225" spans="1:14" x14ac:dyDescent="0.3">
      <c r="A1225">
        <v>1022</v>
      </c>
      <c r="B1225" t="s">
        <v>2528</v>
      </c>
      <c r="C1225" t="s">
        <v>2529</v>
      </c>
      <c r="D1225" t="s">
        <v>2676</v>
      </c>
      <c r="E1225" t="s">
        <v>17</v>
      </c>
      <c r="F1225" t="s">
        <v>2677</v>
      </c>
      <c r="G1225" s="3">
        <v>17.05</v>
      </c>
      <c r="H1225" s="3">
        <v>0</v>
      </c>
      <c r="I1225" s="3">
        <v>17.05</v>
      </c>
      <c r="J1225" s="3">
        <f>Table1[[#This Row],[قيمة الفاتورة]]*0.94-Table1[[#This Row],[قيمة المشاركة]]</f>
        <v>16.027000000000001</v>
      </c>
      <c r="K1225">
        <v>15.867000000000001</v>
      </c>
      <c r="L1225" s="3">
        <f t="shared" si="19"/>
        <v>0.16000000000000014</v>
      </c>
      <c r="M1225" t="s">
        <v>2678</v>
      </c>
      <c r="N1225" t="s">
        <v>19</v>
      </c>
    </row>
    <row r="1226" spans="1:14" x14ac:dyDescent="0.3">
      <c r="A1226">
        <v>205</v>
      </c>
      <c r="B1226" t="s">
        <v>2424</v>
      </c>
      <c r="C1226" t="s">
        <v>2425</v>
      </c>
      <c r="D1226" t="s">
        <v>2679</v>
      </c>
      <c r="E1226" t="s">
        <v>23</v>
      </c>
      <c r="F1226" t="s">
        <v>2680</v>
      </c>
      <c r="G1226" s="3">
        <v>28.1</v>
      </c>
      <c r="H1226" s="3">
        <v>0</v>
      </c>
      <c r="I1226" s="3">
        <v>28.1</v>
      </c>
      <c r="J1226" s="3">
        <f>Table1[[#This Row],[قيمة الفاتورة]]*0.94-Table1[[#This Row],[قيمة المشاركة]]</f>
        <v>26.414000000000001</v>
      </c>
      <c r="K1226">
        <v>26.695</v>
      </c>
      <c r="L1226" s="3">
        <f t="shared" si="19"/>
        <v>-0.28099999999999881</v>
      </c>
      <c r="M1226" t="s">
        <v>2678</v>
      </c>
      <c r="N1226" t="s">
        <v>19</v>
      </c>
    </row>
    <row r="1227" spans="1:14" x14ac:dyDescent="0.3">
      <c r="A1227">
        <v>1023</v>
      </c>
      <c r="B1227" t="s">
        <v>290</v>
      </c>
      <c r="C1227" t="s">
        <v>291</v>
      </c>
      <c r="D1227" t="s">
        <v>2681</v>
      </c>
      <c r="E1227" t="s">
        <v>23</v>
      </c>
      <c r="F1227" t="s">
        <v>2680</v>
      </c>
      <c r="G1227" s="3">
        <v>47.52</v>
      </c>
      <c r="H1227" s="3">
        <v>0</v>
      </c>
      <c r="I1227" s="3">
        <v>47.52</v>
      </c>
      <c r="J1227" s="3">
        <f>Table1[[#This Row],[قيمة الفاتورة]]*0.94-Table1[[#This Row],[قيمة المشاركة]]</f>
        <v>44.668799999999997</v>
      </c>
      <c r="K1227">
        <v>44.667999999999999</v>
      </c>
      <c r="L1227" s="3">
        <f t="shared" si="19"/>
        <v>7.9999999999813554E-4</v>
      </c>
      <c r="M1227" t="s">
        <v>2678</v>
      </c>
      <c r="N1227" t="s">
        <v>19</v>
      </c>
    </row>
    <row r="1228" spans="1:14" x14ac:dyDescent="0.3">
      <c r="A1228">
        <v>203</v>
      </c>
      <c r="B1228" t="s">
        <v>1345</v>
      </c>
      <c r="C1228" t="s">
        <v>1346</v>
      </c>
      <c r="D1228" t="s">
        <v>2682</v>
      </c>
      <c r="E1228" t="s">
        <v>23</v>
      </c>
      <c r="F1228" t="s">
        <v>2680</v>
      </c>
      <c r="G1228" s="3">
        <v>12.42</v>
      </c>
      <c r="H1228" s="3">
        <v>0</v>
      </c>
      <c r="I1228" s="3">
        <v>12.42</v>
      </c>
      <c r="J1228" s="3">
        <f>Table1[[#This Row],[قيمة الفاتورة]]*0.94-Table1[[#This Row],[قيمة المشاركة]]</f>
        <v>11.674799999999999</v>
      </c>
      <c r="K1228">
        <v>11.673999999999999</v>
      </c>
      <c r="L1228" s="3">
        <f t="shared" si="19"/>
        <v>7.9999999999991189E-4</v>
      </c>
      <c r="M1228" t="s">
        <v>2678</v>
      </c>
      <c r="N1228" t="s">
        <v>19</v>
      </c>
    </row>
    <row r="1229" spans="1:14" x14ac:dyDescent="0.3">
      <c r="A1229">
        <v>204</v>
      </c>
      <c r="B1229" t="s">
        <v>987</v>
      </c>
      <c r="C1229" t="s">
        <v>988</v>
      </c>
      <c r="D1229" t="s">
        <v>2683</v>
      </c>
      <c r="E1229" t="s">
        <v>17</v>
      </c>
      <c r="F1229" t="s">
        <v>2680</v>
      </c>
      <c r="G1229" s="3">
        <v>16.100000000000001</v>
      </c>
      <c r="H1229" s="3">
        <v>0</v>
      </c>
      <c r="I1229" s="3">
        <v>16.100000000000001</v>
      </c>
      <c r="J1229" s="3">
        <f>Table1[[#This Row],[قيمة الفاتورة]]*0.94-Table1[[#This Row],[قيمة المشاركة]]</f>
        <v>15.134</v>
      </c>
      <c r="K1229">
        <v>15.03</v>
      </c>
      <c r="L1229" s="3">
        <f t="shared" si="19"/>
        <v>0.10400000000000098</v>
      </c>
      <c r="M1229" t="s">
        <v>2678</v>
      </c>
      <c r="N1229" t="s">
        <v>19</v>
      </c>
    </row>
    <row r="1230" spans="1:14" x14ac:dyDescent="0.3">
      <c r="A1230">
        <v>207</v>
      </c>
      <c r="B1230" t="s">
        <v>648</v>
      </c>
      <c r="C1230" t="s">
        <v>649</v>
      </c>
      <c r="D1230" t="s">
        <v>2684</v>
      </c>
      <c r="E1230" t="s">
        <v>17</v>
      </c>
      <c r="F1230" t="s">
        <v>2685</v>
      </c>
      <c r="G1230" s="3">
        <v>43.55</v>
      </c>
      <c r="H1230" s="3">
        <v>0</v>
      </c>
      <c r="I1230" s="3">
        <v>43.55</v>
      </c>
      <c r="J1230" s="3">
        <f>Table1[[#This Row],[قيمة الفاتورة]]*0.94-Table1[[#This Row],[قيمة المشاركة]]</f>
        <v>40.936999999999998</v>
      </c>
      <c r="K1230">
        <v>40.936999999999998</v>
      </c>
      <c r="L1230" s="3">
        <f t="shared" si="19"/>
        <v>0</v>
      </c>
      <c r="M1230" t="s">
        <v>2678</v>
      </c>
      <c r="N1230" t="s">
        <v>19</v>
      </c>
    </row>
    <row r="1231" spans="1:14" x14ac:dyDescent="0.3">
      <c r="A1231">
        <v>1025</v>
      </c>
      <c r="B1231" t="s">
        <v>2686</v>
      </c>
      <c r="C1231" t="s">
        <v>2687</v>
      </c>
      <c r="D1231" t="s">
        <v>2688</v>
      </c>
      <c r="E1231" t="s">
        <v>23</v>
      </c>
      <c r="F1231" t="s">
        <v>2685</v>
      </c>
      <c r="G1231" s="3">
        <v>33.409999999999997</v>
      </c>
      <c r="H1231" s="3">
        <v>6.6820000000000004</v>
      </c>
      <c r="I1231" s="3">
        <v>26.728000000000002</v>
      </c>
      <c r="J1231" s="3">
        <f>Table1[[#This Row],[قيمة الفاتورة]]*0.94-Table1[[#This Row],[قيمة المشاركة]]</f>
        <v>24.723399999999998</v>
      </c>
      <c r="K1231">
        <v>24.722999999999999</v>
      </c>
      <c r="L1231" s="3">
        <f t="shared" si="19"/>
        <v>3.9999999999906777E-4</v>
      </c>
      <c r="M1231" t="s">
        <v>2689</v>
      </c>
      <c r="N1231" t="s">
        <v>328</v>
      </c>
    </row>
    <row r="1232" spans="1:14" x14ac:dyDescent="0.3">
      <c r="A1232">
        <v>1024</v>
      </c>
      <c r="B1232" t="s">
        <v>2690</v>
      </c>
      <c r="C1232" t="s">
        <v>2208</v>
      </c>
      <c r="D1232" t="s">
        <v>2691</v>
      </c>
      <c r="E1232" t="s">
        <v>17</v>
      </c>
      <c r="F1232" t="s">
        <v>2685</v>
      </c>
      <c r="G1232" s="3">
        <v>34.47</v>
      </c>
      <c r="H1232" s="3">
        <v>6.8940000000000001</v>
      </c>
      <c r="I1232" s="3">
        <v>27.576000000000001</v>
      </c>
      <c r="J1232" s="3">
        <f>Table1[[#This Row],[قيمة الفاتورة]]*0.94-Table1[[#This Row],[قيمة المشاركة]]</f>
        <v>25.507799999999996</v>
      </c>
      <c r="K1232">
        <v>25.507000000000001</v>
      </c>
      <c r="L1232" s="3">
        <f t="shared" si="19"/>
        <v>7.9999999999458282E-4</v>
      </c>
      <c r="M1232" t="s">
        <v>2689</v>
      </c>
      <c r="N1232" t="s">
        <v>328</v>
      </c>
    </row>
    <row r="1233" spans="1:14" x14ac:dyDescent="0.3">
      <c r="A1233">
        <v>206</v>
      </c>
      <c r="B1233" t="s">
        <v>172</v>
      </c>
      <c r="C1233" t="s">
        <v>173</v>
      </c>
      <c r="D1233" t="s">
        <v>2692</v>
      </c>
      <c r="E1233" t="s">
        <v>23</v>
      </c>
      <c r="F1233" t="s">
        <v>2685</v>
      </c>
      <c r="G1233" s="3">
        <v>34.700000000000003</v>
      </c>
      <c r="H1233" s="3">
        <v>0</v>
      </c>
      <c r="I1233" s="3">
        <v>34.700000000000003</v>
      </c>
      <c r="J1233" s="3">
        <f>Table1[[#This Row],[قيمة الفاتورة]]*0.94-Table1[[#This Row],[قيمة المشاركة]]</f>
        <v>32.618000000000002</v>
      </c>
      <c r="K1233">
        <v>31.940999999999999</v>
      </c>
      <c r="L1233" s="3">
        <f t="shared" si="19"/>
        <v>0.67700000000000315</v>
      </c>
      <c r="M1233" t="s">
        <v>2678</v>
      </c>
      <c r="N1233" t="s">
        <v>19</v>
      </c>
    </row>
    <row r="1234" spans="1:14" x14ac:dyDescent="0.3">
      <c r="A1234">
        <v>1026</v>
      </c>
      <c r="B1234" t="s">
        <v>290</v>
      </c>
      <c r="C1234" t="s">
        <v>291</v>
      </c>
      <c r="D1234" t="s">
        <v>2693</v>
      </c>
      <c r="E1234" t="s">
        <v>23</v>
      </c>
      <c r="F1234" t="s">
        <v>2685</v>
      </c>
      <c r="G1234" s="3">
        <v>27.74</v>
      </c>
      <c r="H1234" s="3">
        <v>0</v>
      </c>
      <c r="I1234" s="3">
        <v>27.74</v>
      </c>
      <c r="J1234" s="3">
        <f>Table1[[#This Row],[قيمة الفاتورة]]*0.94-Table1[[#This Row],[قيمة المشاركة]]</f>
        <v>26.075599999999998</v>
      </c>
      <c r="K1234">
        <v>24.515000000000001</v>
      </c>
      <c r="L1234" s="3">
        <f t="shared" si="19"/>
        <v>1.5605999999999973</v>
      </c>
      <c r="M1234" t="s">
        <v>2678</v>
      </c>
      <c r="N1234" t="s">
        <v>19</v>
      </c>
    </row>
    <row r="1235" spans="1:14" x14ac:dyDescent="0.3">
      <c r="A1235">
        <v>1027</v>
      </c>
      <c r="B1235" t="s">
        <v>464</v>
      </c>
      <c r="C1235" t="s">
        <v>465</v>
      </c>
      <c r="D1235" t="s">
        <v>2694</v>
      </c>
      <c r="E1235" t="s">
        <v>23</v>
      </c>
      <c r="F1235" t="s">
        <v>2695</v>
      </c>
      <c r="G1235" s="3">
        <v>20.21</v>
      </c>
      <c r="H1235" s="3">
        <v>0</v>
      </c>
      <c r="I1235" s="3">
        <v>20.21</v>
      </c>
      <c r="J1235" s="3">
        <f>Table1[[#This Row],[قيمة الفاتورة]]*0.94-Table1[[#This Row],[قيمة المشاركة]]</f>
        <v>18.997399999999999</v>
      </c>
      <c r="K1235">
        <v>18.998000000000001</v>
      </c>
      <c r="L1235" s="3">
        <f t="shared" si="19"/>
        <v>-6.0000000000215437E-4</v>
      </c>
      <c r="M1235" t="s">
        <v>2678</v>
      </c>
      <c r="N1235" t="s">
        <v>19</v>
      </c>
    </row>
    <row r="1236" spans="1:14" x14ac:dyDescent="0.3">
      <c r="A1236">
        <v>1028</v>
      </c>
      <c r="B1236" t="s">
        <v>800</v>
      </c>
      <c r="C1236" t="s">
        <v>2696</v>
      </c>
      <c r="D1236" t="s">
        <v>2697</v>
      </c>
      <c r="E1236" t="s">
        <v>17</v>
      </c>
      <c r="F1236" t="s">
        <v>2695</v>
      </c>
      <c r="G1236" s="3">
        <v>32.979999999999997</v>
      </c>
      <c r="H1236" s="3">
        <v>0</v>
      </c>
      <c r="I1236" s="3">
        <v>32.979999999999997</v>
      </c>
      <c r="J1236" s="3">
        <f>Table1[[#This Row],[قيمة الفاتورة]]*0.94-Table1[[#This Row],[قيمة المشاركة]]</f>
        <v>31.001199999999994</v>
      </c>
      <c r="K1236">
        <v>31.001000000000001</v>
      </c>
      <c r="L1236" s="3">
        <f t="shared" si="19"/>
        <v>1.9999999999242846E-4</v>
      </c>
      <c r="M1236" t="s">
        <v>2678</v>
      </c>
      <c r="N1236" t="s">
        <v>19</v>
      </c>
    </row>
    <row r="1237" spans="1:14" x14ac:dyDescent="0.3">
      <c r="A1237">
        <v>1032</v>
      </c>
      <c r="B1237">
        <v>1518611</v>
      </c>
      <c r="C1237" t="s">
        <v>2698</v>
      </c>
      <c r="D1237" t="s">
        <v>2699</v>
      </c>
      <c r="E1237" t="s">
        <v>17</v>
      </c>
      <c r="F1237" t="s">
        <v>2695</v>
      </c>
      <c r="G1237" s="3">
        <v>7.08</v>
      </c>
      <c r="H1237" s="3">
        <v>1.4159999999999999</v>
      </c>
      <c r="I1237" s="3">
        <v>5.6639999999999997</v>
      </c>
      <c r="J1237" s="3">
        <f>Table1[[#This Row],[قيمة الفاتورة]]*0.94-Table1[[#This Row],[قيمة المشاركة]]</f>
        <v>5.2392000000000003</v>
      </c>
      <c r="K1237">
        <v>5.2389999999999999</v>
      </c>
      <c r="L1237" s="3">
        <f t="shared" si="19"/>
        <v>2.0000000000042206E-4</v>
      </c>
      <c r="M1237" t="s">
        <v>2357</v>
      </c>
      <c r="N1237" t="s">
        <v>328</v>
      </c>
    </row>
    <row r="1238" spans="1:14" x14ac:dyDescent="0.3">
      <c r="A1238">
        <v>208</v>
      </c>
      <c r="B1238" t="s">
        <v>407</v>
      </c>
      <c r="C1238" t="s">
        <v>408</v>
      </c>
      <c r="D1238" t="s">
        <v>2700</v>
      </c>
      <c r="E1238" t="s">
        <v>23</v>
      </c>
      <c r="F1238" t="s">
        <v>2695</v>
      </c>
      <c r="G1238" s="3">
        <v>7.39</v>
      </c>
      <c r="H1238" s="3">
        <v>0</v>
      </c>
      <c r="I1238" s="3">
        <v>7.39</v>
      </c>
      <c r="J1238" s="3">
        <f>Table1[[#This Row],[قيمة الفاتورة]]*0.94-Table1[[#This Row],[قيمة المشاركة]]</f>
        <v>6.9465999999999992</v>
      </c>
      <c r="K1238">
        <v>6.9459999999999997</v>
      </c>
      <c r="L1238" s="3">
        <f t="shared" si="19"/>
        <v>5.9999999999948983E-4</v>
      </c>
      <c r="M1238" t="s">
        <v>2678</v>
      </c>
      <c r="N1238" t="s">
        <v>19</v>
      </c>
    </row>
    <row r="1239" spans="1:14" x14ac:dyDescent="0.3">
      <c r="A1239">
        <v>1030</v>
      </c>
      <c r="B1239" t="s">
        <v>397</v>
      </c>
      <c r="C1239" t="s">
        <v>398</v>
      </c>
      <c r="D1239" t="s">
        <v>2701</v>
      </c>
      <c r="E1239" t="s">
        <v>23</v>
      </c>
      <c r="F1239" t="s">
        <v>2695</v>
      </c>
      <c r="G1239" s="3">
        <v>26.8</v>
      </c>
      <c r="H1239" s="3">
        <v>4.0199999999999996</v>
      </c>
      <c r="I1239" s="3">
        <v>22.78</v>
      </c>
      <c r="J1239" s="3">
        <f>Table1[[#This Row],[قيمة الفاتورة]]*0.94-Table1[[#This Row],[قيمة المشاركة]]</f>
        <v>21.172000000000001</v>
      </c>
      <c r="K1239">
        <v>20.664000000000001</v>
      </c>
      <c r="L1239" s="3">
        <f t="shared" si="19"/>
        <v>0.50799999999999912</v>
      </c>
      <c r="M1239" t="s">
        <v>2678</v>
      </c>
      <c r="N1239" t="s">
        <v>19</v>
      </c>
    </row>
    <row r="1240" spans="1:14" x14ac:dyDescent="0.3">
      <c r="A1240">
        <v>1031</v>
      </c>
      <c r="B1240" t="s">
        <v>2702</v>
      </c>
      <c r="C1240" t="s">
        <v>201</v>
      </c>
      <c r="D1240" t="s">
        <v>2703</v>
      </c>
      <c r="E1240" t="s">
        <v>17</v>
      </c>
      <c r="F1240" t="s">
        <v>2695</v>
      </c>
      <c r="G1240" s="3">
        <v>100.6</v>
      </c>
      <c r="H1240" s="3">
        <v>0</v>
      </c>
      <c r="I1240" s="3">
        <v>100.6</v>
      </c>
      <c r="J1240" s="3">
        <f>Table1[[#This Row],[قيمة الفاتورة]]*0.94-Table1[[#This Row],[قيمة المشاركة]]</f>
        <v>94.563999999999993</v>
      </c>
      <c r="K1240">
        <v>79.197999999999993</v>
      </c>
      <c r="L1240" s="3">
        <f t="shared" si="19"/>
        <v>15.366</v>
      </c>
      <c r="M1240" t="s">
        <v>2357</v>
      </c>
      <c r="N1240" t="s">
        <v>328</v>
      </c>
    </row>
    <row r="1241" spans="1:14" x14ac:dyDescent="0.3">
      <c r="A1241" s="7">
        <v>1033</v>
      </c>
      <c r="B1241" s="7" t="s">
        <v>2704</v>
      </c>
      <c r="C1241" s="7" t="s">
        <v>2705</v>
      </c>
      <c r="D1241" s="7" t="s">
        <v>2704</v>
      </c>
      <c r="E1241" s="7" t="s">
        <v>23</v>
      </c>
      <c r="F1241" s="7" t="s">
        <v>2695</v>
      </c>
      <c r="G1241" s="8">
        <v>42.67</v>
      </c>
      <c r="H1241" s="8">
        <v>8.5340000000000007</v>
      </c>
      <c r="I1241" s="8">
        <v>34.136000000000003</v>
      </c>
      <c r="J1241" s="8">
        <f>Table1[[#This Row],[قيمة الفاتورة]]*0.94-Table1[[#This Row],[قيمة المشاركة]]</f>
        <v>31.575800000000001</v>
      </c>
      <c r="L1241" s="3" t="str">
        <f t="shared" si="19"/>
        <v/>
      </c>
      <c r="N1241" t="s">
        <v>328</v>
      </c>
    </row>
    <row r="1242" spans="1:14" x14ac:dyDescent="0.3">
      <c r="A1242">
        <v>1029</v>
      </c>
      <c r="B1242" t="s">
        <v>2706</v>
      </c>
      <c r="C1242" t="s">
        <v>2707</v>
      </c>
      <c r="D1242" t="s">
        <v>2708</v>
      </c>
      <c r="E1242" t="s">
        <v>23</v>
      </c>
      <c r="F1242" t="s">
        <v>2695</v>
      </c>
      <c r="G1242" s="3">
        <v>47.18</v>
      </c>
      <c r="H1242" s="3">
        <v>9.4359999999999999</v>
      </c>
      <c r="I1242" s="3">
        <v>37.744</v>
      </c>
      <c r="J1242" s="3">
        <f>Table1[[#This Row],[قيمة الفاتورة]]*0.94-Table1[[#This Row],[قيمة المشاركة]]</f>
        <v>34.913199999999996</v>
      </c>
      <c r="L1242" s="3" t="str">
        <f t="shared" si="19"/>
        <v/>
      </c>
      <c r="N1242" t="s">
        <v>328</v>
      </c>
    </row>
    <row r="1243" spans="1:14" x14ac:dyDescent="0.3">
      <c r="A1243">
        <v>1035</v>
      </c>
      <c r="B1243" t="s">
        <v>2709</v>
      </c>
      <c r="C1243" t="s">
        <v>2710</v>
      </c>
      <c r="D1243" t="s">
        <v>2711</v>
      </c>
      <c r="E1243" t="s">
        <v>23</v>
      </c>
      <c r="F1243" t="s">
        <v>2712</v>
      </c>
      <c r="G1243" s="3">
        <v>11.05</v>
      </c>
      <c r="H1243" s="3">
        <v>0</v>
      </c>
      <c r="I1243" s="3">
        <v>11.05</v>
      </c>
      <c r="J1243" s="3">
        <f>Table1[[#This Row],[قيمة الفاتورة]]*0.94-Table1[[#This Row],[قيمة المشاركة]]</f>
        <v>10.387</v>
      </c>
      <c r="K1243">
        <v>10.388</v>
      </c>
      <c r="L1243" s="3">
        <f t="shared" si="19"/>
        <v>-9.9999999999944578E-4</v>
      </c>
      <c r="M1243" t="s">
        <v>2678</v>
      </c>
      <c r="N1243" t="s">
        <v>19</v>
      </c>
    </row>
    <row r="1244" spans="1:14" x14ac:dyDescent="0.3">
      <c r="A1244">
        <v>209</v>
      </c>
      <c r="B1244" t="s">
        <v>2424</v>
      </c>
      <c r="C1244" t="s">
        <v>2425</v>
      </c>
      <c r="D1244" t="s">
        <v>2713</v>
      </c>
      <c r="E1244" t="s">
        <v>23</v>
      </c>
      <c r="F1244" t="s">
        <v>2712</v>
      </c>
      <c r="G1244" s="3">
        <v>6.9</v>
      </c>
      <c r="H1244" s="3">
        <v>0</v>
      </c>
      <c r="I1244" s="3">
        <v>6.9</v>
      </c>
      <c r="J1244" s="3">
        <f>Table1[[#This Row],[قيمة الفاتورة]]*0.94-Table1[[#This Row],[قيمة المشاركة]]</f>
        <v>6.4859999999999998</v>
      </c>
      <c r="K1244">
        <v>6.4859999999999998</v>
      </c>
      <c r="L1244" s="3">
        <f t="shared" si="19"/>
        <v>0</v>
      </c>
      <c r="M1244" t="s">
        <v>2678</v>
      </c>
      <c r="N1244" t="s">
        <v>19</v>
      </c>
    </row>
    <row r="1245" spans="1:14" x14ac:dyDescent="0.3">
      <c r="A1245">
        <v>1034</v>
      </c>
      <c r="B1245" t="s">
        <v>2714</v>
      </c>
      <c r="C1245" t="s">
        <v>2715</v>
      </c>
      <c r="D1245" t="s">
        <v>2716</v>
      </c>
      <c r="E1245" t="s">
        <v>17</v>
      </c>
      <c r="F1245" t="s">
        <v>2712</v>
      </c>
      <c r="G1245" s="3">
        <v>5.26</v>
      </c>
      <c r="H1245" s="3">
        <v>1.052</v>
      </c>
      <c r="I1245" s="3">
        <v>4.2080000000000002</v>
      </c>
      <c r="J1245" s="3">
        <f>Table1[[#This Row],[قيمة الفاتورة]]*0.94-Table1[[#This Row],[قيمة المشاركة]]</f>
        <v>3.8923999999999999</v>
      </c>
      <c r="K1245">
        <v>3.8919999999999999</v>
      </c>
      <c r="L1245" s="3">
        <f t="shared" si="19"/>
        <v>3.9999999999995595E-4</v>
      </c>
      <c r="M1245" t="s">
        <v>2689</v>
      </c>
      <c r="N1245" t="s">
        <v>328</v>
      </c>
    </row>
    <row r="1246" spans="1:14" x14ac:dyDescent="0.3">
      <c r="A1246">
        <v>1036</v>
      </c>
      <c r="B1246" t="s">
        <v>2717</v>
      </c>
      <c r="C1246" t="s">
        <v>2718</v>
      </c>
      <c r="D1246" t="s">
        <v>2719</v>
      </c>
      <c r="E1246" t="s">
        <v>23</v>
      </c>
      <c r="F1246" t="s">
        <v>2712</v>
      </c>
      <c r="G1246" s="3">
        <v>19.32</v>
      </c>
      <c r="H1246" s="3">
        <v>3.8639999999999999</v>
      </c>
      <c r="I1246" s="3">
        <v>15.456</v>
      </c>
      <c r="J1246" s="3">
        <f>Table1[[#This Row],[قيمة الفاتورة]]*0.94-Table1[[#This Row],[قيمة المشاركة]]</f>
        <v>14.296799999999998</v>
      </c>
      <c r="K1246">
        <v>14.295999999999999</v>
      </c>
      <c r="L1246" s="3">
        <f t="shared" si="19"/>
        <v>7.9999999999813554E-4</v>
      </c>
      <c r="M1246" t="s">
        <v>2689</v>
      </c>
      <c r="N1246" t="s">
        <v>328</v>
      </c>
    </row>
    <row r="1247" spans="1:14" x14ac:dyDescent="0.3">
      <c r="A1247">
        <v>1040</v>
      </c>
      <c r="B1247" t="s">
        <v>2720</v>
      </c>
      <c r="C1247" t="s">
        <v>2721</v>
      </c>
      <c r="D1247" t="s">
        <v>2722</v>
      </c>
      <c r="E1247" t="s">
        <v>23</v>
      </c>
      <c r="F1247" t="s">
        <v>2723</v>
      </c>
      <c r="G1247" s="3">
        <v>42.5</v>
      </c>
      <c r="H1247" s="3">
        <v>0</v>
      </c>
      <c r="I1247" s="3">
        <v>42.5</v>
      </c>
      <c r="J1247" s="3">
        <f>Table1[[#This Row],[قيمة الفاتورة]]*0.94-Table1[[#This Row],[قيمة المشاركة]]</f>
        <v>39.949999999999996</v>
      </c>
      <c r="K1247">
        <v>39.950000000000003</v>
      </c>
      <c r="L1247" s="3">
        <f t="shared" si="19"/>
        <v>-7.1054273576010019E-15</v>
      </c>
      <c r="M1247" t="s">
        <v>2678</v>
      </c>
      <c r="N1247" t="s">
        <v>19</v>
      </c>
    </row>
    <row r="1248" spans="1:14" x14ac:dyDescent="0.3">
      <c r="A1248">
        <v>1037</v>
      </c>
      <c r="B1248" t="s">
        <v>1627</v>
      </c>
      <c r="C1248" t="s">
        <v>2724</v>
      </c>
      <c r="D1248" t="s">
        <v>2725</v>
      </c>
      <c r="E1248" t="s">
        <v>17</v>
      </c>
      <c r="F1248" t="s">
        <v>2723</v>
      </c>
      <c r="G1248" s="3">
        <v>41.3</v>
      </c>
      <c r="H1248" s="3">
        <v>0</v>
      </c>
      <c r="I1248" s="3">
        <v>41.3</v>
      </c>
      <c r="J1248" s="3">
        <f>Table1[[#This Row],[قيمة الفاتورة]]*0.94-Table1[[#This Row],[قيمة المشاركة]]</f>
        <v>38.821999999999996</v>
      </c>
      <c r="K1248">
        <v>38.822000000000003</v>
      </c>
      <c r="L1248" s="3">
        <f t="shared" si="19"/>
        <v>-7.1054273576010019E-15</v>
      </c>
      <c r="M1248" t="s">
        <v>2678</v>
      </c>
      <c r="N1248" t="s">
        <v>19</v>
      </c>
    </row>
    <row r="1249" spans="1:14" x14ac:dyDescent="0.3">
      <c r="A1249">
        <v>1039</v>
      </c>
      <c r="B1249" t="s">
        <v>2726</v>
      </c>
      <c r="C1249" t="s">
        <v>2727</v>
      </c>
      <c r="D1249" t="s">
        <v>2728</v>
      </c>
      <c r="E1249" t="s">
        <v>23</v>
      </c>
      <c r="F1249" t="s">
        <v>2723</v>
      </c>
      <c r="G1249" s="3">
        <v>16.47</v>
      </c>
      <c r="H1249" s="3">
        <v>3.294</v>
      </c>
      <c r="I1249" s="3">
        <v>13.176</v>
      </c>
      <c r="J1249" s="3">
        <f>Table1[[#This Row],[قيمة الفاتورة]]*0.94-Table1[[#This Row],[قيمة المشاركة]]</f>
        <v>12.187799999999998</v>
      </c>
      <c r="K1249">
        <v>12.186</v>
      </c>
      <c r="L1249" s="3">
        <f t="shared" si="19"/>
        <v>1.7999999999975813E-3</v>
      </c>
      <c r="M1249" t="s">
        <v>2689</v>
      </c>
      <c r="N1249" t="s">
        <v>328</v>
      </c>
    </row>
    <row r="1250" spans="1:14" x14ac:dyDescent="0.3">
      <c r="A1250">
        <v>1038</v>
      </c>
      <c r="B1250" t="s">
        <v>275</v>
      </c>
      <c r="C1250" t="s">
        <v>276</v>
      </c>
      <c r="D1250" t="s">
        <v>2729</v>
      </c>
      <c r="E1250" t="s">
        <v>17</v>
      </c>
      <c r="F1250" t="s">
        <v>2723</v>
      </c>
      <c r="G1250" s="3">
        <v>20.48</v>
      </c>
      <c r="H1250" s="3">
        <v>0</v>
      </c>
      <c r="I1250" s="3">
        <v>20.48</v>
      </c>
      <c r="J1250" s="3">
        <f>Table1[[#This Row],[قيمة الفاتورة]]*0.94-Table1[[#This Row],[قيمة المشاركة]]</f>
        <v>19.251200000000001</v>
      </c>
      <c r="K1250">
        <v>19.242000000000001</v>
      </c>
      <c r="L1250" s="3">
        <f t="shared" si="19"/>
        <v>9.1999999999998749E-3</v>
      </c>
      <c r="M1250" t="s">
        <v>2678</v>
      </c>
      <c r="N1250" t="s">
        <v>19</v>
      </c>
    </row>
    <row r="1251" spans="1:14" x14ac:dyDescent="0.3">
      <c r="A1251">
        <v>1041</v>
      </c>
      <c r="B1251" t="s">
        <v>98</v>
      </c>
      <c r="C1251" t="s">
        <v>99</v>
      </c>
      <c r="D1251" t="s">
        <v>2730</v>
      </c>
      <c r="E1251" t="s">
        <v>17</v>
      </c>
      <c r="F1251" t="s">
        <v>2731</v>
      </c>
      <c r="G1251" s="3">
        <v>27.88</v>
      </c>
      <c r="H1251" s="3">
        <v>0</v>
      </c>
      <c r="I1251" s="3">
        <v>27.88</v>
      </c>
      <c r="J1251" s="3">
        <f>Table1[[#This Row],[قيمة الفاتورة]]*0.94-Table1[[#This Row],[قيمة المشاركة]]</f>
        <v>26.207199999999997</v>
      </c>
      <c r="K1251">
        <v>26.207000000000001</v>
      </c>
      <c r="L1251" s="3">
        <f t="shared" si="19"/>
        <v>1.9999999999598117E-4</v>
      </c>
      <c r="M1251" t="s">
        <v>2678</v>
      </c>
      <c r="N1251" t="s">
        <v>19</v>
      </c>
    </row>
    <row r="1252" spans="1:14" x14ac:dyDescent="0.3">
      <c r="A1252">
        <v>1042</v>
      </c>
      <c r="B1252" t="s">
        <v>2732</v>
      </c>
      <c r="C1252" t="s">
        <v>2733</v>
      </c>
      <c r="D1252" t="s">
        <v>2734</v>
      </c>
      <c r="E1252" t="s">
        <v>23</v>
      </c>
      <c r="F1252" t="s">
        <v>2731</v>
      </c>
      <c r="G1252" s="3">
        <v>13.08</v>
      </c>
      <c r="H1252" s="3">
        <v>2.6160000000000001</v>
      </c>
      <c r="I1252" s="3">
        <v>10.464</v>
      </c>
      <c r="J1252" s="3">
        <f>Table1[[#This Row],[قيمة الفاتورة]]*0.94-Table1[[#This Row],[قيمة المشاركة]]</f>
        <v>9.6791999999999998</v>
      </c>
      <c r="K1252">
        <v>9.6790000000000003</v>
      </c>
      <c r="L1252" s="3">
        <f t="shared" si="19"/>
        <v>1.9999999999953388E-4</v>
      </c>
      <c r="M1252" t="s">
        <v>2689</v>
      </c>
      <c r="N1252" t="s">
        <v>328</v>
      </c>
    </row>
    <row r="1253" spans="1:14" x14ac:dyDescent="0.3">
      <c r="A1253">
        <v>210</v>
      </c>
      <c r="B1253" t="s">
        <v>809</v>
      </c>
      <c r="C1253" t="s">
        <v>2735</v>
      </c>
      <c r="D1253" t="s">
        <v>2736</v>
      </c>
      <c r="E1253" t="s">
        <v>23</v>
      </c>
      <c r="F1253" t="s">
        <v>2737</v>
      </c>
      <c r="G1253" s="3">
        <v>14.65</v>
      </c>
      <c r="H1253" s="3">
        <v>0</v>
      </c>
      <c r="I1253" s="3">
        <v>14.65</v>
      </c>
      <c r="J1253" s="3">
        <f>Table1[[#This Row],[قيمة الفاتورة]]*0.94-Table1[[#This Row],[قيمة المشاركة]]</f>
        <v>13.770999999999999</v>
      </c>
      <c r="K1253">
        <v>13.771000000000001</v>
      </c>
      <c r="L1253" s="3">
        <f t="shared" si="19"/>
        <v>-1.7763568394002505E-15</v>
      </c>
      <c r="M1253" t="s">
        <v>2678</v>
      </c>
      <c r="N1253" t="s">
        <v>19</v>
      </c>
    </row>
    <row r="1254" spans="1:14" x14ac:dyDescent="0.3">
      <c r="A1254">
        <v>1043</v>
      </c>
      <c r="B1254" t="s">
        <v>2738</v>
      </c>
      <c r="C1254" t="s">
        <v>2739</v>
      </c>
      <c r="D1254" t="s">
        <v>2740</v>
      </c>
      <c r="E1254" t="s">
        <v>17</v>
      </c>
      <c r="F1254" t="s">
        <v>2737</v>
      </c>
      <c r="G1254" s="3">
        <v>46.23</v>
      </c>
      <c r="H1254" s="3">
        <v>9.2460000000000004</v>
      </c>
      <c r="I1254" s="3">
        <v>36.984000000000002</v>
      </c>
      <c r="J1254" s="3">
        <f>Table1[[#This Row],[قيمة الفاتورة]]*0.94-Table1[[#This Row],[قيمة المشاركة]]</f>
        <v>34.210199999999993</v>
      </c>
      <c r="K1254">
        <v>34.21</v>
      </c>
      <c r="L1254" s="3">
        <f t="shared" si="19"/>
        <v>1.9999999999242846E-4</v>
      </c>
      <c r="M1254" t="s">
        <v>2689</v>
      </c>
      <c r="N1254" t="s">
        <v>328</v>
      </c>
    </row>
    <row r="1255" spans="1:14" x14ac:dyDescent="0.3">
      <c r="A1255">
        <v>1046</v>
      </c>
      <c r="B1255" t="s">
        <v>720</v>
      </c>
      <c r="C1255" t="s">
        <v>2741</v>
      </c>
      <c r="D1255" t="s">
        <v>2742</v>
      </c>
      <c r="E1255" t="s">
        <v>17</v>
      </c>
      <c r="F1255" t="s">
        <v>2743</v>
      </c>
      <c r="G1255" s="3">
        <v>46</v>
      </c>
      <c r="H1255" s="3">
        <v>0</v>
      </c>
      <c r="I1255" s="3">
        <v>46</v>
      </c>
      <c r="J1255" s="3">
        <f>Table1[[#This Row],[قيمة الفاتورة]]*0.94-Table1[[#This Row],[قيمة المشاركة]]</f>
        <v>43.239999999999995</v>
      </c>
      <c r="K1255">
        <v>43.24</v>
      </c>
      <c r="L1255" s="3">
        <f t="shared" si="19"/>
        <v>-7.1054273576010019E-15</v>
      </c>
      <c r="M1255" t="s">
        <v>2678</v>
      </c>
      <c r="N1255" t="s">
        <v>19</v>
      </c>
    </row>
    <row r="1256" spans="1:14" x14ac:dyDescent="0.3">
      <c r="A1256">
        <v>1044</v>
      </c>
      <c r="B1256" t="s">
        <v>1201</v>
      </c>
      <c r="C1256" t="s">
        <v>1202</v>
      </c>
      <c r="D1256" t="s">
        <v>2744</v>
      </c>
      <c r="E1256" t="s">
        <v>17</v>
      </c>
      <c r="F1256" t="s">
        <v>2743</v>
      </c>
      <c r="G1256" s="3">
        <v>9.0299999999999994</v>
      </c>
      <c r="H1256" s="3">
        <v>0</v>
      </c>
      <c r="I1256" s="3">
        <v>9.0299999999999994</v>
      </c>
      <c r="J1256" s="3">
        <f>Table1[[#This Row],[قيمة الفاتورة]]*0.94-Table1[[#This Row],[قيمة المشاركة]]</f>
        <v>8.4881999999999991</v>
      </c>
      <c r="K1256">
        <v>8.4879999999999995</v>
      </c>
      <c r="L1256" s="3">
        <f t="shared" si="19"/>
        <v>1.9999999999953388E-4</v>
      </c>
      <c r="M1256" t="s">
        <v>2678</v>
      </c>
      <c r="N1256" t="s">
        <v>19</v>
      </c>
    </row>
    <row r="1257" spans="1:14" x14ac:dyDescent="0.3">
      <c r="A1257">
        <v>1045</v>
      </c>
      <c r="B1257" t="s">
        <v>2539</v>
      </c>
      <c r="C1257" t="s">
        <v>2540</v>
      </c>
      <c r="D1257" t="s">
        <v>2745</v>
      </c>
      <c r="E1257" t="s">
        <v>17</v>
      </c>
      <c r="F1257" t="s">
        <v>2743</v>
      </c>
      <c r="G1257" s="3">
        <v>34.770000000000003</v>
      </c>
      <c r="H1257" s="3">
        <v>0</v>
      </c>
      <c r="I1257" s="3">
        <v>34.770000000000003</v>
      </c>
      <c r="J1257" s="3">
        <f>Table1[[#This Row],[قيمة الفاتورة]]*0.94-Table1[[#This Row],[قيمة المشاركة]]</f>
        <v>32.683799999999998</v>
      </c>
      <c r="K1257">
        <v>31.998000000000001</v>
      </c>
      <c r="L1257" s="3">
        <f t="shared" si="19"/>
        <v>0.68579999999999686</v>
      </c>
      <c r="M1257" t="s">
        <v>2678</v>
      </c>
      <c r="N1257" t="s">
        <v>19</v>
      </c>
    </row>
    <row r="1258" spans="1:14" x14ac:dyDescent="0.3">
      <c r="A1258">
        <v>1047</v>
      </c>
      <c r="B1258" t="s">
        <v>1333</v>
      </c>
      <c r="C1258" t="s">
        <v>1334</v>
      </c>
      <c r="D1258" t="s">
        <v>2746</v>
      </c>
      <c r="E1258" t="s">
        <v>23</v>
      </c>
      <c r="F1258" t="s">
        <v>2747</v>
      </c>
      <c r="G1258" s="3">
        <v>22.23</v>
      </c>
      <c r="H1258" s="3">
        <v>0</v>
      </c>
      <c r="I1258" s="3">
        <v>22.23</v>
      </c>
      <c r="J1258" s="3">
        <f>Table1[[#This Row],[قيمة الفاتورة]]*0.94-Table1[[#This Row],[قيمة المشاركة]]</f>
        <v>20.8962</v>
      </c>
      <c r="K1258">
        <v>20.896000000000001</v>
      </c>
      <c r="L1258" s="3">
        <f t="shared" si="19"/>
        <v>1.9999999999953388E-4</v>
      </c>
      <c r="M1258" t="s">
        <v>2678</v>
      </c>
      <c r="N1258" t="s">
        <v>19</v>
      </c>
    </row>
    <row r="1259" spans="1:14" x14ac:dyDescent="0.3">
      <c r="A1259">
        <v>211</v>
      </c>
      <c r="B1259" t="s">
        <v>2619</v>
      </c>
      <c r="C1259" t="s">
        <v>2620</v>
      </c>
      <c r="D1259" t="s">
        <v>2748</v>
      </c>
      <c r="E1259" t="s">
        <v>23</v>
      </c>
      <c r="F1259" t="s">
        <v>2747</v>
      </c>
      <c r="G1259" s="3">
        <v>33.26</v>
      </c>
      <c r="H1259" s="3">
        <v>0</v>
      </c>
      <c r="I1259" s="3">
        <v>33.26</v>
      </c>
      <c r="J1259" s="3">
        <f>Table1[[#This Row],[قيمة الفاتورة]]*0.94-Table1[[#This Row],[قيمة المشاركة]]</f>
        <v>31.264399999999995</v>
      </c>
      <c r="K1259">
        <v>31.263999999999999</v>
      </c>
      <c r="L1259" s="3">
        <f t="shared" si="19"/>
        <v>3.9999999999551505E-4</v>
      </c>
      <c r="M1259" t="s">
        <v>2678</v>
      </c>
      <c r="N1259" t="s">
        <v>19</v>
      </c>
    </row>
    <row r="1260" spans="1:14" x14ac:dyDescent="0.3">
      <c r="A1260">
        <v>1049</v>
      </c>
      <c r="B1260" t="s">
        <v>2749</v>
      </c>
      <c r="C1260" t="s">
        <v>996</v>
      </c>
      <c r="D1260" t="s">
        <v>2750</v>
      </c>
      <c r="E1260" t="s">
        <v>23</v>
      </c>
      <c r="F1260" t="s">
        <v>2751</v>
      </c>
      <c r="G1260" s="3">
        <v>31.96</v>
      </c>
      <c r="H1260" s="3">
        <v>6.3920000000000003</v>
      </c>
      <c r="I1260" s="3">
        <v>25.568000000000001</v>
      </c>
      <c r="J1260" s="3">
        <f>Table1[[#This Row],[قيمة الفاتورة]]*0.94-Table1[[#This Row],[قيمة المشاركة]]</f>
        <v>23.650400000000001</v>
      </c>
      <c r="K1260">
        <v>23.65</v>
      </c>
      <c r="L1260" s="3">
        <f t="shared" si="19"/>
        <v>4.0000000000262048E-4</v>
      </c>
      <c r="M1260" t="s">
        <v>2689</v>
      </c>
      <c r="N1260" t="s">
        <v>328</v>
      </c>
    </row>
    <row r="1261" spans="1:14" x14ac:dyDescent="0.3">
      <c r="A1261">
        <v>1048</v>
      </c>
      <c r="B1261" t="s">
        <v>2752</v>
      </c>
      <c r="C1261" t="s">
        <v>2753</v>
      </c>
      <c r="D1261" t="s">
        <v>2754</v>
      </c>
      <c r="E1261" t="s">
        <v>17</v>
      </c>
      <c r="F1261" t="s">
        <v>2751</v>
      </c>
      <c r="G1261" s="3">
        <v>19.829999999999998</v>
      </c>
      <c r="H1261" s="3">
        <v>2.9740000000000002</v>
      </c>
      <c r="I1261" s="3">
        <v>16.856000000000002</v>
      </c>
      <c r="J1261" s="3">
        <f>Table1[[#This Row],[قيمة الفاتورة]]*0.94-Table1[[#This Row],[قيمة المشاركة]]</f>
        <v>15.666199999999996</v>
      </c>
      <c r="K1261">
        <v>15.664999999999999</v>
      </c>
      <c r="L1261" s="3">
        <f t="shared" si="19"/>
        <v>1.1999999999972033E-3</v>
      </c>
      <c r="M1261" t="s">
        <v>2678</v>
      </c>
      <c r="N1261" t="s">
        <v>19</v>
      </c>
    </row>
    <row r="1262" spans="1:14" x14ac:dyDescent="0.3">
      <c r="A1262">
        <v>212</v>
      </c>
      <c r="B1262" t="s">
        <v>2752</v>
      </c>
      <c r="C1262" t="s">
        <v>2755</v>
      </c>
      <c r="D1262" t="s">
        <v>2754</v>
      </c>
      <c r="E1262" t="s">
        <v>23</v>
      </c>
      <c r="F1262" t="s">
        <v>2751</v>
      </c>
      <c r="G1262" s="3">
        <v>7.84</v>
      </c>
      <c r="H1262" s="3">
        <v>1.1759999999999999</v>
      </c>
      <c r="I1262" s="3">
        <v>6.6639999999999997</v>
      </c>
      <c r="J1262" s="3">
        <f>Table1[[#This Row],[قيمة الفاتورة]]*0.94-Table1[[#This Row],[قيمة المشاركة]]</f>
        <v>6.1935999999999991</v>
      </c>
      <c r="K1262">
        <v>6.0670000000000002</v>
      </c>
      <c r="L1262" s="3">
        <f t="shared" si="19"/>
        <v>0.12659999999999894</v>
      </c>
      <c r="M1262" t="s">
        <v>2678</v>
      </c>
      <c r="N1262" t="s">
        <v>19</v>
      </c>
    </row>
    <row r="1263" spans="1:14" x14ac:dyDescent="0.3">
      <c r="A1263">
        <v>1050</v>
      </c>
      <c r="B1263" t="s">
        <v>891</v>
      </c>
      <c r="C1263" t="s">
        <v>1489</v>
      </c>
      <c r="D1263" t="s">
        <v>2756</v>
      </c>
      <c r="E1263" t="s">
        <v>17</v>
      </c>
      <c r="F1263" t="s">
        <v>2751</v>
      </c>
      <c r="G1263" s="3">
        <v>26.56</v>
      </c>
      <c r="H1263" s="3">
        <v>3.984</v>
      </c>
      <c r="I1263" s="3">
        <v>22.576000000000001</v>
      </c>
      <c r="J1263" s="3">
        <f>Table1[[#This Row],[قيمة الفاتورة]]*0.94-Table1[[#This Row],[قيمة المشاركة]]</f>
        <v>20.982399999999998</v>
      </c>
      <c r="K1263" s="3">
        <v>19.704000000000001</v>
      </c>
      <c r="L1263" s="3">
        <f t="shared" si="19"/>
        <v>1.2783999999999978</v>
      </c>
      <c r="M1263" s="6">
        <v>46183</v>
      </c>
      <c r="N1263" s="6" t="s">
        <v>19</v>
      </c>
    </row>
    <row r="1264" spans="1:14" x14ac:dyDescent="0.3">
      <c r="A1264">
        <v>1051</v>
      </c>
      <c r="B1264" t="s">
        <v>2757</v>
      </c>
      <c r="C1264" t="s">
        <v>2758</v>
      </c>
      <c r="D1264" t="s">
        <v>2759</v>
      </c>
      <c r="E1264" t="s">
        <v>17</v>
      </c>
      <c r="F1264" t="s">
        <v>2760</v>
      </c>
      <c r="G1264" s="3">
        <v>13.38</v>
      </c>
      <c r="H1264" s="3">
        <v>2.6760000000000002</v>
      </c>
      <c r="I1264" s="3">
        <v>10.704000000000001</v>
      </c>
      <c r="J1264" s="3">
        <f>Table1[[#This Row],[قيمة الفاتورة]]*0.94-Table1[[#This Row],[قيمة المشاركة]]</f>
        <v>9.9011999999999993</v>
      </c>
      <c r="K1264">
        <v>8.7919999999999998</v>
      </c>
      <c r="L1264" s="3">
        <f t="shared" si="19"/>
        <v>1.1091999999999995</v>
      </c>
      <c r="M1264" t="s">
        <v>2689</v>
      </c>
      <c r="N1264" t="s">
        <v>328</v>
      </c>
    </row>
    <row r="1265" spans="1:14" x14ac:dyDescent="0.3">
      <c r="A1265">
        <v>1052</v>
      </c>
      <c r="B1265" t="s">
        <v>1846</v>
      </c>
      <c r="C1265" t="s">
        <v>1867</v>
      </c>
      <c r="D1265" t="s">
        <v>2761</v>
      </c>
      <c r="E1265" t="s">
        <v>17</v>
      </c>
      <c r="F1265" t="s">
        <v>2762</v>
      </c>
      <c r="G1265" s="3">
        <v>18.59</v>
      </c>
      <c r="H1265" s="3">
        <v>0</v>
      </c>
      <c r="I1265" s="3">
        <v>18.59</v>
      </c>
      <c r="J1265" s="3">
        <f>Table1[[#This Row],[قيمة الفاتورة]]*0.94-Table1[[#This Row],[قيمة المشاركة]]</f>
        <v>17.474599999999999</v>
      </c>
      <c r="K1265">
        <v>17.475000000000001</v>
      </c>
      <c r="L1265" s="3">
        <f t="shared" si="19"/>
        <v>-4.0000000000262048E-4</v>
      </c>
      <c r="M1265" t="s">
        <v>2678</v>
      </c>
      <c r="N1265" t="s">
        <v>19</v>
      </c>
    </row>
    <row r="1266" spans="1:14" x14ac:dyDescent="0.3">
      <c r="A1266">
        <v>1053</v>
      </c>
      <c r="B1266" t="s">
        <v>134</v>
      </c>
      <c r="C1266" t="s">
        <v>2763</v>
      </c>
      <c r="D1266" t="s">
        <v>2764</v>
      </c>
      <c r="E1266" t="s">
        <v>23</v>
      </c>
      <c r="F1266" t="s">
        <v>2762</v>
      </c>
      <c r="G1266" s="3">
        <v>33.71</v>
      </c>
      <c r="H1266" s="3">
        <v>0</v>
      </c>
      <c r="I1266" s="3">
        <v>33.71</v>
      </c>
      <c r="J1266" s="3">
        <f>Table1[[#This Row],[قيمة الفاتورة]]*0.94-Table1[[#This Row],[قيمة المشاركة]]</f>
        <v>31.6874</v>
      </c>
      <c r="K1266">
        <v>30.587</v>
      </c>
      <c r="L1266" s="3">
        <f t="shared" si="19"/>
        <v>1.1004000000000005</v>
      </c>
      <c r="M1266" t="s">
        <v>2678</v>
      </c>
      <c r="N1266" t="s">
        <v>19</v>
      </c>
    </row>
    <row r="1267" spans="1:14" x14ac:dyDescent="0.3">
      <c r="A1267" s="7">
        <v>1054</v>
      </c>
      <c r="B1267" s="7" t="s">
        <v>2765</v>
      </c>
      <c r="C1267" s="7" t="s">
        <v>2766</v>
      </c>
      <c r="D1267" s="7" t="s">
        <v>2767</v>
      </c>
      <c r="E1267" s="7" t="s">
        <v>17</v>
      </c>
      <c r="F1267" s="7" t="s">
        <v>2762</v>
      </c>
      <c r="G1267" s="8">
        <v>78.73</v>
      </c>
      <c r="H1267" s="8">
        <v>0</v>
      </c>
      <c r="I1267" s="8">
        <v>78.73</v>
      </c>
      <c r="J1267" s="8">
        <f>Table1[[#This Row],[قيمة الفاتورة]]*0.94-Table1[[#This Row],[قيمة المشاركة]]</f>
        <v>74.006199999999993</v>
      </c>
      <c r="L1267" s="3" t="str">
        <f t="shared" si="19"/>
        <v/>
      </c>
      <c r="N1267" t="s">
        <v>4333</v>
      </c>
    </row>
    <row r="1268" spans="1:14" x14ac:dyDescent="0.3">
      <c r="A1268">
        <v>1055</v>
      </c>
      <c r="B1268" t="s">
        <v>930</v>
      </c>
      <c r="C1268" t="s">
        <v>2199</v>
      </c>
      <c r="D1268" t="s">
        <v>2768</v>
      </c>
      <c r="E1268" t="s">
        <v>17</v>
      </c>
      <c r="F1268" t="s">
        <v>2769</v>
      </c>
      <c r="G1268" s="3">
        <v>33.11</v>
      </c>
      <c r="H1268" s="3">
        <v>0</v>
      </c>
      <c r="I1268" s="3">
        <v>33.11</v>
      </c>
      <c r="J1268" s="3">
        <f>Table1[[#This Row],[قيمة الفاتورة]]*0.94-Table1[[#This Row],[قيمة المشاركة]]</f>
        <v>31.123399999999997</v>
      </c>
      <c r="K1268">
        <v>31.039000000000001</v>
      </c>
      <c r="L1268" s="3">
        <f t="shared" si="19"/>
        <v>8.4399999999995146E-2</v>
      </c>
      <c r="M1268" t="s">
        <v>2678</v>
      </c>
      <c r="N1268" t="s">
        <v>19</v>
      </c>
    </row>
    <row r="1269" spans="1:14" x14ac:dyDescent="0.3">
      <c r="A1269">
        <v>1056</v>
      </c>
      <c r="B1269" t="s">
        <v>85</v>
      </c>
      <c r="C1269" t="s">
        <v>1874</v>
      </c>
      <c r="D1269" t="s">
        <v>2770</v>
      </c>
      <c r="E1269" t="s">
        <v>17</v>
      </c>
      <c r="F1269" t="s">
        <v>2771</v>
      </c>
      <c r="G1269" s="3">
        <v>14.44</v>
      </c>
      <c r="H1269" s="3">
        <v>0</v>
      </c>
      <c r="I1269" s="3">
        <v>14.44</v>
      </c>
      <c r="J1269" s="3">
        <f>Table1[[#This Row],[قيمة الفاتورة]]*0.94-Table1[[#This Row],[قيمة المشاركة]]</f>
        <v>13.573599999999999</v>
      </c>
      <c r="K1269">
        <v>13.574</v>
      </c>
      <c r="L1269" s="3">
        <f t="shared" si="19"/>
        <v>-4.0000000000084412E-4</v>
      </c>
      <c r="M1269" t="s">
        <v>2678</v>
      </c>
      <c r="N1269" t="s">
        <v>19</v>
      </c>
    </row>
    <row r="1270" spans="1:14" x14ac:dyDescent="0.3">
      <c r="A1270">
        <v>213</v>
      </c>
      <c r="B1270" t="s">
        <v>2772</v>
      </c>
      <c r="C1270" t="s">
        <v>2773</v>
      </c>
      <c r="D1270" t="s">
        <v>2774</v>
      </c>
      <c r="E1270" t="s">
        <v>23</v>
      </c>
      <c r="F1270" t="s">
        <v>2771</v>
      </c>
      <c r="G1270" s="3">
        <v>17.23</v>
      </c>
      <c r="H1270" s="3">
        <v>0</v>
      </c>
      <c r="I1270" s="3">
        <v>17.23</v>
      </c>
      <c r="J1270" s="3">
        <f>Table1[[#This Row],[قيمة الفاتورة]]*0.94-Table1[[#This Row],[قيمة المشاركة]]</f>
        <v>16.196200000000001</v>
      </c>
      <c r="K1270">
        <v>16.196000000000002</v>
      </c>
      <c r="L1270" s="3">
        <f t="shared" si="19"/>
        <v>1.9999999999953388E-4</v>
      </c>
      <c r="M1270" t="s">
        <v>2678</v>
      </c>
      <c r="N1270" t="s">
        <v>19</v>
      </c>
    </row>
    <row r="1271" spans="1:14" x14ac:dyDescent="0.3">
      <c r="A1271">
        <v>1057</v>
      </c>
      <c r="B1271" t="s">
        <v>2775</v>
      </c>
      <c r="C1271" t="s">
        <v>2776</v>
      </c>
      <c r="D1271" t="s">
        <v>2777</v>
      </c>
      <c r="E1271" t="s">
        <v>17</v>
      </c>
      <c r="F1271" t="s">
        <v>2771</v>
      </c>
      <c r="G1271" s="3">
        <v>36.5</v>
      </c>
      <c r="H1271" s="3">
        <v>7.3</v>
      </c>
      <c r="I1271" s="3">
        <v>29.2</v>
      </c>
      <c r="J1271" s="3">
        <f>Table1[[#This Row],[قيمة الفاتورة]]*0.94-Table1[[#This Row],[قيمة المشاركة]]</f>
        <v>27.009999999999994</v>
      </c>
      <c r="K1271">
        <v>27.009</v>
      </c>
      <c r="L1271" s="3">
        <f t="shared" si="19"/>
        <v>9.9999999999411671E-4</v>
      </c>
      <c r="M1271" t="s">
        <v>2689</v>
      </c>
      <c r="N1271" t="s">
        <v>328</v>
      </c>
    </row>
    <row r="1272" spans="1:14" x14ac:dyDescent="0.3">
      <c r="A1272">
        <v>1059</v>
      </c>
      <c r="B1272" t="s">
        <v>2778</v>
      </c>
      <c r="C1272" t="s">
        <v>2779</v>
      </c>
      <c r="D1272" t="s">
        <v>2780</v>
      </c>
      <c r="E1272" t="s">
        <v>17</v>
      </c>
      <c r="F1272" t="s">
        <v>2781</v>
      </c>
      <c r="G1272" s="3">
        <v>18.36</v>
      </c>
      <c r="H1272" s="3">
        <v>0</v>
      </c>
      <c r="I1272" s="3">
        <v>18.36</v>
      </c>
      <c r="J1272" s="3">
        <f>Table1[[#This Row],[قيمة الفاتورة]]*0.94-Table1[[#This Row],[قيمة المشاركة]]</f>
        <v>17.258399999999998</v>
      </c>
      <c r="K1272">
        <v>17.257999999999999</v>
      </c>
      <c r="L1272" s="3">
        <f t="shared" si="19"/>
        <v>3.9999999999906777E-4</v>
      </c>
      <c r="M1272" t="s">
        <v>2678</v>
      </c>
      <c r="N1272" t="s">
        <v>19</v>
      </c>
    </row>
    <row r="1273" spans="1:14" x14ac:dyDescent="0.3">
      <c r="A1273">
        <v>1058</v>
      </c>
      <c r="B1273" t="s">
        <v>206</v>
      </c>
      <c r="C1273" t="s">
        <v>207</v>
      </c>
      <c r="D1273" t="s">
        <v>2782</v>
      </c>
      <c r="E1273" t="s">
        <v>17</v>
      </c>
      <c r="F1273" t="s">
        <v>2781</v>
      </c>
      <c r="G1273" s="3">
        <v>37.44</v>
      </c>
      <c r="H1273" s="3">
        <v>0</v>
      </c>
      <c r="I1273" s="3">
        <v>37.44</v>
      </c>
      <c r="J1273" s="3">
        <f>Table1[[#This Row],[قيمة الفاتورة]]*0.94-Table1[[#This Row],[قيمة المشاركة]]</f>
        <v>35.193599999999996</v>
      </c>
      <c r="K1273">
        <v>34.582000000000001</v>
      </c>
      <c r="L1273" s="3">
        <f t="shared" si="19"/>
        <v>0.6115999999999957</v>
      </c>
      <c r="M1273" t="s">
        <v>2678</v>
      </c>
      <c r="N1273" t="s">
        <v>19</v>
      </c>
    </row>
    <row r="1274" spans="1:14" x14ac:dyDescent="0.3">
      <c r="A1274">
        <v>1062</v>
      </c>
      <c r="B1274" t="s">
        <v>1370</v>
      </c>
      <c r="C1274" t="s">
        <v>2783</v>
      </c>
      <c r="D1274" t="s">
        <v>2784</v>
      </c>
      <c r="E1274" t="s">
        <v>17</v>
      </c>
      <c r="F1274" t="s">
        <v>2785</v>
      </c>
      <c r="G1274" s="3">
        <v>21.8</v>
      </c>
      <c r="H1274" s="3">
        <v>0</v>
      </c>
      <c r="I1274" s="3">
        <v>21.8</v>
      </c>
      <c r="J1274" s="3">
        <f>Table1[[#This Row],[قيمة الفاتورة]]*0.94-Table1[[#This Row],[قيمة المشاركة]]</f>
        <v>20.492000000000001</v>
      </c>
      <c r="K1274">
        <v>20.492000000000001</v>
      </c>
      <c r="L1274" s="3">
        <f t="shared" si="19"/>
        <v>0</v>
      </c>
      <c r="M1274" t="s">
        <v>2678</v>
      </c>
      <c r="N1274" t="s">
        <v>19</v>
      </c>
    </row>
    <row r="1275" spans="1:14" x14ac:dyDescent="0.3">
      <c r="A1275">
        <v>214</v>
      </c>
      <c r="B1275" t="s">
        <v>980</v>
      </c>
      <c r="C1275" t="s">
        <v>981</v>
      </c>
      <c r="D1275" t="s">
        <v>2786</v>
      </c>
      <c r="E1275" t="s">
        <v>17</v>
      </c>
      <c r="F1275" t="s">
        <v>2785</v>
      </c>
      <c r="G1275" s="3">
        <v>10.9</v>
      </c>
      <c r="H1275" s="3">
        <v>0</v>
      </c>
      <c r="I1275" s="3">
        <v>10.9</v>
      </c>
      <c r="J1275" s="3">
        <f>Table1[[#This Row],[قيمة الفاتورة]]*0.94-Table1[[#This Row],[قيمة المشاركة]]</f>
        <v>10.246</v>
      </c>
      <c r="K1275">
        <v>10.246</v>
      </c>
      <c r="L1275" s="3">
        <f t="shared" si="19"/>
        <v>0</v>
      </c>
      <c r="M1275" t="s">
        <v>2678</v>
      </c>
      <c r="N1275" t="s">
        <v>19</v>
      </c>
    </row>
    <row r="1276" spans="1:14" x14ac:dyDescent="0.3">
      <c r="A1276">
        <v>1063</v>
      </c>
      <c r="B1276" t="s">
        <v>923</v>
      </c>
      <c r="C1276" t="s">
        <v>2787</v>
      </c>
      <c r="D1276" t="s">
        <v>2788</v>
      </c>
      <c r="E1276" t="s">
        <v>17</v>
      </c>
      <c r="F1276" t="s">
        <v>2785</v>
      </c>
      <c r="G1276" s="3">
        <v>5.61</v>
      </c>
      <c r="H1276" s="3">
        <v>0</v>
      </c>
      <c r="I1276" s="3">
        <v>5.61</v>
      </c>
      <c r="J1276" s="3">
        <f>Table1[[#This Row],[قيمة الفاتورة]]*0.94-Table1[[#This Row],[قيمة المشاركة]]</f>
        <v>5.2733999999999996</v>
      </c>
      <c r="K1276">
        <v>5.2729999999999997</v>
      </c>
      <c r="L1276" s="3">
        <f t="shared" si="19"/>
        <v>3.9999999999995595E-4</v>
      </c>
      <c r="M1276" t="s">
        <v>2678</v>
      </c>
      <c r="N1276" t="s">
        <v>19</v>
      </c>
    </row>
    <row r="1277" spans="1:14" x14ac:dyDescent="0.3">
      <c r="A1277">
        <v>1060</v>
      </c>
      <c r="B1277" t="s">
        <v>2789</v>
      </c>
      <c r="C1277" t="s">
        <v>2790</v>
      </c>
      <c r="D1277" t="s">
        <v>2791</v>
      </c>
      <c r="E1277" t="s">
        <v>17</v>
      </c>
      <c r="F1277" t="s">
        <v>2785</v>
      </c>
      <c r="G1277" s="3">
        <v>21.75</v>
      </c>
      <c r="H1277" s="3">
        <v>4.3499999999999996</v>
      </c>
      <c r="I1277" s="3">
        <v>17.399999999999999</v>
      </c>
      <c r="J1277" s="3">
        <f>Table1[[#This Row],[قيمة الفاتورة]]*0.94-Table1[[#This Row],[قيمة المشاركة]]</f>
        <v>16.094999999999999</v>
      </c>
      <c r="K1277">
        <v>16.094000000000001</v>
      </c>
      <c r="L1277" s="3">
        <f t="shared" si="19"/>
        <v>9.9999999999766942E-4</v>
      </c>
      <c r="M1277" t="s">
        <v>2689</v>
      </c>
      <c r="N1277" t="s">
        <v>328</v>
      </c>
    </row>
    <row r="1278" spans="1:14" x14ac:dyDescent="0.3">
      <c r="A1278">
        <v>1061</v>
      </c>
      <c r="B1278" t="s">
        <v>662</v>
      </c>
      <c r="C1278" t="s">
        <v>663</v>
      </c>
      <c r="D1278" t="s">
        <v>2792</v>
      </c>
      <c r="E1278" t="s">
        <v>17</v>
      </c>
      <c r="F1278" t="s">
        <v>2785</v>
      </c>
      <c r="G1278" s="3">
        <v>49.23</v>
      </c>
      <c r="H1278" s="3">
        <v>0</v>
      </c>
      <c r="I1278" s="3">
        <v>49.23</v>
      </c>
      <c r="J1278" s="3">
        <f>Table1[[#This Row],[قيمة الفاتورة]]*0.94-Table1[[#This Row],[قيمة المشاركة]]</f>
        <v>46.276199999999996</v>
      </c>
      <c r="K1278">
        <v>45.514000000000003</v>
      </c>
      <c r="L1278" s="3">
        <f t="shared" si="19"/>
        <v>0.76219999999999288</v>
      </c>
      <c r="M1278" t="s">
        <v>2678</v>
      </c>
      <c r="N1278" t="s">
        <v>19</v>
      </c>
    </row>
    <row r="1279" spans="1:14" x14ac:dyDescent="0.3">
      <c r="A1279">
        <v>1064</v>
      </c>
      <c r="B1279" t="s">
        <v>2793</v>
      </c>
      <c r="C1279" t="s">
        <v>2794</v>
      </c>
      <c r="D1279" t="s">
        <v>2795</v>
      </c>
      <c r="E1279" t="s">
        <v>23</v>
      </c>
      <c r="F1279" t="s">
        <v>2796</v>
      </c>
      <c r="G1279" s="3">
        <v>11.14</v>
      </c>
      <c r="H1279" s="3">
        <v>0</v>
      </c>
      <c r="I1279" s="3">
        <v>11.14</v>
      </c>
      <c r="J1279" s="3">
        <f>Table1[[#This Row],[قيمة الفاتورة]]*0.94-Table1[[#This Row],[قيمة المشاركة]]</f>
        <v>10.4716</v>
      </c>
      <c r="K1279">
        <v>10.472</v>
      </c>
      <c r="L1279" s="3">
        <f t="shared" si="19"/>
        <v>-3.9999999999906777E-4</v>
      </c>
      <c r="M1279" t="s">
        <v>2678</v>
      </c>
      <c r="N1279" t="s">
        <v>19</v>
      </c>
    </row>
    <row r="1280" spans="1:14" x14ac:dyDescent="0.3">
      <c r="A1280">
        <v>1074</v>
      </c>
      <c r="B1280" t="s">
        <v>1627</v>
      </c>
      <c r="C1280" t="s">
        <v>1628</v>
      </c>
      <c r="D1280" t="s">
        <v>2797</v>
      </c>
      <c r="E1280" t="s">
        <v>17</v>
      </c>
      <c r="F1280" t="s">
        <v>2798</v>
      </c>
      <c r="G1280" s="3">
        <v>10.54</v>
      </c>
      <c r="H1280" s="3">
        <v>0</v>
      </c>
      <c r="I1280" s="3">
        <v>10.54</v>
      </c>
      <c r="J1280" s="3">
        <f>Table1[[#This Row],[قيمة الفاتورة]]*0.94-Table1[[#This Row],[قيمة المشاركة]]</f>
        <v>9.9075999999999986</v>
      </c>
      <c r="K1280">
        <v>9.9640000000000004</v>
      </c>
      <c r="L1280" s="3">
        <f t="shared" si="19"/>
        <v>-5.6400000000001782E-2</v>
      </c>
      <c r="M1280" t="s">
        <v>2678</v>
      </c>
      <c r="N1280" t="s">
        <v>19</v>
      </c>
    </row>
    <row r="1281" spans="1:14" x14ac:dyDescent="0.3">
      <c r="A1281">
        <v>1066</v>
      </c>
      <c r="B1281" t="s">
        <v>917</v>
      </c>
      <c r="C1281" t="s">
        <v>918</v>
      </c>
      <c r="D1281" t="s">
        <v>2799</v>
      </c>
      <c r="E1281" t="s">
        <v>23</v>
      </c>
      <c r="F1281" t="s">
        <v>2798</v>
      </c>
      <c r="G1281" s="3">
        <v>29.39</v>
      </c>
      <c r="H1281" s="3">
        <v>0</v>
      </c>
      <c r="I1281" s="3">
        <v>29.39</v>
      </c>
      <c r="J1281" s="3">
        <f>Table1[[#This Row],[قيمة الفاتورة]]*0.94-Table1[[#This Row],[قيمة المشاركة]]</f>
        <v>27.6266</v>
      </c>
      <c r="K1281">
        <v>27.626999999999999</v>
      </c>
      <c r="L1281" s="3">
        <f t="shared" si="19"/>
        <v>-3.9999999999906777E-4</v>
      </c>
      <c r="M1281" t="s">
        <v>2678</v>
      </c>
      <c r="N1281" t="s">
        <v>19</v>
      </c>
    </row>
    <row r="1282" spans="1:14" x14ac:dyDescent="0.3">
      <c r="A1282">
        <v>1065</v>
      </c>
      <c r="B1282" t="s">
        <v>2800</v>
      </c>
      <c r="C1282" t="s">
        <v>2801</v>
      </c>
      <c r="D1282" t="s">
        <v>2802</v>
      </c>
      <c r="E1282" t="s">
        <v>17</v>
      </c>
      <c r="F1282" t="s">
        <v>2798</v>
      </c>
      <c r="G1282" s="3">
        <v>16.64</v>
      </c>
      <c r="H1282" s="3">
        <v>0</v>
      </c>
      <c r="I1282" s="3">
        <v>16.64</v>
      </c>
      <c r="J1282" s="3">
        <f>Table1[[#This Row],[قيمة الفاتورة]]*0.94-Table1[[#This Row],[قيمة المشاركة]]</f>
        <v>15.6416</v>
      </c>
      <c r="K1282">
        <v>15.641</v>
      </c>
      <c r="L1282" s="3">
        <f t="shared" ref="L1282:L1345" si="20">IF(ISNUMBER(K1282), J1282-K1282, "")</f>
        <v>6.0000000000037801E-4</v>
      </c>
      <c r="M1282" t="s">
        <v>2678</v>
      </c>
      <c r="N1282" t="s">
        <v>19</v>
      </c>
    </row>
    <row r="1283" spans="1:14" x14ac:dyDescent="0.3">
      <c r="A1283">
        <v>1075</v>
      </c>
      <c r="B1283" t="s">
        <v>1728</v>
      </c>
      <c r="C1283" t="s">
        <v>1729</v>
      </c>
      <c r="D1283" t="s">
        <v>2803</v>
      </c>
      <c r="E1283" t="s">
        <v>23</v>
      </c>
      <c r="F1283" t="s">
        <v>2798</v>
      </c>
      <c r="G1283" s="3">
        <v>32.340000000000003</v>
      </c>
      <c r="H1283" s="3">
        <v>0</v>
      </c>
      <c r="I1283" s="3">
        <v>32.340000000000003</v>
      </c>
      <c r="J1283" s="3">
        <f>Table1[[#This Row],[قيمة الفاتورة]]*0.94-Table1[[#This Row],[قيمة المشاركة]]</f>
        <v>30.399600000000003</v>
      </c>
      <c r="K1283">
        <v>30.399000000000001</v>
      </c>
      <c r="L1283" s="3">
        <f t="shared" si="20"/>
        <v>6.0000000000215437E-4</v>
      </c>
      <c r="M1283" t="s">
        <v>2678</v>
      </c>
      <c r="N1283" t="s">
        <v>19</v>
      </c>
    </row>
    <row r="1284" spans="1:14" x14ac:dyDescent="0.3">
      <c r="A1284">
        <v>1068</v>
      </c>
      <c r="B1284" t="s">
        <v>1146</v>
      </c>
      <c r="C1284" t="s">
        <v>433</v>
      </c>
      <c r="D1284" t="s">
        <v>2804</v>
      </c>
      <c r="E1284" t="s">
        <v>23</v>
      </c>
      <c r="F1284" t="s">
        <v>2798</v>
      </c>
      <c r="G1284" s="3">
        <v>37.090000000000003</v>
      </c>
      <c r="H1284" s="3">
        <v>0</v>
      </c>
      <c r="I1284" s="3">
        <v>37.090000000000003</v>
      </c>
      <c r="J1284" s="3">
        <f>Table1[[#This Row],[قيمة الفاتورة]]*0.94-Table1[[#This Row],[قيمة المشاركة]]</f>
        <v>34.864600000000003</v>
      </c>
      <c r="K1284">
        <v>34.639000000000003</v>
      </c>
      <c r="L1284" s="3">
        <f t="shared" si="20"/>
        <v>0.22560000000000002</v>
      </c>
      <c r="M1284" t="s">
        <v>2678</v>
      </c>
      <c r="N1284" t="s">
        <v>19</v>
      </c>
    </row>
    <row r="1285" spans="1:14" x14ac:dyDescent="0.3">
      <c r="A1285">
        <v>1071</v>
      </c>
      <c r="B1285" t="s">
        <v>2805</v>
      </c>
      <c r="C1285" t="s">
        <v>2806</v>
      </c>
      <c r="D1285" t="s">
        <v>2807</v>
      </c>
      <c r="E1285" t="s">
        <v>17</v>
      </c>
      <c r="F1285" t="s">
        <v>2798</v>
      </c>
      <c r="G1285" s="3">
        <v>47.74</v>
      </c>
      <c r="H1285" s="3">
        <v>9.548</v>
      </c>
      <c r="I1285" s="3">
        <v>38.192</v>
      </c>
      <c r="J1285" s="3">
        <f>Table1[[#This Row],[قيمة الفاتورة]]*0.94-Table1[[#This Row],[قيمة المشاركة]]</f>
        <v>35.327599999999997</v>
      </c>
      <c r="K1285">
        <v>34.951999999999998</v>
      </c>
      <c r="L1285" s="3">
        <f t="shared" si="20"/>
        <v>0.3755999999999986</v>
      </c>
      <c r="M1285" t="s">
        <v>2689</v>
      </c>
      <c r="N1285" t="s">
        <v>328</v>
      </c>
    </row>
    <row r="1286" spans="1:14" x14ac:dyDescent="0.3">
      <c r="A1286">
        <v>1073</v>
      </c>
      <c r="B1286" t="s">
        <v>2686</v>
      </c>
      <c r="C1286" t="s">
        <v>2687</v>
      </c>
      <c r="D1286" t="s">
        <v>2808</v>
      </c>
      <c r="E1286" t="s">
        <v>23</v>
      </c>
      <c r="F1286" t="s">
        <v>2798</v>
      </c>
      <c r="G1286" s="3">
        <v>56.55</v>
      </c>
      <c r="H1286" s="3">
        <v>11.31</v>
      </c>
      <c r="I1286" s="3">
        <v>45.24</v>
      </c>
      <c r="J1286" s="3">
        <f>Table1[[#This Row],[قيمة الفاتورة]]*0.94-Table1[[#This Row],[قيمة المشاركة]]</f>
        <v>41.846999999999994</v>
      </c>
      <c r="K1286">
        <v>41.029000000000003</v>
      </c>
      <c r="L1286" s="3">
        <f t="shared" si="20"/>
        <v>0.81799999999999073</v>
      </c>
      <c r="M1286" t="s">
        <v>2689</v>
      </c>
      <c r="N1286" t="s">
        <v>328</v>
      </c>
    </row>
    <row r="1287" spans="1:14" x14ac:dyDescent="0.3">
      <c r="A1287">
        <v>1070</v>
      </c>
      <c r="B1287" t="s">
        <v>2809</v>
      </c>
      <c r="C1287" t="s">
        <v>2810</v>
      </c>
      <c r="D1287" t="s">
        <v>2811</v>
      </c>
      <c r="E1287" t="s">
        <v>23</v>
      </c>
      <c r="F1287" t="s">
        <v>2798</v>
      </c>
      <c r="G1287" s="3">
        <v>35.28</v>
      </c>
      <c r="H1287" s="3">
        <v>7.056</v>
      </c>
      <c r="I1287" s="3">
        <v>28.224</v>
      </c>
      <c r="J1287" s="3">
        <f>Table1[[#This Row],[قيمة الفاتورة]]*0.94-Table1[[#This Row],[قيمة المشاركة]]</f>
        <v>26.107199999999995</v>
      </c>
      <c r="L1287" s="3" t="str">
        <f t="shared" si="20"/>
        <v/>
      </c>
      <c r="N1287" t="s">
        <v>328</v>
      </c>
    </row>
    <row r="1288" spans="1:14" x14ac:dyDescent="0.3">
      <c r="A1288">
        <v>1072</v>
      </c>
      <c r="B1288" t="s">
        <v>2812</v>
      </c>
      <c r="C1288" t="s">
        <v>2813</v>
      </c>
      <c r="D1288" t="s">
        <v>2814</v>
      </c>
      <c r="E1288" t="s">
        <v>23</v>
      </c>
      <c r="F1288" t="s">
        <v>2798</v>
      </c>
      <c r="G1288" s="3">
        <v>43.005000000000003</v>
      </c>
      <c r="H1288" s="3">
        <v>8.6010000000000009</v>
      </c>
      <c r="I1288" s="3">
        <v>34.404000000000003</v>
      </c>
      <c r="J1288" s="3">
        <f>Table1[[#This Row],[قيمة الفاتورة]]*0.94-Table1[[#This Row],[قيمة المشاركة]]</f>
        <v>31.823700000000002</v>
      </c>
      <c r="L1288" s="3" t="str">
        <f t="shared" si="20"/>
        <v/>
      </c>
      <c r="N1288" t="s">
        <v>328</v>
      </c>
    </row>
    <row r="1289" spans="1:14" x14ac:dyDescent="0.3">
      <c r="A1289">
        <v>1067</v>
      </c>
      <c r="B1289" t="s">
        <v>2815</v>
      </c>
      <c r="C1289" t="s">
        <v>2816</v>
      </c>
      <c r="D1289" t="s">
        <v>2817</v>
      </c>
      <c r="E1289" t="s">
        <v>23</v>
      </c>
      <c r="F1289" t="s">
        <v>2798</v>
      </c>
      <c r="G1289" s="3">
        <v>39.69</v>
      </c>
      <c r="H1289" s="3">
        <v>7.9379999999999997</v>
      </c>
      <c r="I1289" s="3">
        <v>31.751999999999999</v>
      </c>
      <c r="J1289" s="3">
        <f>Table1[[#This Row],[قيمة الفاتورة]]*0.94-Table1[[#This Row],[قيمة المشاركة]]</f>
        <v>29.3706</v>
      </c>
      <c r="L1289" s="3" t="str">
        <f t="shared" si="20"/>
        <v/>
      </c>
      <c r="N1289" t="s">
        <v>328</v>
      </c>
    </row>
    <row r="1290" spans="1:14" x14ac:dyDescent="0.3">
      <c r="A1290">
        <v>1069</v>
      </c>
      <c r="B1290" t="s">
        <v>2818</v>
      </c>
      <c r="C1290" t="s">
        <v>2819</v>
      </c>
      <c r="D1290" t="s">
        <v>2820</v>
      </c>
      <c r="E1290" t="s">
        <v>23</v>
      </c>
      <c r="F1290" t="s">
        <v>2798</v>
      </c>
      <c r="G1290" s="3">
        <v>55</v>
      </c>
      <c r="H1290" s="3">
        <v>11</v>
      </c>
      <c r="I1290" s="3">
        <v>44</v>
      </c>
      <c r="J1290" s="3">
        <f>Table1[[#This Row],[قيمة الفاتورة]]*0.94-Table1[[#This Row],[قيمة المشاركة]]</f>
        <v>40.699999999999996</v>
      </c>
      <c r="L1290" s="3" t="str">
        <f t="shared" si="20"/>
        <v/>
      </c>
      <c r="N1290" t="s">
        <v>328</v>
      </c>
    </row>
    <row r="1291" spans="1:14" x14ac:dyDescent="0.3">
      <c r="A1291">
        <v>215</v>
      </c>
      <c r="B1291" t="s">
        <v>464</v>
      </c>
      <c r="C1291" t="s">
        <v>465</v>
      </c>
      <c r="D1291" t="s">
        <v>2821</v>
      </c>
      <c r="E1291" t="s">
        <v>23</v>
      </c>
      <c r="F1291" t="s">
        <v>2822</v>
      </c>
      <c r="G1291" s="3">
        <v>8.99</v>
      </c>
      <c r="H1291" s="3">
        <v>0</v>
      </c>
      <c r="I1291" s="3">
        <v>8.99</v>
      </c>
      <c r="J1291" s="3">
        <f>Table1[[#This Row],[قيمة الفاتورة]]*0.94-Table1[[#This Row],[قيمة المشاركة]]</f>
        <v>8.4505999999999997</v>
      </c>
      <c r="K1291">
        <v>8.4510000000000005</v>
      </c>
      <c r="L1291" s="3">
        <f t="shared" si="20"/>
        <v>-4.0000000000084412E-4</v>
      </c>
      <c r="M1291" t="s">
        <v>2678</v>
      </c>
      <c r="N1291" t="s">
        <v>19</v>
      </c>
    </row>
    <row r="1292" spans="1:14" x14ac:dyDescent="0.3">
      <c r="A1292">
        <v>217</v>
      </c>
      <c r="B1292" t="s">
        <v>2823</v>
      </c>
      <c r="C1292" t="s">
        <v>2824</v>
      </c>
      <c r="D1292" t="s">
        <v>2825</v>
      </c>
      <c r="E1292" t="s">
        <v>23</v>
      </c>
      <c r="F1292" t="s">
        <v>2822</v>
      </c>
      <c r="G1292" s="3">
        <v>42.62</v>
      </c>
      <c r="H1292" s="3">
        <v>0</v>
      </c>
      <c r="I1292" s="3">
        <v>42.62</v>
      </c>
      <c r="J1292" s="3">
        <f>Table1[[#This Row],[قيمة الفاتورة]]*0.94-Table1[[#This Row],[قيمة المشاركة]]</f>
        <v>40.062799999999996</v>
      </c>
      <c r="K1292">
        <v>40.063000000000002</v>
      </c>
      <c r="L1292" s="3">
        <f t="shared" si="20"/>
        <v>-2.0000000000663931E-4</v>
      </c>
      <c r="M1292" t="s">
        <v>2678</v>
      </c>
      <c r="N1292" t="s">
        <v>19</v>
      </c>
    </row>
    <row r="1293" spans="1:14" x14ac:dyDescent="0.3">
      <c r="A1293">
        <v>216</v>
      </c>
      <c r="B1293" t="s">
        <v>666</v>
      </c>
      <c r="C1293" t="s">
        <v>667</v>
      </c>
      <c r="D1293" t="s">
        <v>2826</v>
      </c>
      <c r="E1293" t="s">
        <v>17</v>
      </c>
      <c r="F1293" t="s">
        <v>2822</v>
      </c>
      <c r="G1293" s="3">
        <v>35.76</v>
      </c>
      <c r="H1293" s="3">
        <v>0</v>
      </c>
      <c r="I1293" s="3">
        <v>35.76</v>
      </c>
      <c r="J1293" s="3">
        <f>Table1[[#This Row],[قيمة الفاتورة]]*0.94-Table1[[#This Row],[قيمة المشاركة]]</f>
        <v>33.614399999999996</v>
      </c>
      <c r="K1293">
        <v>33.238</v>
      </c>
      <c r="L1293" s="3">
        <f t="shared" si="20"/>
        <v>0.37639999999999674</v>
      </c>
      <c r="M1293" t="s">
        <v>2678</v>
      </c>
      <c r="N1293" t="s">
        <v>19</v>
      </c>
    </row>
    <row r="1294" spans="1:14" x14ac:dyDescent="0.3">
      <c r="A1294">
        <v>1076</v>
      </c>
      <c r="B1294" t="s">
        <v>2007</v>
      </c>
      <c r="C1294" t="s">
        <v>2008</v>
      </c>
      <c r="D1294" t="s">
        <v>2827</v>
      </c>
      <c r="E1294" t="s">
        <v>23</v>
      </c>
      <c r="F1294" t="s">
        <v>2822</v>
      </c>
      <c r="G1294" s="3">
        <v>50.07</v>
      </c>
      <c r="H1294" s="3">
        <v>10.013999999999999</v>
      </c>
      <c r="I1294" s="3">
        <v>40.055999999999997</v>
      </c>
      <c r="J1294" s="3">
        <f>Table1[[#This Row],[قيمة الفاتورة]]*0.94-Table1[[#This Row],[قيمة المشاركة]]</f>
        <v>37.0518</v>
      </c>
      <c r="K1294">
        <v>35.97</v>
      </c>
      <c r="L1294" s="3">
        <f t="shared" si="20"/>
        <v>1.0818000000000012</v>
      </c>
      <c r="M1294" t="s">
        <v>2689</v>
      </c>
      <c r="N1294" t="s">
        <v>328</v>
      </c>
    </row>
    <row r="1295" spans="1:14" x14ac:dyDescent="0.3">
      <c r="A1295">
        <v>1077</v>
      </c>
      <c r="B1295" t="s">
        <v>2828</v>
      </c>
      <c r="C1295" t="s">
        <v>2829</v>
      </c>
      <c r="D1295" t="s">
        <v>2830</v>
      </c>
      <c r="E1295" t="s">
        <v>23</v>
      </c>
      <c r="F1295" t="s">
        <v>2822</v>
      </c>
      <c r="G1295" s="3">
        <v>44.4</v>
      </c>
      <c r="H1295" s="3">
        <v>8.8800000000000008</v>
      </c>
      <c r="I1295" s="3">
        <v>35.520000000000003</v>
      </c>
      <c r="J1295" s="3">
        <f>Table1[[#This Row],[قيمة الفاتورة]]*0.94-Table1[[#This Row],[قيمة المشاركة]]</f>
        <v>32.855999999999995</v>
      </c>
      <c r="L1295" s="3" t="str">
        <f t="shared" si="20"/>
        <v/>
      </c>
      <c r="N1295" t="s">
        <v>328</v>
      </c>
    </row>
    <row r="1296" spans="1:14" x14ac:dyDescent="0.3">
      <c r="A1296">
        <v>219</v>
      </c>
      <c r="B1296" t="s">
        <v>2831</v>
      </c>
      <c r="C1296" t="s">
        <v>2832</v>
      </c>
      <c r="D1296" t="s">
        <v>2833</v>
      </c>
      <c r="E1296" t="s">
        <v>17</v>
      </c>
      <c r="F1296" t="s">
        <v>2834</v>
      </c>
      <c r="G1296" s="3">
        <v>9.4770000000000003</v>
      </c>
      <c r="H1296" s="3">
        <v>0</v>
      </c>
      <c r="I1296" s="3">
        <v>9.4770000000000003</v>
      </c>
      <c r="J1296" s="3">
        <f>Table1[[#This Row],[قيمة الفاتورة]]*0.94-Table1[[#This Row],[قيمة المشاركة]]</f>
        <v>8.9083799999999993</v>
      </c>
      <c r="K1296">
        <v>9.2110000000000003</v>
      </c>
      <c r="L1296" s="3">
        <f t="shared" si="20"/>
        <v>-0.302620000000001</v>
      </c>
      <c r="M1296" t="s">
        <v>2678</v>
      </c>
      <c r="N1296" t="s">
        <v>19</v>
      </c>
    </row>
    <row r="1297" spans="1:14" x14ac:dyDescent="0.3">
      <c r="A1297">
        <v>1079</v>
      </c>
      <c r="B1297" t="s">
        <v>98</v>
      </c>
      <c r="C1297" t="s">
        <v>99</v>
      </c>
      <c r="D1297" t="s">
        <v>2835</v>
      </c>
      <c r="E1297" t="s">
        <v>17</v>
      </c>
      <c r="F1297" t="s">
        <v>2834</v>
      </c>
      <c r="G1297" s="3">
        <v>24.92</v>
      </c>
      <c r="H1297" s="3">
        <v>0</v>
      </c>
      <c r="I1297" s="3">
        <v>24.92</v>
      </c>
      <c r="J1297" s="3">
        <f>Table1[[#This Row],[قيمة الفاتورة]]*0.94-Table1[[#This Row],[قيمة المشاركة]]</f>
        <v>23.424800000000001</v>
      </c>
      <c r="K1297">
        <v>23.425000000000001</v>
      </c>
      <c r="L1297" s="3">
        <f t="shared" si="20"/>
        <v>-1.9999999999953388E-4</v>
      </c>
      <c r="M1297" t="s">
        <v>2678</v>
      </c>
      <c r="N1297" t="s">
        <v>19</v>
      </c>
    </row>
    <row r="1298" spans="1:14" x14ac:dyDescent="0.3">
      <c r="A1298">
        <v>220</v>
      </c>
      <c r="B1298" t="s">
        <v>793</v>
      </c>
      <c r="C1298" t="s">
        <v>1118</v>
      </c>
      <c r="D1298" t="s">
        <v>2836</v>
      </c>
      <c r="E1298" t="s">
        <v>23</v>
      </c>
      <c r="F1298" t="s">
        <v>2834</v>
      </c>
      <c r="G1298" s="3">
        <v>6.13</v>
      </c>
      <c r="H1298" s="3">
        <v>0</v>
      </c>
      <c r="I1298" s="3">
        <v>6.13</v>
      </c>
      <c r="J1298" s="3">
        <f>Table1[[#This Row],[قيمة الفاتورة]]*0.94-Table1[[#This Row],[قيمة المشاركة]]</f>
        <v>5.7622</v>
      </c>
      <c r="K1298">
        <v>5.7619999999999996</v>
      </c>
      <c r="L1298" s="3">
        <f t="shared" si="20"/>
        <v>2.0000000000042206E-4</v>
      </c>
      <c r="M1298" t="s">
        <v>2678</v>
      </c>
      <c r="N1298" t="s">
        <v>19</v>
      </c>
    </row>
    <row r="1299" spans="1:14" x14ac:dyDescent="0.3">
      <c r="A1299">
        <v>1078</v>
      </c>
      <c r="B1299" t="s">
        <v>39</v>
      </c>
      <c r="C1299" t="s">
        <v>40</v>
      </c>
      <c r="D1299" t="s">
        <v>2837</v>
      </c>
      <c r="E1299" t="s">
        <v>17</v>
      </c>
      <c r="F1299" t="s">
        <v>2834</v>
      </c>
      <c r="G1299" s="3">
        <v>12.41</v>
      </c>
      <c r="H1299" s="3">
        <v>0</v>
      </c>
      <c r="I1299" s="3">
        <v>12.41</v>
      </c>
      <c r="J1299" s="3">
        <f>Table1[[#This Row],[قيمة الفاتورة]]*0.94-Table1[[#This Row],[قيمة المشاركة]]</f>
        <v>11.6654</v>
      </c>
      <c r="K1299">
        <v>11.664999999999999</v>
      </c>
      <c r="L1299" s="3">
        <f t="shared" si="20"/>
        <v>4.0000000000084412E-4</v>
      </c>
      <c r="M1299" t="s">
        <v>2678</v>
      </c>
      <c r="N1299" t="s">
        <v>19</v>
      </c>
    </row>
    <row r="1300" spans="1:14" x14ac:dyDescent="0.3">
      <c r="A1300">
        <v>218</v>
      </c>
      <c r="B1300" t="s">
        <v>1407</v>
      </c>
      <c r="C1300" t="s">
        <v>1408</v>
      </c>
      <c r="D1300" t="s">
        <v>2838</v>
      </c>
      <c r="E1300" t="s">
        <v>23</v>
      </c>
      <c r="F1300" t="s">
        <v>2834</v>
      </c>
      <c r="G1300" s="3">
        <v>16.2</v>
      </c>
      <c r="H1300" s="3">
        <v>0</v>
      </c>
      <c r="I1300" s="3">
        <v>16.2</v>
      </c>
      <c r="J1300" s="3">
        <f>Table1[[#This Row],[قيمة الفاتورة]]*0.94-Table1[[#This Row],[قيمة المشاركة]]</f>
        <v>15.227999999999998</v>
      </c>
      <c r="K1300">
        <v>15.124000000000001</v>
      </c>
      <c r="L1300" s="3">
        <f t="shared" si="20"/>
        <v>0.10399999999999743</v>
      </c>
      <c r="M1300" t="s">
        <v>2678</v>
      </c>
      <c r="N1300" t="s">
        <v>19</v>
      </c>
    </row>
    <row r="1301" spans="1:14" x14ac:dyDescent="0.3">
      <c r="A1301">
        <v>1080</v>
      </c>
      <c r="B1301" t="s">
        <v>52</v>
      </c>
      <c r="C1301" t="s">
        <v>2839</v>
      </c>
      <c r="D1301" t="s">
        <v>2840</v>
      </c>
      <c r="E1301" t="s">
        <v>17</v>
      </c>
      <c r="F1301" t="s">
        <v>2834</v>
      </c>
      <c r="G1301" s="3">
        <v>26.27</v>
      </c>
      <c r="H1301" s="3">
        <v>0</v>
      </c>
      <c r="I1301" s="3">
        <v>26.27</v>
      </c>
      <c r="J1301" s="3">
        <f>Table1[[#This Row],[قيمة الفاتورة]]*0.94-Table1[[#This Row],[قيمة المشاركة]]</f>
        <v>24.6938</v>
      </c>
      <c r="K1301">
        <v>24.449000000000002</v>
      </c>
      <c r="L1301" s="3">
        <f t="shared" si="20"/>
        <v>0.24479999999999791</v>
      </c>
      <c r="M1301" t="s">
        <v>2678</v>
      </c>
      <c r="N1301" t="s">
        <v>19</v>
      </c>
    </row>
    <row r="1302" spans="1:14" x14ac:dyDescent="0.3">
      <c r="A1302">
        <v>1081</v>
      </c>
      <c r="B1302" t="s">
        <v>2841</v>
      </c>
      <c r="C1302" t="s">
        <v>2842</v>
      </c>
      <c r="D1302" t="s">
        <v>2843</v>
      </c>
      <c r="E1302" t="s">
        <v>17</v>
      </c>
      <c r="F1302" t="s">
        <v>2844</v>
      </c>
      <c r="G1302" s="3">
        <v>17.399999999999999</v>
      </c>
      <c r="H1302" s="3">
        <v>0</v>
      </c>
      <c r="I1302" s="3">
        <v>17.399999999999999</v>
      </c>
      <c r="J1302" s="3">
        <f>Table1[[#This Row],[قيمة الفاتورة]]*0.94-Table1[[#This Row],[قيمة المشاركة]]</f>
        <v>16.355999999999998</v>
      </c>
      <c r="K1302">
        <v>16.356000000000002</v>
      </c>
      <c r="L1302" s="3">
        <f t="shared" si="20"/>
        <v>-3.5527136788005009E-15</v>
      </c>
      <c r="M1302" t="s">
        <v>2678</v>
      </c>
      <c r="N1302" t="s">
        <v>19</v>
      </c>
    </row>
    <row r="1303" spans="1:14" x14ac:dyDescent="0.3">
      <c r="A1303">
        <v>1088</v>
      </c>
      <c r="B1303" t="s">
        <v>938</v>
      </c>
      <c r="C1303" t="s">
        <v>939</v>
      </c>
      <c r="D1303" t="s">
        <v>2845</v>
      </c>
      <c r="E1303" t="s">
        <v>17</v>
      </c>
      <c r="F1303" t="s">
        <v>2844</v>
      </c>
      <c r="G1303" s="3">
        <v>50.58</v>
      </c>
      <c r="H1303" s="3">
        <v>0</v>
      </c>
      <c r="I1303" s="3">
        <v>50.58</v>
      </c>
      <c r="J1303" s="3">
        <f>Table1[[#This Row],[قيمة الفاتورة]]*0.94-Table1[[#This Row],[قيمة المشاركة]]</f>
        <v>47.545199999999994</v>
      </c>
      <c r="K1303">
        <v>47.545000000000002</v>
      </c>
      <c r="L1303" s="3">
        <f t="shared" si="20"/>
        <v>1.9999999999242846E-4</v>
      </c>
      <c r="M1303" t="s">
        <v>2678</v>
      </c>
      <c r="N1303" t="s">
        <v>19</v>
      </c>
    </row>
    <row r="1304" spans="1:14" x14ac:dyDescent="0.3">
      <c r="A1304">
        <v>1082</v>
      </c>
      <c r="B1304" t="s">
        <v>464</v>
      </c>
      <c r="C1304" t="s">
        <v>465</v>
      </c>
      <c r="D1304" t="s">
        <v>2846</v>
      </c>
      <c r="E1304" t="s">
        <v>17</v>
      </c>
      <c r="F1304" t="s">
        <v>2844</v>
      </c>
      <c r="G1304" s="3">
        <v>25.28</v>
      </c>
      <c r="H1304" s="3">
        <v>0</v>
      </c>
      <c r="I1304" s="3">
        <v>25.28</v>
      </c>
      <c r="J1304" s="3">
        <f>Table1[[#This Row],[قيمة الفاتورة]]*0.94-Table1[[#This Row],[قيمة المشاركة]]</f>
        <v>23.763200000000001</v>
      </c>
      <c r="K1304">
        <v>23.763000000000002</v>
      </c>
      <c r="L1304" s="3">
        <f t="shared" si="20"/>
        <v>1.9999999999953388E-4</v>
      </c>
      <c r="M1304" t="s">
        <v>2678</v>
      </c>
      <c r="N1304" t="s">
        <v>19</v>
      </c>
    </row>
    <row r="1305" spans="1:14" x14ac:dyDescent="0.3">
      <c r="A1305">
        <v>221</v>
      </c>
      <c r="B1305" t="s">
        <v>945</v>
      </c>
      <c r="C1305" t="s">
        <v>946</v>
      </c>
      <c r="D1305" t="s">
        <v>2847</v>
      </c>
      <c r="E1305" t="s">
        <v>17</v>
      </c>
      <c r="F1305" t="s">
        <v>2844</v>
      </c>
      <c r="G1305" s="3">
        <v>29.47</v>
      </c>
      <c r="H1305" s="3">
        <v>0</v>
      </c>
      <c r="I1305" s="3">
        <v>29.47</v>
      </c>
      <c r="J1305" s="3">
        <f>Table1[[#This Row],[قيمة الفاتورة]]*0.94-Table1[[#This Row],[قيمة المشاركة]]</f>
        <v>27.701799999999999</v>
      </c>
      <c r="K1305">
        <v>27.701000000000001</v>
      </c>
      <c r="L1305" s="3">
        <f t="shared" si="20"/>
        <v>7.9999999999813554E-4</v>
      </c>
      <c r="M1305" t="s">
        <v>2678</v>
      </c>
      <c r="N1305" t="s">
        <v>19</v>
      </c>
    </row>
    <row r="1306" spans="1:14" x14ac:dyDescent="0.3">
      <c r="A1306">
        <v>1085</v>
      </c>
      <c r="B1306" t="s">
        <v>2848</v>
      </c>
      <c r="C1306" t="s">
        <v>2849</v>
      </c>
      <c r="D1306" t="s">
        <v>2850</v>
      </c>
      <c r="E1306" t="s">
        <v>17</v>
      </c>
      <c r="F1306" t="s">
        <v>2844</v>
      </c>
      <c r="G1306" s="3">
        <v>45.03</v>
      </c>
      <c r="H1306" s="3">
        <v>9.0060000000000002</v>
      </c>
      <c r="I1306" s="3">
        <v>36.024000000000001</v>
      </c>
      <c r="J1306" s="3">
        <f>Table1[[#This Row],[قيمة الفاتورة]]*0.94-Table1[[#This Row],[قيمة المشاركة]]</f>
        <v>33.322199999999995</v>
      </c>
      <c r="K1306">
        <v>33.320999999999998</v>
      </c>
      <c r="L1306" s="3">
        <f t="shared" si="20"/>
        <v>1.1999999999972033E-3</v>
      </c>
      <c r="M1306" t="s">
        <v>2689</v>
      </c>
      <c r="N1306" t="s">
        <v>328</v>
      </c>
    </row>
    <row r="1307" spans="1:14" x14ac:dyDescent="0.3">
      <c r="A1307">
        <v>1084</v>
      </c>
      <c r="B1307" t="s">
        <v>2851</v>
      </c>
      <c r="C1307" t="s">
        <v>2852</v>
      </c>
      <c r="D1307" t="s">
        <v>2853</v>
      </c>
      <c r="E1307" t="s">
        <v>23</v>
      </c>
      <c r="F1307" t="s">
        <v>2844</v>
      </c>
      <c r="G1307" s="3">
        <v>64.8</v>
      </c>
      <c r="H1307" s="3">
        <v>12.96</v>
      </c>
      <c r="I1307" s="3">
        <v>51.84</v>
      </c>
      <c r="J1307" s="3">
        <f>Table1[[#This Row],[قيمة الفاتورة]]*0.94-Table1[[#This Row],[قيمة المشاركة]]</f>
        <v>47.951999999999991</v>
      </c>
      <c r="K1307">
        <v>45.704999999999998</v>
      </c>
      <c r="L1307" s="3">
        <f t="shared" si="20"/>
        <v>2.2469999999999928</v>
      </c>
      <c r="M1307" t="s">
        <v>2357</v>
      </c>
      <c r="N1307" t="s">
        <v>328</v>
      </c>
    </row>
    <row r="1308" spans="1:14" x14ac:dyDescent="0.3">
      <c r="A1308">
        <v>1083</v>
      </c>
      <c r="B1308" t="s">
        <v>2854</v>
      </c>
      <c r="C1308" t="s">
        <v>2855</v>
      </c>
      <c r="D1308" t="s">
        <v>2856</v>
      </c>
      <c r="E1308" t="s">
        <v>17</v>
      </c>
      <c r="F1308" t="s">
        <v>2844</v>
      </c>
      <c r="G1308" s="3">
        <v>34.19</v>
      </c>
      <c r="H1308" s="3">
        <v>6.8380000000000001</v>
      </c>
      <c r="I1308" s="3">
        <v>27.352</v>
      </c>
      <c r="J1308" s="3">
        <f>Table1[[#This Row],[قيمة الفاتورة]]*0.94-Table1[[#This Row],[قيمة المشاركة]]</f>
        <v>25.300599999999996</v>
      </c>
      <c r="K1308" s="3">
        <v>25.3</v>
      </c>
      <c r="L1308" s="3">
        <f t="shared" si="20"/>
        <v>5.9999999999504894E-4</v>
      </c>
      <c r="M1308" s="6">
        <v>46110</v>
      </c>
      <c r="N1308" s="6" t="s">
        <v>328</v>
      </c>
    </row>
    <row r="1309" spans="1:14" x14ac:dyDescent="0.3">
      <c r="A1309">
        <v>1086</v>
      </c>
      <c r="B1309" t="s">
        <v>2857</v>
      </c>
      <c r="C1309" t="s">
        <v>201</v>
      </c>
      <c r="D1309" t="s">
        <v>2858</v>
      </c>
      <c r="E1309" t="s">
        <v>23</v>
      </c>
      <c r="F1309" t="s">
        <v>2844</v>
      </c>
      <c r="G1309" s="3">
        <v>14.09</v>
      </c>
      <c r="H1309" s="3">
        <v>2.8180000000000001</v>
      </c>
      <c r="I1309" s="3">
        <v>11.272</v>
      </c>
      <c r="J1309" s="3">
        <f>Table1[[#This Row],[قيمة الفاتورة]]*0.94-Table1[[#This Row],[قيمة المشاركة]]</f>
        <v>10.426599999999999</v>
      </c>
      <c r="L1309" s="3" t="str">
        <f t="shared" si="20"/>
        <v/>
      </c>
      <c r="N1309" t="s">
        <v>19</v>
      </c>
    </row>
    <row r="1310" spans="1:14" x14ac:dyDescent="0.3">
      <c r="A1310">
        <v>1087</v>
      </c>
      <c r="B1310" t="s">
        <v>2859</v>
      </c>
      <c r="C1310" t="s">
        <v>653</v>
      </c>
      <c r="D1310" t="s">
        <v>2860</v>
      </c>
      <c r="E1310" t="s">
        <v>23</v>
      </c>
      <c r="F1310" t="s">
        <v>2844</v>
      </c>
      <c r="G1310" s="3">
        <v>26.42</v>
      </c>
      <c r="H1310" s="3">
        <v>5.2839999999999998</v>
      </c>
      <c r="I1310" s="3">
        <v>21.135999999999999</v>
      </c>
      <c r="J1310" s="3">
        <f>Table1[[#This Row],[قيمة الفاتورة]]*0.94-Table1[[#This Row],[قيمة المشاركة]]</f>
        <v>19.550800000000002</v>
      </c>
      <c r="L1310" s="3" t="str">
        <f t="shared" si="20"/>
        <v/>
      </c>
      <c r="N1310" t="s">
        <v>19</v>
      </c>
    </row>
    <row r="1311" spans="1:14" x14ac:dyDescent="0.3">
      <c r="A1311">
        <v>1092</v>
      </c>
      <c r="B1311" t="s">
        <v>2088</v>
      </c>
      <c r="C1311" t="s">
        <v>2861</v>
      </c>
      <c r="D1311" t="s">
        <v>2862</v>
      </c>
      <c r="E1311" t="s">
        <v>23</v>
      </c>
      <c r="F1311" t="s">
        <v>2863</v>
      </c>
      <c r="G1311" s="3">
        <v>27.86</v>
      </c>
      <c r="H1311" s="3">
        <v>0</v>
      </c>
      <c r="I1311" s="3">
        <v>27.86</v>
      </c>
      <c r="J1311" s="3">
        <f>Table1[[#This Row],[قيمة الفاتورة]]*0.94-Table1[[#This Row],[قيمة المشاركة]]</f>
        <v>26.188399999999998</v>
      </c>
      <c r="K1311">
        <v>26.187999999999999</v>
      </c>
      <c r="L1311" s="3">
        <f t="shared" si="20"/>
        <v>3.9999999999906777E-4</v>
      </c>
      <c r="M1311" t="s">
        <v>2678</v>
      </c>
      <c r="N1311" t="s">
        <v>19</v>
      </c>
    </row>
    <row r="1312" spans="1:14" x14ac:dyDescent="0.3">
      <c r="A1312">
        <v>1090</v>
      </c>
      <c r="B1312" t="s">
        <v>2864</v>
      </c>
      <c r="C1312" t="s">
        <v>2865</v>
      </c>
      <c r="D1312" t="s">
        <v>2866</v>
      </c>
      <c r="E1312" t="s">
        <v>17</v>
      </c>
      <c r="F1312" t="s">
        <v>2863</v>
      </c>
      <c r="G1312" s="3">
        <v>37.659999999999997</v>
      </c>
      <c r="H1312" s="3">
        <v>0</v>
      </c>
      <c r="I1312" s="3">
        <v>37.659999999999997</v>
      </c>
      <c r="J1312" s="3">
        <f>Table1[[#This Row],[قيمة الفاتورة]]*0.94-Table1[[#This Row],[قيمة المشاركة]]</f>
        <v>35.400399999999998</v>
      </c>
      <c r="K1312">
        <v>35.399000000000001</v>
      </c>
      <c r="L1312" s="3">
        <f t="shared" si="20"/>
        <v>1.3999999999967372E-3</v>
      </c>
      <c r="M1312" t="s">
        <v>2678</v>
      </c>
      <c r="N1312" t="s">
        <v>19</v>
      </c>
    </row>
    <row r="1313" spans="1:14" x14ac:dyDescent="0.3">
      <c r="A1313">
        <v>1089</v>
      </c>
      <c r="B1313" t="s">
        <v>2867</v>
      </c>
      <c r="C1313" t="s">
        <v>2868</v>
      </c>
      <c r="D1313" t="s">
        <v>2869</v>
      </c>
      <c r="E1313" t="s">
        <v>17</v>
      </c>
      <c r="F1313" t="s">
        <v>2863</v>
      </c>
      <c r="G1313" s="3">
        <v>32.78</v>
      </c>
      <c r="H1313" s="3">
        <v>6.556</v>
      </c>
      <c r="I1313" s="3">
        <v>26.224</v>
      </c>
      <c r="J1313" s="3">
        <f>Table1[[#This Row],[قيمة الفاتورة]]*0.94-Table1[[#This Row],[قيمة المشاركة]]</f>
        <v>24.257199999999997</v>
      </c>
      <c r="L1313" s="3" t="str">
        <f t="shared" si="20"/>
        <v/>
      </c>
      <c r="N1313" t="s">
        <v>328</v>
      </c>
    </row>
    <row r="1314" spans="1:14" x14ac:dyDescent="0.3">
      <c r="A1314">
        <v>1091</v>
      </c>
      <c r="B1314" t="s">
        <v>2870</v>
      </c>
      <c r="C1314" t="s">
        <v>2871</v>
      </c>
      <c r="D1314" t="s">
        <v>2872</v>
      </c>
      <c r="E1314" t="s">
        <v>23</v>
      </c>
      <c r="F1314" t="s">
        <v>2863</v>
      </c>
      <c r="G1314" s="3">
        <v>35.19</v>
      </c>
      <c r="H1314" s="3">
        <v>7.0380000000000003</v>
      </c>
      <c r="I1314" s="3">
        <v>28.152000000000001</v>
      </c>
      <c r="J1314" s="3">
        <f>Table1[[#This Row],[قيمة الفاتورة]]*0.94-Table1[[#This Row],[قيمة المشاركة]]</f>
        <v>26.040599999999994</v>
      </c>
      <c r="L1314" s="3" t="str">
        <f t="shared" si="20"/>
        <v/>
      </c>
      <c r="N1314" t="s">
        <v>328</v>
      </c>
    </row>
    <row r="1315" spans="1:14" x14ac:dyDescent="0.3">
      <c r="A1315">
        <v>223</v>
      </c>
      <c r="B1315" t="s">
        <v>526</v>
      </c>
      <c r="C1315" t="s">
        <v>726</v>
      </c>
      <c r="D1315" t="s">
        <v>2873</v>
      </c>
      <c r="E1315" t="s">
        <v>23</v>
      </c>
      <c r="F1315" t="s">
        <v>2874</v>
      </c>
      <c r="G1315" s="3">
        <v>26.15</v>
      </c>
      <c r="H1315" s="3">
        <v>0</v>
      </c>
      <c r="I1315" s="3">
        <v>26.15</v>
      </c>
      <c r="J1315" s="3">
        <f>Table1[[#This Row],[قيمة الفاتورة]]*0.94-Table1[[#This Row],[قيمة المشاركة]]</f>
        <v>24.580999999999996</v>
      </c>
      <c r="K1315">
        <v>24.581</v>
      </c>
      <c r="L1315" s="3">
        <f t="shared" si="20"/>
        <v>-3.5527136788005009E-15</v>
      </c>
      <c r="M1315" t="s">
        <v>2678</v>
      </c>
      <c r="N1315" t="s">
        <v>19</v>
      </c>
    </row>
    <row r="1316" spans="1:14" x14ac:dyDescent="0.3">
      <c r="A1316">
        <v>222</v>
      </c>
      <c r="B1316" t="s">
        <v>971</v>
      </c>
      <c r="C1316" t="s">
        <v>2408</v>
      </c>
      <c r="D1316" t="s">
        <v>2875</v>
      </c>
      <c r="E1316" t="s">
        <v>23</v>
      </c>
      <c r="F1316" t="s">
        <v>2874</v>
      </c>
      <c r="G1316" s="3">
        <v>19.100000000000001</v>
      </c>
      <c r="H1316" s="3">
        <v>0</v>
      </c>
      <c r="I1316" s="3">
        <v>19.100000000000001</v>
      </c>
      <c r="J1316" s="3">
        <f>Table1[[#This Row],[قيمة الفاتورة]]*0.94-Table1[[#This Row],[قيمة المشاركة]]</f>
        <v>17.954000000000001</v>
      </c>
      <c r="K1316">
        <v>17.954000000000001</v>
      </c>
      <c r="L1316" s="3">
        <f t="shared" si="20"/>
        <v>0</v>
      </c>
      <c r="M1316" t="s">
        <v>2678</v>
      </c>
      <c r="N1316" t="s">
        <v>19</v>
      </c>
    </row>
    <row r="1317" spans="1:14" x14ac:dyDescent="0.3">
      <c r="A1317">
        <v>1094</v>
      </c>
      <c r="B1317" t="s">
        <v>507</v>
      </c>
      <c r="C1317" t="s">
        <v>508</v>
      </c>
      <c r="D1317" t="s">
        <v>2876</v>
      </c>
      <c r="E1317" t="s">
        <v>17</v>
      </c>
      <c r="F1317" t="s">
        <v>2874</v>
      </c>
      <c r="G1317" s="3">
        <v>9.3800000000000008</v>
      </c>
      <c r="H1317" s="3">
        <v>0</v>
      </c>
      <c r="I1317" s="3">
        <v>9.3800000000000008</v>
      </c>
      <c r="J1317" s="3">
        <f>Table1[[#This Row],[قيمة الفاتورة]]*0.94-Table1[[#This Row],[قيمة المشاركة]]</f>
        <v>8.8171999999999997</v>
      </c>
      <c r="K1317">
        <v>8.8170000000000002</v>
      </c>
      <c r="L1317" s="3">
        <f t="shared" si="20"/>
        <v>1.9999999999953388E-4</v>
      </c>
      <c r="M1317" t="s">
        <v>2678</v>
      </c>
      <c r="N1317" t="s">
        <v>19</v>
      </c>
    </row>
    <row r="1318" spans="1:14" x14ac:dyDescent="0.3">
      <c r="A1318">
        <v>1093</v>
      </c>
      <c r="B1318" t="s">
        <v>2424</v>
      </c>
      <c r="C1318" t="s">
        <v>2877</v>
      </c>
      <c r="D1318" t="s">
        <v>2878</v>
      </c>
      <c r="E1318" t="s">
        <v>17</v>
      </c>
      <c r="F1318" t="s">
        <v>2874</v>
      </c>
      <c r="G1318" s="3">
        <v>12.48</v>
      </c>
      <c r="H1318" s="3">
        <v>0</v>
      </c>
      <c r="I1318" s="3">
        <v>12.48</v>
      </c>
      <c r="J1318" s="3">
        <f>Table1[[#This Row],[قيمة الفاتورة]]*0.94-Table1[[#This Row],[قيمة المشاركة]]</f>
        <v>11.731199999999999</v>
      </c>
      <c r="K1318">
        <v>11.731</v>
      </c>
      <c r="L1318" s="3">
        <f t="shared" si="20"/>
        <v>1.9999999999953388E-4</v>
      </c>
      <c r="M1318" t="s">
        <v>2678</v>
      </c>
      <c r="N1318" t="s">
        <v>19</v>
      </c>
    </row>
    <row r="1319" spans="1:14" x14ac:dyDescent="0.3">
      <c r="A1319">
        <v>224</v>
      </c>
      <c r="B1319" t="s">
        <v>172</v>
      </c>
      <c r="C1319" t="s">
        <v>2879</v>
      </c>
      <c r="D1319" t="s">
        <v>2880</v>
      </c>
      <c r="E1319" t="s">
        <v>23</v>
      </c>
      <c r="F1319" t="s">
        <v>2874</v>
      </c>
      <c r="G1319" s="3">
        <v>23.14</v>
      </c>
      <c r="H1319" s="3">
        <v>0</v>
      </c>
      <c r="I1319" s="3">
        <v>23.14</v>
      </c>
      <c r="J1319" s="3">
        <f>Table1[[#This Row],[قيمة الفاتورة]]*0.94-Table1[[#This Row],[قيمة المشاركة]]</f>
        <v>21.7516</v>
      </c>
      <c r="K1319">
        <v>21.722999999999999</v>
      </c>
      <c r="L1319" s="3">
        <f t="shared" si="20"/>
        <v>2.8600000000000847E-2</v>
      </c>
      <c r="M1319" t="s">
        <v>2678</v>
      </c>
      <c r="N1319" t="s">
        <v>19</v>
      </c>
    </row>
    <row r="1320" spans="1:14" x14ac:dyDescent="0.3">
      <c r="A1320">
        <v>1097</v>
      </c>
      <c r="B1320" t="s">
        <v>2145</v>
      </c>
      <c r="C1320" t="s">
        <v>2146</v>
      </c>
      <c r="D1320" t="s">
        <v>2881</v>
      </c>
      <c r="E1320" t="s">
        <v>23</v>
      </c>
      <c r="F1320" t="s">
        <v>2882</v>
      </c>
      <c r="G1320" s="3">
        <v>20.02</v>
      </c>
      <c r="H1320" s="3">
        <v>0</v>
      </c>
      <c r="I1320" s="3">
        <v>20.02</v>
      </c>
      <c r="J1320" s="3">
        <f>Table1[[#This Row],[قيمة الفاتورة]]*0.94-Table1[[#This Row],[قيمة المشاركة]]</f>
        <v>18.8188</v>
      </c>
      <c r="K1320">
        <v>18.818999999999999</v>
      </c>
      <c r="L1320" s="3">
        <f t="shared" si="20"/>
        <v>-1.9999999999953388E-4</v>
      </c>
      <c r="M1320" t="s">
        <v>2678</v>
      </c>
      <c r="N1320" t="s">
        <v>19</v>
      </c>
    </row>
    <row r="1321" spans="1:14" x14ac:dyDescent="0.3">
      <c r="A1321">
        <v>1096</v>
      </c>
      <c r="B1321" t="s">
        <v>2883</v>
      </c>
      <c r="C1321" t="s">
        <v>2884</v>
      </c>
      <c r="D1321" t="s">
        <v>2885</v>
      </c>
      <c r="E1321" t="s">
        <v>23</v>
      </c>
      <c r="F1321" t="s">
        <v>2882</v>
      </c>
      <c r="G1321" s="3">
        <v>9.02</v>
      </c>
      <c r="H1321" s="3">
        <v>0</v>
      </c>
      <c r="I1321" s="3">
        <v>9.02</v>
      </c>
      <c r="J1321" s="3">
        <f>Table1[[#This Row],[قيمة الفاتورة]]*0.94-Table1[[#This Row],[قيمة المشاركة]]</f>
        <v>8.4787999999999997</v>
      </c>
      <c r="K1321">
        <v>8.4779999999999998</v>
      </c>
      <c r="L1321" s="3">
        <f t="shared" si="20"/>
        <v>7.9999999999991189E-4</v>
      </c>
      <c r="M1321" t="s">
        <v>2678</v>
      </c>
      <c r="N1321" t="s">
        <v>19</v>
      </c>
    </row>
    <row r="1322" spans="1:14" x14ac:dyDescent="0.3">
      <c r="A1322">
        <v>1095</v>
      </c>
      <c r="B1322" t="s">
        <v>2702</v>
      </c>
      <c r="C1322" t="s">
        <v>201</v>
      </c>
      <c r="D1322" t="s">
        <v>2886</v>
      </c>
      <c r="E1322" t="s">
        <v>17</v>
      </c>
      <c r="F1322" t="s">
        <v>2882</v>
      </c>
      <c r="G1322" s="3">
        <v>100.6</v>
      </c>
      <c r="H1322" s="3">
        <v>20.12</v>
      </c>
      <c r="I1322" s="3">
        <v>80.48</v>
      </c>
      <c r="J1322" s="3">
        <f>Table1[[#This Row],[قيمة الفاتورة]]*0.94-Table1[[#This Row],[قيمة المشاركة]]</f>
        <v>74.443999999999988</v>
      </c>
      <c r="K1322" s="3">
        <v>74.444999999999993</v>
      </c>
      <c r="L1322" s="3">
        <f t="shared" si="20"/>
        <v>-1.0000000000047748E-3</v>
      </c>
      <c r="M1322" s="6">
        <v>46110</v>
      </c>
      <c r="N1322" s="6" t="s">
        <v>328</v>
      </c>
    </row>
    <row r="1323" spans="1:14" x14ac:dyDescent="0.3">
      <c r="A1323">
        <v>1098</v>
      </c>
      <c r="B1323" t="s">
        <v>2467</v>
      </c>
      <c r="C1323" t="s">
        <v>2887</v>
      </c>
      <c r="D1323" t="s">
        <v>2888</v>
      </c>
      <c r="E1323" t="s">
        <v>17</v>
      </c>
      <c r="F1323" t="s">
        <v>2889</v>
      </c>
      <c r="G1323" s="3">
        <v>35.99</v>
      </c>
      <c r="H1323" s="3">
        <v>0</v>
      </c>
      <c r="I1323" s="3">
        <v>35.99</v>
      </c>
      <c r="J1323" s="3">
        <f>Table1[[#This Row],[قيمة الفاتورة]]*0.94-Table1[[#This Row],[قيمة المشاركة]]</f>
        <v>33.830599999999997</v>
      </c>
      <c r="K1323">
        <v>33.83</v>
      </c>
      <c r="L1323" s="3">
        <f t="shared" si="20"/>
        <v>5.9999999999860165E-4</v>
      </c>
      <c r="M1323" t="s">
        <v>2678</v>
      </c>
      <c r="N1323" t="s">
        <v>19</v>
      </c>
    </row>
    <row r="1324" spans="1:14" x14ac:dyDescent="0.3">
      <c r="A1324">
        <v>1100</v>
      </c>
      <c r="B1324" t="s">
        <v>549</v>
      </c>
      <c r="C1324" t="s">
        <v>1043</v>
      </c>
      <c r="D1324" t="s">
        <v>2890</v>
      </c>
      <c r="E1324" t="s">
        <v>23</v>
      </c>
      <c r="F1324" t="s">
        <v>2889</v>
      </c>
      <c r="G1324" s="3">
        <v>33.36</v>
      </c>
      <c r="H1324" s="3">
        <v>0</v>
      </c>
      <c r="I1324" s="3">
        <v>33.36</v>
      </c>
      <c r="J1324" s="3">
        <f>Table1[[#This Row],[قيمة الفاتورة]]*0.94-Table1[[#This Row],[قيمة المشاركة]]</f>
        <v>31.358399999999996</v>
      </c>
      <c r="K1324">
        <v>31.254999999999999</v>
      </c>
      <c r="L1324" s="3">
        <f t="shared" si="20"/>
        <v>0.10339999999999705</v>
      </c>
      <c r="M1324" t="s">
        <v>2678</v>
      </c>
      <c r="N1324" t="s">
        <v>19</v>
      </c>
    </row>
    <row r="1325" spans="1:14" x14ac:dyDescent="0.3">
      <c r="A1325">
        <v>1101</v>
      </c>
      <c r="B1325" t="s">
        <v>2891</v>
      </c>
      <c r="C1325" t="s">
        <v>2892</v>
      </c>
      <c r="D1325" t="s">
        <v>2893</v>
      </c>
      <c r="E1325" t="s">
        <v>23</v>
      </c>
      <c r="F1325" t="s">
        <v>2889</v>
      </c>
      <c r="G1325" s="3">
        <v>41.33</v>
      </c>
      <c r="H1325" s="3">
        <v>8.266</v>
      </c>
      <c r="I1325" s="3">
        <v>33.064</v>
      </c>
      <c r="J1325" s="3">
        <f>Table1[[#This Row],[قيمة الفاتورة]]*0.94-Table1[[#This Row],[قيمة المشاركة]]</f>
        <v>30.584199999999996</v>
      </c>
      <c r="L1325" s="3" t="str">
        <f t="shared" si="20"/>
        <v/>
      </c>
      <c r="N1325" t="s">
        <v>328</v>
      </c>
    </row>
    <row r="1326" spans="1:14" x14ac:dyDescent="0.3">
      <c r="A1326">
        <v>1099</v>
      </c>
      <c r="B1326" t="s">
        <v>1467</v>
      </c>
      <c r="C1326" t="s">
        <v>1468</v>
      </c>
      <c r="D1326" t="s">
        <v>2894</v>
      </c>
      <c r="E1326" t="s">
        <v>17</v>
      </c>
      <c r="F1326" t="s">
        <v>2889</v>
      </c>
      <c r="G1326" s="3">
        <v>41.63</v>
      </c>
      <c r="H1326" s="3">
        <v>0</v>
      </c>
      <c r="I1326" s="3">
        <v>41.63</v>
      </c>
      <c r="J1326" s="3">
        <f>Table1[[#This Row],[قيمة الفاتورة]]*0.94-Table1[[#This Row],[قيمة المشاركة]]</f>
        <v>39.132199999999997</v>
      </c>
      <c r="K1326" s="3">
        <v>39.133000000000003</v>
      </c>
      <c r="L1326" s="3">
        <f t="shared" si="20"/>
        <v>-8.0000000000524096E-4</v>
      </c>
      <c r="M1326" s="6">
        <v>46183</v>
      </c>
      <c r="N1326" s="6" t="s">
        <v>19</v>
      </c>
    </row>
    <row r="1327" spans="1:14" x14ac:dyDescent="0.3">
      <c r="A1327">
        <v>1102</v>
      </c>
      <c r="B1327" t="s">
        <v>2895</v>
      </c>
      <c r="C1327" t="s">
        <v>354</v>
      </c>
      <c r="D1327" t="s">
        <v>2896</v>
      </c>
      <c r="E1327" t="s">
        <v>23</v>
      </c>
      <c r="F1327" t="s">
        <v>2897</v>
      </c>
      <c r="G1327" s="3">
        <v>12.7</v>
      </c>
      <c r="H1327" s="3">
        <v>0</v>
      </c>
      <c r="I1327" s="3">
        <v>12.7</v>
      </c>
      <c r="J1327" s="3">
        <f>Table1[[#This Row],[قيمة الفاتورة]]*0.94-Table1[[#This Row],[قيمة المشاركة]]</f>
        <v>11.937999999999999</v>
      </c>
      <c r="K1327">
        <v>11.938000000000001</v>
      </c>
      <c r="L1327" s="3">
        <f t="shared" si="20"/>
        <v>-1.7763568394002505E-15</v>
      </c>
      <c r="M1327" t="s">
        <v>2678</v>
      </c>
      <c r="N1327" t="s">
        <v>19</v>
      </c>
    </row>
    <row r="1328" spans="1:14" x14ac:dyDescent="0.3">
      <c r="A1328">
        <v>225</v>
      </c>
      <c r="B1328" t="s">
        <v>1546</v>
      </c>
      <c r="C1328" t="s">
        <v>2898</v>
      </c>
      <c r="D1328" t="s">
        <v>2899</v>
      </c>
      <c r="E1328" t="s">
        <v>23</v>
      </c>
      <c r="F1328" t="s">
        <v>2900</v>
      </c>
      <c r="G1328" s="3">
        <v>14.8</v>
      </c>
      <c r="H1328" s="3">
        <v>0</v>
      </c>
      <c r="I1328" s="3">
        <v>14.8</v>
      </c>
      <c r="J1328" s="3">
        <f>Table1[[#This Row],[قيمة الفاتورة]]*0.94-Table1[[#This Row],[قيمة المشاركة]]</f>
        <v>13.911999999999999</v>
      </c>
      <c r="K1328">
        <v>13.912000000000001</v>
      </c>
      <c r="L1328" s="3">
        <f t="shared" si="20"/>
        <v>-1.7763568394002505E-15</v>
      </c>
      <c r="M1328" t="s">
        <v>2678</v>
      </c>
      <c r="N1328" t="s">
        <v>19</v>
      </c>
    </row>
    <row r="1329" spans="1:14" x14ac:dyDescent="0.3">
      <c r="A1329">
        <v>1103</v>
      </c>
      <c r="B1329" t="s">
        <v>1338</v>
      </c>
      <c r="C1329" t="s">
        <v>2901</v>
      </c>
      <c r="D1329" t="s">
        <v>2902</v>
      </c>
      <c r="E1329" t="s">
        <v>23</v>
      </c>
      <c r="F1329" t="s">
        <v>2900</v>
      </c>
      <c r="G1329" s="3">
        <v>11.86</v>
      </c>
      <c r="H1329" s="3">
        <v>0</v>
      </c>
      <c r="I1329" s="3">
        <v>11.86</v>
      </c>
      <c r="J1329" s="3">
        <f>Table1[[#This Row],[قيمة الفاتورة]]*0.94-Table1[[#This Row],[قيمة المشاركة]]</f>
        <v>11.148399999999999</v>
      </c>
      <c r="K1329">
        <v>11.148</v>
      </c>
      <c r="L1329" s="3">
        <f t="shared" si="20"/>
        <v>3.9999999999906777E-4</v>
      </c>
      <c r="M1329" t="s">
        <v>2678</v>
      </c>
      <c r="N1329" t="s">
        <v>19</v>
      </c>
    </row>
    <row r="1330" spans="1:14" x14ac:dyDescent="0.3">
      <c r="A1330">
        <v>226</v>
      </c>
      <c r="B1330" t="s">
        <v>2517</v>
      </c>
      <c r="C1330" t="s">
        <v>2518</v>
      </c>
      <c r="D1330" t="s">
        <v>2903</v>
      </c>
      <c r="E1330" t="s">
        <v>23</v>
      </c>
      <c r="F1330" t="s">
        <v>2904</v>
      </c>
      <c r="G1330" s="3">
        <v>5.62</v>
      </c>
      <c r="H1330" s="3">
        <v>0</v>
      </c>
      <c r="I1330" s="3">
        <v>5.62</v>
      </c>
      <c r="J1330" s="3">
        <f>Table1[[#This Row],[قيمة الفاتورة]]*0.94-Table1[[#This Row],[قيمة المشاركة]]</f>
        <v>5.2827999999999999</v>
      </c>
      <c r="K1330">
        <v>5.2830000000000004</v>
      </c>
      <c r="L1330" s="3">
        <f t="shared" si="20"/>
        <v>-2.0000000000042206E-4</v>
      </c>
      <c r="M1330" t="s">
        <v>2678</v>
      </c>
      <c r="N1330" t="s">
        <v>19</v>
      </c>
    </row>
    <row r="1331" spans="1:14" x14ac:dyDescent="0.3">
      <c r="A1331">
        <v>1105</v>
      </c>
      <c r="B1331" t="s">
        <v>720</v>
      </c>
      <c r="C1331" t="s">
        <v>721</v>
      </c>
      <c r="D1331" t="s">
        <v>2905</v>
      </c>
      <c r="E1331" t="s">
        <v>17</v>
      </c>
      <c r="F1331" t="s">
        <v>2904</v>
      </c>
      <c r="G1331" s="3">
        <v>28.45</v>
      </c>
      <c r="H1331" s="3">
        <v>0</v>
      </c>
      <c r="I1331" s="3">
        <v>28.45</v>
      </c>
      <c r="J1331" s="3">
        <f>Table1[[#This Row],[قيمة الفاتورة]]*0.94-Table1[[#This Row],[قيمة المشاركة]]</f>
        <v>26.742999999999999</v>
      </c>
      <c r="K1331">
        <v>26.742999999999999</v>
      </c>
      <c r="L1331" s="3">
        <f t="shared" si="20"/>
        <v>0</v>
      </c>
      <c r="M1331" t="s">
        <v>2678</v>
      </c>
      <c r="N1331" t="s">
        <v>19</v>
      </c>
    </row>
    <row r="1332" spans="1:14" x14ac:dyDescent="0.3">
      <c r="A1332">
        <v>1104</v>
      </c>
      <c r="B1332" t="s">
        <v>1008</v>
      </c>
      <c r="C1332" t="s">
        <v>354</v>
      </c>
      <c r="D1332" t="s">
        <v>2906</v>
      </c>
      <c r="E1332" t="s">
        <v>23</v>
      </c>
      <c r="F1332" t="s">
        <v>2904</v>
      </c>
      <c r="G1332" s="3">
        <v>21.95</v>
      </c>
      <c r="H1332" s="3">
        <v>0</v>
      </c>
      <c r="I1332" s="3">
        <v>21.95</v>
      </c>
      <c r="J1332" s="3">
        <f>Table1[[#This Row],[قيمة الفاتورة]]*0.94-Table1[[#This Row],[قيمة المشاركة]]</f>
        <v>20.632999999999999</v>
      </c>
      <c r="K1332">
        <v>20.483000000000001</v>
      </c>
      <c r="L1332" s="3">
        <f t="shared" si="20"/>
        <v>0.14999999999999858</v>
      </c>
      <c r="M1332" t="s">
        <v>2678</v>
      </c>
      <c r="N1332" t="s">
        <v>19</v>
      </c>
    </row>
    <row r="1333" spans="1:14" x14ac:dyDescent="0.3">
      <c r="A1333">
        <v>227</v>
      </c>
      <c r="B1333" t="s">
        <v>2907</v>
      </c>
      <c r="C1333" t="s">
        <v>2908</v>
      </c>
      <c r="D1333" t="s">
        <v>2909</v>
      </c>
      <c r="E1333" t="s">
        <v>23</v>
      </c>
      <c r="F1333" t="s">
        <v>2904</v>
      </c>
      <c r="G1333" s="3">
        <v>5.0199999999999996</v>
      </c>
      <c r="H1333" s="3">
        <v>0</v>
      </c>
      <c r="I1333" s="3">
        <v>5.0199999999999996</v>
      </c>
      <c r="J1333" s="3">
        <f>Table1[[#This Row],[قيمة الفاتورة]]*0.94-Table1[[#This Row],[قيمة المشاركة]]</f>
        <v>4.718799999999999</v>
      </c>
      <c r="K1333">
        <v>4.1639999999999997</v>
      </c>
      <c r="L1333" s="3">
        <f t="shared" si="20"/>
        <v>0.55479999999999929</v>
      </c>
      <c r="M1333" t="s">
        <v>2678</v>
      </c>
      <c r="N1333" t="s">
        <v>19</v>
      </c>
    </row>
    <row r="1334" spans="1:14" x14ac:dyDescent="0.3">
      <c r="A1334">
        <v>1110</v>
      </c>
      <c r="B1334" t="s">
        <v>1620</v>
      </c>
      <c r="C1334" t="s">
        <v>1624</v>
      </c>
      <c r="D1334" t="s">
        <v>2910</v>
      </c>
      <c r="E1334" t="s">
        <v>23</v>
      </c>
      <c r="F1334" t="s">
        <v>2911</v>
      </c>
      <c r="G1334" s="3">
        <v>12.14</v>
      </c>
      <c r="H1334" s="3">
        <v>0</v>
      </c>
      <c r="I1334" s="3">
        <v>12.14</v>
      </c>
      <c r="J1334" s="3">
        <f>Table1[[#This Row],[قيمة الفاتورة]]*0.94-Table1[[#This Row],[قيمة المشاركة]]</f>
        <v>11.4116</v>
      </c>
      <c r="K1334">
        <v>11.412000000000001</v>
      </c>
      <c r="L1334" s="3">
        <f t="shared" si="20"/>
        <v>-4.0000000000084412E-4</v>
      </c>
      <c r="M1334" t="s">
        <v>2678</v>
      </c>
      <c r="N1334" t="s">
        <v>19</v>
      </c>
    </row>
    <row r="1335" spans="1:14" x14ac:dyDescent="0.3">
      <c r="A1335">
        <v>1107</v>
      </c>
      <c r="B1335" t="s">
        <v>2912</v>
      </c>
      <c r="C1335" t="s">
        <v>2698</v>
      </c>
      <c r="D1335" t="s">
        <v>2699</v>
      </c>
      <c r="E1335" t="s">
        <v>17</v>
      </c>
      <c r="F1335" t="s">
        <v>2911</v>
      </c>
      <c r="G1335" s="3">
        <v>7.08</v>
      </c>
      <c r="H1335" s="3">
        <v>1.4159999999999999</v>
      </c>
      <c r="I1335" s="3">
        <v>5.6639999999999997</v>
      </c>
      <c r="J1335" s="3">
        <f>Table1[[#This Row],[قيمة الفاتورة]]*0.94-Table1[[#This Row],[قيمة المشاركة]]</f>
        <v>5.2392000000000003</v>
      </c>
      <c r="K1335">
        <v>5.2389999999999999</v>
      </c>
      <c r="L1335" s="3">
        <f t="shared" si="20"/>
        <v>2.0000000000042206E-4</v>
      </c>
      <c r="M1335" s="6">
        <v>46141</v>
      </c>
      <c r="N1335" s="6" t="s">
        <v>328</v>
      </c>
    </row>
    <row r="1336" spans="1:14" x14ac:dyDescent="0.3">
      <c r="A1336">
        <v>1109</v>
      </c>
      <c r="B1336" t="s">
        <v>1948</v>
      </c>
      <c r="C1336" t="s">
        <v>1949</v>
      </c>
      <c r="D1336" t="s">
        <v>2913</v>
      </c>
      <c r="E1336" t="s">
        <v>23</v>
      </c>
      <c r="F1336" t="s">
        <v>2911</v>
      </c>
      <c r="G1336" s="3">
        <v>13.76</v>
      </c>
      <c r="H1336" s="3">
        <v>0</v>
      </c>
      <c r="I1336" s="3">
        <v>13.76</v>
      </c>
      <c r="J1336" s="3">
        <f>Table1[[#This Row],[قيمة الفاتورة]]*0.94-Table1[[#This Row],[قيمة المشاركة]]</f>
        <v>12.934399999999998</v>
      </c>
      <c r="K1336">
        <v>12.933999999999999</v>
      </c>
      <c r="L1336" s="3">
        <f t="shared" si="20"/>
        <v>3.9999999999906777E-4</v>
      </c>
      <c r="M1336" t="s">
        <v>2678</v>
      </c>
      <c r="N1336" t="s">
        <v>19</v>
      </c>
    </row>
    <row r="1337" spans="1:14" x14ac:dyDescent="0.3">
      <c r="A1337">
        <v>1108</v>
      </c>
      <c r="B1337" t="s">
        <v>503</v>
      </c>
      <c r="C1337" t="s">
        <v>504</v>
      </c>
      <c r="D1337" t="s">
        <v>2914</v>
      </c>
      <c r="E1337" t="s">
        <v>17</v>
      </c>
      <c r="F1337" t="s">
        <v>2911</v>
      </c>
      <c r="G1337" s="3">
        <v>59.67</v>
      </c>
      <c r="H1337" s="3">
        <v>0</v>
      </c>
      <c r="I1337" s="3">
        <v>59.67</v>
      </c>
      <c r="J1337" s="3">
        <f>Table1[[#This Row],[قيمة الفاتورة]]*0.94-Table1[[#This Row],[قيمة المشاركة]]</f>
        <v>56.089799999999997</v>
      </c>
      <c r="K1337">
        <v>56.088999999999999</v>
      </c>
      <c r="L1337" s="3">
        <f t="shared" si="20"/>
        <v>7.9999999999813554E-4</v>
      </c>
      <c r="M1337" t="s">
        <v>2678</v>
      </c>
      <c r="N1337" t="s">
        <v>19</v>
      </c>
    </row>
    <row r="1338" spans="1:14" x14ac:dyDescent="0.3">
      <c r="A1338">
        <v>1106</v>
      </c>
      <c r="B1338" t="s">
        <v>2915</v>
      </c>
      <c r="C1338" t="s">
        <v>2916</v>
      </c>
      <c r="D1338" t="s">
        <v>2917</v>
      </c>
      <c r="E1338" t="s">
        <v>17</v>
      </c>
      <c r="F1338" t="s">
        <v>2911</v>
      </c>
      <c r="G1338" s="3">
        <v>25.96</v>
      </c>
      <c r="H1338" s="3">
        <v>5.1920000000000002</v>
      </c>
      <c r="I1338" s="3">
        <v>20.768000000000001</v>
      </c>
      <c r="J1338" s="3">
        <f>Table1[[#This Row],[قيمة الفاتورة]]*0.94-Table1[[#This Row],[قيمة المشاركة]]</f>
        <v>19.2104</v>
      </c>
      <c r="K1338" s="3">
        <v>19.166</v>
      </c>
      <c r="L1338" s="3">
        <f t="shared" si="20"/>
        <v>4.4399999999999551E-2</v>
      </c>
      <c r="M1338" s="6">
        <v>46141</v>
      </c>
      <c r="N1338" s="6" t="s">
        <v>328</v>
      </c>
    </row>
    <row r="1339" spans="1:14" x14ac:dyDescent="0.3">
      <c r="A1339">
        <v>1111</v>
      </c>
      <c r="B1339" t="s">
        <v>2528</v>
      </c>
      <c r="C1339" t="s">
        <v>2529</v>
      </c>
      <c r="D1339" t="s">
        <v>2918</v>
      </c>
      <c r="E1339" t="s">
        <v>17</v>
      </c>
      <c r="F1339" t="s">
        <v>2919</v>
      </c>
      <c r="G1339" s="3">
        <v>21.04</v>
      </c>
      <c r="H1339" s="3">
        <v>0</v>
      </c>
      <c r="I1339" s="3">
        <v>21.04</v>
      </c>
      <c r="J1339" s="3">
        <f>Table1[[#This Row],[قيمة الفاتورة]]*0.94-Table1[[#This Row],[قيمة المشاركة]]</f>
        <v>19.7776</v>
      </c>
      <c r="K1339">
        <v>19.777999999999999</v>
      </c>
      <c r="L1339" s="3">
        <f t="shared" si="20"/>
        <v>-3.9999999999906777E-4</v>
      </c>
      <c r="M1339" t="s">
        <v>2678</v>
      </c>
      <c r="N1339" t="s">
        <v>19</v>
      </c>
    </row>
    <row r="1340" spans="1:14" x14ac:dyDescent="0.3">
      <c r="A1340">
        <v>1113</v>
      </c>
      <c r="B1340" t="s">
        <v>2920</v>
      </c>
      <c r="C1340" t="s">
        <v>2921</v>
      </c>
      <c r="D1340" t="s">
        <v>2922</v>
      </c>
      <c r="E1340" t="s">
        <v>17</v>
      </c>
      <c r="F1340" t="s">
        <v>2919</v>
      </c>
      <c r="G1340" s="3">
        <v>7.75</v>
      </c>
      <c r="H1340" s="3">
        <v>0</v>
      </c>
      <c r="I1340" s="3">
        <v>7.75</v>
      </c>
      <c r="J1340" s="3">
        <f>Table1[[#This Row],[قيمة الفاتورة]]*0.94-Table1[[#This Row],[قيمة المشاركة]]</f>
        <v>7.2849999999999993</v>
      </c>
      <c r="K1340">
        <v>7.2850000000000001</v>
      </c>
      <c r="L1340" s="3">
        <f t="shared" si="20"/>
        <v>-8.8817841970012523E-16</v>
      </c>
      <c r="M1340" t="s">
        <v>2678</v>
      </c>
      <c r="N1340" t="s">
        <v>19</v>
      </c>
    </row>
    <row r="1341" spans="1:14" x14ac:dyDescent="0.3">
      <c r="A1341">
        <v>1114</v>
      </c>
      <c r="B1341" t="s">
        <v>1632</v>
      </c>
      <c r="C1341" t="s">
        <v>2183</v>
      </c>
      <c r="D1341" t="s">
        <v>2923</v>
      </c>
      <c r="E1341" t="s">
        <v>23</v>
      </c>
      <c r="F1341" t="s">
        <v>2919</v>
      </c>
      <c r="G1341" s="3">
        <v>17.22</v>
      </c>
      <c r="H1341" s="3">
        <v>0</v>
      </c>
      <c r="I1341" s="3">
        <v>17.22</v>
      </c>
      <c r="J1341" s="3">
        <f>Table1[[#This Row],[قيمة الفاتورة]]*0.94-Table1[[#This Row],[قيمة المشاركة]]</f>
        <v>16.186799999999998</v>
      </c>
      <c r="K1341">
        <v>15.641999999999999</v>
      </c>
      <c r="L1341" s="3">
        <f t="shared" si="20"/>
        <v>0.54479999999999862</v>
      </c>
      <c r="M1341" t="s">
        <v>2678</v>
      </c>
      <c r="N1341" t="s">
        <v>19</v>
      </c>
    </row>
    <row r="1342" spans="1:14" x14ac:dyDescent="0.3">
      <c r="A1342">
        <v>228</v>
      </c>
      <c r="B1342" t="s">
        <v>299</v>
      </c>
      <c r="C1342" t="s">
        <v>2924</v>
      </c>
      <c r="D1342" t="s">
        <v>2925</v>
      </c>
      <c r="E1342" t="s">
        <v>23</v>
      </c>
      <c r="F1342" t="s">
        <v>2919</v>
      </c>
      <c r="G1342" s="3">
        <v>21.04</v>
      </c>
      <c r="H1342" s="3">
        <v>0</v>
      </c>
      <c r="I1342" s="3">
        <v>21.04</v>
      </c>
      <c r="J1342" s="3">
        <f>Table1[[#This Row],[قيمة الفاتورة]]*0.94-Table1[[#This Row],[قيمة المشاركة]]</f>
        <v>19.7776</v>
      </c>
      <c r="K1342">
        <v>19.166</v>
      </c>
      <c r="L1342" s="3">
        <f t="shared" si="20"/>
        <v>0.61159999999999926</v>
      </c>
      <c r="M1342" t="s">
        <v>2678</v>
      </c>
      <c r="N1342" t="s">
        <v>19</v>
      </c>
    </row>
    <row r="1343" spans="1:14" x14ac:dyDescent="0.3">
      <c r="A1343">
        <v>1112</v>
      </c>
      <c r="B1343" t="s">
        <v>477</v>
      </c>
      <c r="C1343" t="s">
        <v>478</v>
      </c>
      <c r="D1343" t="s">
        <v>2926</v>
      </c>
      <c r="E1343" t="s">
        <v>23</v>
      </c>
      <c r="F1343" t="s">
        <v>2919</v>
      </c>
      <c r="G1343" s="3">
        <v>31.67</v>
      </c>
      <c r="H1343" s="3">
        <v>0</v>
      </c>
      <c r="I1343" s="3">
        <v>31.67</v>
      </c>
      <c r="J1343" s="3">
        <f>Table1[[#This Row],[قيمة الفاتورة]]*0.94-Table1[[#This Row],[قيمة المشاركة]]</f>
        <v>29.7698</v>
      </c>
      <c r="L1343" s="3" t="str">
        <f t="shared" si="20"/>
        <v/>
      </c>
      <c r="N1343" t="s">
        <v>19</v>
      </c>
    </row>
    <row r="1344" spans="1:14" x14ac:dyDescent="0.3">
      <c r="A1344">
        <v>1120</v>
      </c>
      <c r="B1344" t="s">
        <v>2927</v>
      </c>
      <c r="C1344" t="s">
        <v>523</v>
      </c>
      <c r="D1344" t="s">
        <v>2928</v>
      </c>
      <c r="E1344" t="s">
        <v>17</v>
      </c>
      <c r="F1344" t="s">
        <v>2929</v>
      </c>
      <c r="G1344" s="3">
        <v>43.67</v>
      </c>
      <c r="H1344" s="3">
        <v>8.734</v>
      </c>
      <c r="I1344" s="3">
        <v>34.936</v>
      </c>
      <c r="J1344" s="3">
        <f>Table1[[#This Row],[قيمة الفاتورة]]*0.94-Table1[[#This Row],[قيمة المشاركة]]</f>
        <v>32.315799999999996</v>
      </c>
      <c r="K1344">
        <v>32.316000000000003</v>
      </c>
      <c r="L1344" s="3">
        <f t="shared" si="20"/>
        <v>-2.0000000000663931E-4</v>
      </c>
      <c r="M1344" t="s">
        <v>2930</v>
      </c>
      <c r="N1344" t="s">
        <v>328</v>
      </c>
    </row>
    <row r="1345" spans="1:14" x14ac:dyDescent="0.3">
      <c r="A1345">
        <v>230</v>
      </c>
      <c r="B1345" t="s">
        <v>286</v>
      </c>
      <c r="C1345" t="s">
        <v>287</v>
      </c>
      <c r="D1345" t="s">
        <v>2931</v>
      </c>
      <c r="E1345" t="s">
        <v>23</v>
      </c>
      <c r="F1345" t="s">
        <v>2929</v>
      </c>
      <c r="G1345" s="3">
        <v>25.87</v>
      </c>
      <c r="H1345" s="3">
        <v>0</v>
      </c>
      <c r="I1345" s="3">
        <v>25.87</v>
      </c>
      <c r="J1345" s="3">
        <f>Table1[[#This Row],[قيمة الفاتورة]]*0.94-Table1[[#This Row],[قيمة المشاركة]]</f>
        <v>24.317799999999998</v>
      </c>
      <c r="K1345">
        <v>24.318000000000001</v>
      </c>
      <c r="L1345" s="3">
        <f t="shared" si="20"/>
        <v>-2.000000000030866E-4</v>
      </c>
      <c r="M1345" t="s">
        <v>2678</v>
      </c>
      <c r="N1345" t="s">
        <v>19</v>
      </c>
    </row>
    <row r="1346" spans="1:14" x14ac:dyDescent="0.3">
      <c r="A1346">
        <v>1116</v>
      </c>
      <c r="B1346" t="s">
        <v>1370</v>
      </c>
      <c r="C1346" t="s">
        <v>1371</v>
      </c>
      <c r="D1346" t="s">
        <v>2932</v>
      </c>
      <c r="E1346" t="s">
        <v>17</v>
      </c>
      <c r="F1346" t="s">
        <v>2929</v>
      </c>
      <c r="G1346" s="3">
        <v>11.02</v>
      </c>
      <c r="H1346" s="3">
        <v>0</v>
      </c>
      <c r="I1346" s="3">
        <v>11.02</v>
      </c>
      <c r="J1346" s="3">
        <f>Table1[[#This Row],[قيمة الفاتورة]]*0.94-Table1[[#This Row],[قيمة المشاركة]]</f>
        <v>10.358799999999999</v>
      </c>
      <c r="K1346">
        <v>10.359</v>
      </c>
      <c r="L1346" s="3">
        <f t="shared" ref="L1346:L1409" si="21">IF(ISNUMBER(K1346), J1346-K1346, "")</f>
        <v>-2.0000000000131024E-4</v>
      </c>
      <c r="M1346" t="s">
        <v>2678</v>
      </c>
      <c r="N1346" t="s">
        <v>19</v>
      </c>
    </row>
    <row r="1347" spans="1:14" x14ac:dyDescent="0.3">
      <c r="A1347">
        <v>1119</v>
      </c>
      <c r="B1347" t="s">
        <v>134</v>
      </c>
      <c r="C1347" t="s">
        <v>220</v>
      </c>
      <c r="D1347" t="s">
        <v>2933</v>
      </c>
      <c r="E1347" t="s">
        <v>23</v>
      </c>
      <c r="F1347" t="s">
        <v>2929</v>
      </c>
      <c r="G1347" s="3">
        <v>2.12</v>
      </c>
      <c r="H1347" s="3">
        <v>0</v>
      </c>
      <c r="I1347" s="3">
        <v>2.12</v>
      </c>
      <c r="J1347" s="3">
        <f>Table1[[#This Row],[قيمة الفاتورة]]*0.94-Table1[[#This Row],[قيمة المشاركة]]</f>
        <v>1.9927999999999999</v>
      </c>
      <c r="K1347">
        <v>1.9930000000000001</v>
      </c>
      <c r="L1347" s="3">
        <f t="shared" si="21"/>
        <v>-2.0000000000020002E-4</v>
      </c>
      <c r="M1347" t="s">
        <v>2678</v>
      </c>
      <c r="N1347" t="s">
        <v>19</v>
      </c>
    </row>
    <row r="1348" spans="1:14" x14ac:dyDescent="0.3">
      <c r="A1348">
        <v>233</v>
      </c>
      <c r="B1348" t="s">
        <v>468</v>
      </c>
      <c r="C1348" t="s">
        <v>167</v>
      </c>
      <c r="D1348" t="s">
        <v>2934</v>
      </c>
      <c r="E1348" t="s">
        <v>17</v>
      </c>
      <c r="F1348" t="s">
        <v>2929</v>
      </c>
      <c r="G1348" s="3">
        <v>21.92</v>
      </c>
      <c r="H1348" s="3">
        <v>0</v>
      </c>
      <c r="I1348" s="3">
        <v>21.92</v>
      </c>
      <c r="J1348" s="3">
        <f>Table1[[#This Row],[قيمة الفاتورة]]*0.94-Table1[[#This Row],[قيمة المشاركة]]</f>
        <v>20.604800000000001</v>
      </c>
      <c r="K1348">
        <v>20.605</v>
      </c>
      <c r="L1348" s="3">
        <f t="shared" si="21"/>
        <v>-1.9999999999953388E-4</v>
      </c>
      <c r="M1348" t="s">
        <v>2678</v>
      </c>
      <c r="N1348" t="s">
        <v>19</v>
      </c>
    </row>
    <row r="1349" spans="1:14" x14ac:dyDescent="0.3">
      <c r="A1349">
        <v>1118</v>
      </c>
      <c r="B1349" t="s">
        <v>32</v>
      </c>
      <c r="C1349" t="s">
        <v>33</v>
      </c>
      <c r="D1349" t="s">
        <v>2935</v>
      </c>
      <c r="E1349" t="s">
        <v>17</v>
      </c>
      <c r="F1349" t="s">
        <v>2929</v>
      </c>
      <c r="G1349" s="3">
        <v>11.6</v>
      </c>
      <c r="H1349" s="3">
        <v>1.74</v>
      </c>
      <c r="I1349" s="3">
        <v>9.86</v>
      </c>
      <c r="J1349" s="3">
        <f>Table1[[#This Row],[قيمة الفاتورة]]*0.94-Table1[[#This Row],[قيمة المشاركة]]</f>
        <v>9.1639999999999997</v>
      </c>
      <c r="K1349">
        <v>9.1639999999999997</v>
      </c>
      <c r="L1349" s="3">
        <f t="shared" si="21"/>
        <v>0</v>
      </c>
      <c r="M1349" t="s">
        <v>2678</v>
      </c>
      <c r="N1349" t="s">
        <v>19</v>
      </c>
    </row>
    <row r="1350" spans="1:14" x14ac:dyDescent="0.3">
      <c r="A1350">
        <v>231</v>
      </c>
      <c r="B1350" t="s">
        <v>1389</v>
      </c>
      <c r="C1350" t="s">
        <v>1390</v>
      </c>
      <c r="D1350" t="s">
        <v>2936</v>
      </c>
      <c r="E1350" t="s">
        <v>23</v>
      </c>
      <c r="F1350" t="s">
        <v>2929</v>
      </c>
      <c r="G1350" s="3">
        <v>19.05</v>
      </c>
      <c r="H1350" s="3">
        <v>0</v>
      </c>
      <c r="I1350" s="3">
        <v>19.05</v>
      </c>
      <c r="J1350" s="3">
        <f>Table1[[#This Row],[قيمة الفاتورة]]*0.94-Table1[[#This Row],[قيمة المشاركة]]</f>
        <v>17.907</v>
      </c>
      <c r="K1350">
        <v>17.907</v>
      </c>
      <c r="L1350" s="3">
        <f t="shared" si="21"/>
        <v>0</v>
      </c>
      <c r="M1350" t="s">
        <v>2678</v>
      </c>
      <c r="N1350" t="s">
        <v>19</v>
      </c>
    </row>
    <row r="1351" spans="1:14" x14ac:dyDescent="0.3">
      <c r="A1351">
        <v>1121</v>
      </c>
      <c r="B1351" t="s">
        <v>800</v>
      </c>
      <c r="C1351" t="s">
        <v>801</v>
      </c>
      <c r="D1351" t="s">
        <v>2937</v>
      </c>
      <c r="E1351" t="s">
        <v>17</v>
      </c>
      <c r="F1351" t="s">
        <v>2929</v>
      </c>
      <c r="G1351" s="3">
        <v>42.68</v>
      </c>
      <c r="H1351" s="3">
        <v>0</v>
      </c>
      <c r="I1351" s="3">
        <v>42.68</v>
      </c>
      <c r="J1351" s="3">
        <f>Table1[[#This Row],[قيمة الفاتورة]]*0.94-Table1[[#This Row],[قيمة المشاركة]]</f>
        <v>40.119199999999999</v>
      </c>
      <c r="K1351">
        <v>40.119</v>
      </c>
      <c r="L1351" s="3">
        <f t="shared" si="21"/>
        <v>1.9999999999953388E-4</v>
      </c>
      <c r="M1351" t="s">
        <v>2678</v>
      </c>
      <c r="N1351" t="s">
        <v>19</v>
      </c>
    </row>
    <row r="1352" spans="1:14" x14ac:dyDescent="0.3">
      <c r="A1352">
        <v>1115</v>
      </c>
      <c r="B1352" t="s">
        <v>1654</v>
      </c>
      <c r="C1352" t="s">
        <v>2938</v>
      </c>
      <c r="D1352" t="s">
        <v>2939</v>
      </c>
      <c r="E1352" t="s">
        <v>17</v>
      </c>
      <c r="F1352" t="s">
        <v>2929</v>
      </c>
      <c r="G1352" s="3">
        <v>21.91</v>
      </c>
      <c r="H1352" s="3">
        <v>0</v>
      </c>
      <c r="I1352" s="3">
        <v>21.91</v>
      </c>
      <c r="J1352" s="3">
        <f>Table1[[#This Row],[قيمة الفاتورة]]*0.94-Table1[[#This Row],[قيمة المشاركة]]</f>
        <v>20.595399999999998</v>
      </c>
      <c r="K1352">
        <v>20.594999999999999</v>
      </c>
      <c r="L1352" s="3">
        <f t="shared" si="21"/>
        <v>3.9999999999906777E-4</v>
      </c>
      <c r="M1352" t="s">
        <v>2678</v>
      </c>
      <c r="N1352" t="s">
        <v>19</v>
      </c>
    </row>
    <row r="1353" spans="1:14" x14ac:dyDescent="0.3">
      <c r="A1353">
        <v>232</v>
      </c>
      <c r="B1353" t="s">
        <v>980</v>
      </c>
      <c r="C1353" t="s">
        <v>981</v>
      </c>
      <c r="D1353" t="s">
        <v>2940</v>
      </c>
      <c r="E1353" t="s">
        <v>17</v>
      </c>
      <c r="F1353" t="s">
        <v>2929</v>
      </c>
      <c r="G1353" s="3">
        <v>12.32</v>
      </c>
      <c r="H1353" s="3">
        <v>0</v>
      </c>
      <c r="I1353" s="3">
        <v>12.32</v>
      </c>
      <c r="J1353" s="3">
        <f>Table1[[#This Row],[قيمة الفاتورة]]*0.94-Table1[[#This Row],[قيمة المشاركة]]</f>
        <v>11.5808</v>
      </c>
      <c r="K1353">
        <v>11.58</v>
      </c>
      <c r="L1353" s="3">
        <f t="shared" si="21"/>
        <v>7.9999999999991189E-4</v>
      </c>
      <c r="M1353" t="s">
        <v>2678</v>
      </c>
      <c r="N1353" t="s">
        <v>19</v>
      </c>
    </row>
    <row r="1354" spans="1:14" x14ac:dyDescent="0.3">
      <c r="A1354">
        <v>1117</v>
      </c>
      <c r="B1354" t="s">
        <v>2941</v>
      </c>
      <c r="C1354" t="s">
        <v>2942</v>
      </c>
      <c r="D1354" t="s">
        <v>2943</v>
      </c>
      <c r="E1354" t="s">
        <v>23</v>
      </c>
      <c r="F1354" t="s">
        <v>2929</v>
      </c>
      <c r="G1354" s="3">
        <v>24.91</v>
      </c>
      <c r="H1354" s="3">
        <v>4.9820000000000002</v>
      </c>
      <c r="I1354" s="3">
        <v>19.928000000000001</v>
      </c>
      <c r="J1354" s="3">
        <f>Table1[[#This Row],[قيمة الفاتورة]]*0.94-Table1[[#This Row],[قيمة المشاركة]]</f>
        <v>18.433399999999999</v>
      </c>
      <c r="K1354">
        <v>18.431999999999999</v>
      </c>
      <c r="L1354" s="3">
        <f t="shared" si="21"/>
        <v>1.4000000000002899E-3</v>
      </c>
      <c r="M1354" t="s">
        <v>2930</v>
      </c>
      <c r="N1354" t="s">
        <v>328</v>
      </c>
    </row>
    <row r="1355" spans="1:14" x14ac:dyDescent="0.3">
      <c r="A1355">
        <v>1122</v>
      </c>
      <c r="B1355" t="s">
        <v>2706</v>
      </c>
      <c r="C1355" t="s">
        <v>2707</v>
      </c>
      <c r="D1355" t="s">
        <v>2944</v>
      </c>
      <c r="E1355" t="s">
        <v>23</v>
      </c>
      <c r="F1355" t="s">
        <v>2929</v>
      </c>
      <c r="G1355" s="3">
        <v>33.64</v>
      </c>
      <c r="H1355" s="3">
        <v>6.7279999999999998</v>
      </c>
      <c r="I1355" s="3">
        <v>26.911999999999999</v>
      </c>
      <c r="J1355" s="3">
        <f>Table1[[#This Row],[قيمة الفاتورة]]*0.94-Table1[[#This Row],[قيمة المشاركة]]</f>
        <v>24.893599999999999</v>
      </c>
      <c r="K1355">
        <v>24.884</v>
      </c>
      <c r="L1355" s="3">
        <f t="shared" si="21"/>
        <v>9.5999999999989427E-3</v>
      </c>
      <c r="M1355" t="s">
        <v>2930</v>
      </c>
      <c r="N1355" t="s">
        <v>328</v>
      </c>
    </row>
    <row r="1356" spans="1:14" x14ac:dyDescent="0.3">
      <c r="A1356">
        <v>229</v>
      </c>
      <c r="B1356" t="s">
        <v>1154</v>
      </c>
      <c r="C1356" t="s">
        <v>2945</v>
      </c>
      <c r="D1356" t="s">
        <v>2946</v>
      </c>
      <c r="E1356" t="s">
        <v>23</v>
      </c>
      <c r="F1356" t="s">
        <v>2929</v>
      </c>
      <c r="G1356" s="3">
        <v>31.39</v>
      </c>
      <c r="H1356" s="3">
        <v>0</v>
      </c>
      <c r="I1356" s="3">
        <v>31.39</v>
      </c>
      <c r="J1356" s="3">
        <f>Table1[[#This Row],[قيمة الفاتورة]]*0.94-Table1[[#This Row],[قيمة المشاركة]]</f>
        <v>29.506599999999999</v>
      </c>
      <c r="K1356">
        <v>28.896000000000001</v>
      </c>
      <c r="L1356" s="3">
        <f t="shared" si="21"/>
        <v>0.61059999999999803</v>
      </c>
      <c r="M1356" t="s">
        <v>2678</v>
      </c>
      <c r="N1356" t="s">
        <v>19</v>
      </c>
    </row>
    <row r="1357" spans="1:14" x14ac:dyDescent="0.3">
      <c r="A1357" s="7">
        <v>1124</v>
      </c>
      <c r="B1357" s="7" t="s">
        <v>2947</v>
      </c>
      <c r="C1357" s="7" t="s">
        <v>2948</v>
      </c>
      <c r="D1357" s="7" t="s">
        <v>2947</v>
      </c>
      <c r="E1357" s="7" t="s">
        <v>23</v>
      </c>
      <c r="F1357" s="7" t="s">
        <v>2949</v>
      </c>
      <c r="G1357" s="8">
        <v>26.4</v>
      </c>
      <c r="H1357" s="8">
        <v>5.28</v>
      </c>
      <c r="I1357" s="8">
        <v>21.12</v>
      </c>
      <c r="J1357" s="8">
        <f>Table1[[#This Row],[قيمة الفاتورة]]*0.94-Table1[[#This Row],[قيمة المشاركة]]</f>
        <v>19.535999999999998</v>
      </c>
      <c r="L1357" s="3" t="str">
        <f t="shared" si="21"/>
        <v/>
      </c>
      <c r="N1357" t="s">
        <v>328</v>
      </c>
    </row>
    <row r="1358" spans="1:14" x14ac:dyDescent="0.3">
      <c r="A1358">
        <v>1123</v>
      </c>
      <c r="B1358" t="s">
        <v>2732</v>
      </c>
      <c r="C1358" t="s">
        <v>2733</v>
      </c>
      <c r="D1358" t="s">
        <v>2950</v>
      </c>
      <c r="E1358" t="s">
        <v>23</v>
      </c>
      <c r="F1358" t="s">
        <v>2949</v>
      </c>
      <c r="G1358" s="3">
        <v>38.630000000000003</v>
      </c>
      <c r="H1358" s="3">
        <v>7.726</v>
      </c>
      <c r="I1358" s="3">
        <v>30.904</v>
      </c>
      <c r="J1358" s="3">
        <f>Table1[[#This Row],[قيمة الفاتورة]]*0.94-Table1[[#This Row],[قيمة المشاركة]]</f>
        <v>28.586199999999998</v>
      </c>
      <c r="L1358" s="3" t="str">
        <f t="shared" si="21"/>
        <v/>
      </c>
      <c r="N1358" t="s">
        <v>328</v>
      </c>
    </row>
    <row r="1359" spans="1:14" x14ac:dyDescent="0.3">
      <c r="A1359">
        <v>1127</v>
      </c>
      <c r="B1359" t="s">
        <v>806</v>
      </c>
      <c r="C1359" t="s">
        <v>807</v>
      </c>
      <c r="D1359" t="s">
        <v>2951</v>
      </c>
      <c r="E1359" t="s">
        <v>23</v>
      </c>
      <c r="F1359" t="s">
        <v>2952</v>
      </c>
      <c r="G1359" s="3">
        <v>17.28</v>
      </c>
      <c r="H1359" s="3">
        <v>0</v>
      </c>
      <c r="I1359" s="3">
        <v>17.28</v>
      </c>
      <c r="J1359" s="3">
        <f>Table1[[#This Row],[قيمة الفاتورة]]*0.94-Table1[[#This Row],[قيمة المشاركة]]</f>
        <v>16.243200000000002</v>
      </c>
      <c r="K1359">
        <v>16.864000000000001</v>
      </c>
      <c r="L1359" s="3">
        <f t="shared" si="21"/>
        <v>-0.62079999999999913</v>
      </c>
      <c r="M1359" t="s">
        <v>2678</v>
      </c>
      <c r="N1359" t="s">
        <v>19</v>
      </c>
    </row>
    <row r="1360" spans="1:14" x14ac:dyDescent="0.3">
      <c r="A1360">
        <v>234</v>
      </c>
      <c r="B1360" t="s">
        <v>2709</v>
      </c>
      <c r="C1360" t="s">
        <v>2710</v>
      </c>
      <c r="D1360" t="s">
        <v>2953</v>
      </c>
      <c r="E1360" t="s">
        <v>23</v>
      </c>
      <c r="F1360" t="s">
        <v>2952</v>
      </c>
      <c r="G1360" s="3">
        <v>7.47</v>
      </c>
      <c r="H1360" s="3">
        <v>0</v>
      </c>
      <c r="I1360" s="3">
        <v>7.47</v>
      </c>
      <c r="J1360" s="3">
        <f>Table1[[#This Row],[قيمة الفاتورة]]*0.94-Table1[[#This Row],[قيمة المشاركة]]</f>
        <v>7.0217999999999989</v>
      </c>
      <c r="K1360">
        <v>7.0220000000000002</v>
      </c>
      <c r="L1360" s="3">
        <f t="shared" si="21"/>
        <v>-2.0000000000131024E-4</v>
      </c>
      <c r="M1360" t="s">
        <v>2678</v>
      </c>
      <c r="N1360" t="s">
        <v>19</v>
      </c>
    </row>
    <row r="1361" spans="1:14" x14ac:dyDescent="0.3">
      <c r="A1361">
        <v>1128</v>
      </c>
      <c r="B1361" t="s">
        <v>1694</v>
      </c>
      <c r="C1361" t="s">
        <v>1233</v>
      </c>
      <c r="D1361" t="s">
        <v>2954</v>
      </c>
      <c r="E1361" t="s">
        <v>23</v>
      </c>
      <c r="F1361" t="s">
        <v>2952</v>
      </c>
      <c r="G1361" s="3">
        <v>46.23</v>
      </c>
      <c r="H1361" s="3">
        <v>0</v>
      </c>
      <c r="I1361" s="3">
        <v>46.23</v>
      </c>
      <c r="J1361" s="3">
        <f>Table1[[#This Row],[قيمة الفاتورة]]*0.94-Table1[[#This Row],[قيمة المشاركة]]</f>
        <v>43.456199999999995</v>
      </c>
      <c r="K1361">
        <v>43.456000000000003</v>
      </c>
      <c r="L1361" s="3">
        <f t="shared" si="21"/>
        <v>1.9999999999242846E-4</v>
      </c>
      <c r="M1361" t="s">
        <v>2678</v>
      </c>
      <c r="N1361" t="s">
        <v>19</v>
      </c>
    </row>
    <row r="1362" spans="1:14" x14ac:dyDescent="0.3">
      <c r="A1362">
        <v>235</v>
      </c>
      <c r="B1362" t="s">
        <v>299</v>
      </c>
      <c r="C1362" t="s">
        <v>2955</v>
      </c>
      <c r="D1362" t="s">
        <v>2956</v>
      </c>
      <c r="E1362" t="s">
        <v>23</v>
      </c>
      <c r="F1362" t="s">
        <v>2952</v>
      </c>
      <c r="G1362" s="3">
        <v>4.58</v>
      </c>
      <c r="H1362" s="3">
        <v>0</v>
      </c>
      <c r="I1362" s="3">
        <v>4.58</v>
      </c>
      <c r="J1362" s="3">
        <f>Table1[[#This Row],[قيمة الفاتورة]]*0.94-Table1[[#This Row],[قيمة المشاركة]]</f>
        <v>4.3052000000000001</v>
      </c>
      <c r="K1362">
        <v>4.3049999999999997</v>
      </c>
      <c r="L1362" s="3">
        <f t="shared" si="21"/>
        <v>2.0000000000042206E-4</v>
      </c>
      <c r="M1362" t="s">
        <v>2678</v>
      </c>
      <c r="N1362" t="s">
        <v>19</v>
      </c>
    </row>
    <row r="1363" spans="1:14" x14ac:dyDescent="0.3">
      <c r="A1363">
        <v>1125</v>
      </c>
      <c r="B1363" t="s">
        <v>2957</v>
      </c>
      <c r="C1363" t="s">
        <v>2958</v>
      </c>
      <c r="D1363" t="s">
        <v>2959</v>
      </c>
      <c r="E1363" t="s">
        <v>17</v>
      </c>
      <c r="F1363" t="s">
        <v>2952</v>
      </c>
      <c r="G1363" s="3">
        <v>17.920000000000002</v>
      </c>
      <c r="H1363" s="3">
        <v>0</v>
      </c>
      <c r="I1363" s="3">
        <v>17.920000000000002</v>
      </c>
      <c r="J1363" s="3">
        <f>Table1[[#This Row],[قيمة الفاتورة]]*0.94-Table1[[#This Row],[قيمة المشاركة]]</f>
        <v>16.844799999999999</v>
      </c>
      <c r="K1363">
        <v>16.844000000000001</v>
      </c>
      <c r="L1363" s="3">
        <f t="shared" si="21"/>
        <v>7.9999999999813554E-4</v>
      </c>
      <c r="M1363" t="s">
        <v>2678</v>
      </c>
      <c r="N1363" t="s">
        <v>19</v>
      </c>
    </row>
    <row r="1364" spans="1:14" x14ac:dyDescent="0.3">
      <c r="A1364">
        <v>1126</v>
      </c>
      <c r="B1364" t="s">
        <v>2539</v>
      </c>
      <c r="C1364" t="s">
        <v>2540</v>
      </c>
      <c r="D1364" t="s">
        <v>2960</v>
      </c>
      <c r="E1364" t="s">
        <v>23</v>
      </c>
      <c r="F1364" t="s">
        <v>2952</v>
      </c>
      <c r="G1364" s="3">
        <v>46.35</v>
      </c>
      <c r="H1364" s="3">
        <v>0</v>
      </c>
      <c r="I1364" s="3">
        <v>46.35</v>
      </c>
      <c r="J1364" s="3">
        <f>Table1[[#This Row],[قيمة الفاتورة]]*0.94-Table1[[#This Row],[قيمة المشاركة]]</f>
        <v>43.568999999999996</v>
      </c>
      <c r="K1364">
        <v>43.475000000000001</v>
      </c>
      <c r="L1364" s="3">
        <f t="shared" si="21"/>
        <v>9.3999999999994088E-2</v>
      </c>
      <c r="M1364" t="s">
        <v>2678</v>
      </c>
      <c r="N1364" t="s">
        <v>19</v>
      </c>
    </row>
    <row r="1365" spans="1:14" x14ac:dyDescent="0.3">
      <c r="A1365">
        <v>1129</v>
      </c>
      <c r="B1365" t="s">
        <v>2961</v>
      </c>
      <c r="C1365" t="s">
        <v>1284</v>
      </c>
      <c r="D1365" t="s">
        <v>2961</v>
      </c>
      <c r="E1365" t="s">
        <v>23</v>
      </c>
      <c r="F1365" t="s">
        <v>2952</v>
      </c>
      <c r="G1365" s="3">
        <v>18.88</v>
      </c>
      <c r="H1365" s="3">
        <v>0</v>
      </c>
      <c r="I1365" s="3">
        <v>18.88</v>
      </c>
      <c r="J1365" s="3">
        <f>Table1[[#This Row],[قيمة الفاتورة]]*0.94-Table1[[#This Row],[قيمة المشاركة]]</f>
        <v>17.747199999999999</v>
      </c>
      <c r="L1365" s="3" t="str">
        <f t="shared" si="21"/>
        <v/>
      </c>
      <c r="N1365" t="s">
        <v>19</v>
      </c>
    </row>
    <row r="1366" spans="1:14" x14ac:dyDescent="0.3">
      <c r="A1366">
        <v>236</v>
      </c>
      <c r="B1366" t="s">
        <v>234</v>
      </c>
      <c r="C1366" t="s">
        <v>235</v>
      </c>
      <c r="D1366" t="s">
        <v>2962</v>
      </c>
      <c r="E1366" t="s">
        <v>23</v>
      </c>
      <c r="F1366" t="s">
        <v>2963</v>
      </c>
      <c r="G1366" s="3">
        <v>26.68</v>
      </c>
      <c r="H1366" s="3">
        <v>0</v>
      </c>
      <c r="I1366" s="3">
        <v>26.68</v>
      </c>
      <c r="J1366" s="3">
        <f>Table1[[#This Row],[قيمة الفاتورة]]*0.94-Table1[[#This Row],[قيمة المشاركة]]</f>
        <v>25.079199999999997</v>
      </c>
      <c r="K1366">
        <v>24.468</v>
      </c>
      <c r="L1366" s="3">
        <f t="shared" si="21"/>
        <v>0.61119999999999663</v>
      </c>
      <c r="M1366" t="s">
        <v>2678</v>
      </c>
      <c r="N1366" t="s">
        <v>19</v>
      </c>
    </row>
    <row r="1367" spans="1:14" x14ac:dyDescent="0.3">
      <c r="A1367" s="7">
        <v>237</v>
      </c>
      <c r="B1367" s="7" t="s">
        <v>2964</v>
      </c>
      <c r="C1367" s="7" t="s">
        <v>2965</v>
      </c>
      <c r="D1367" s="7" t="s">
        <v>2966</v>
      </c>
      <c r="E1367" s="7" t="s">
        <v>17</v>
      </c>
      <c r="F1367" s="7" t="s">
        <v>2963</v>
      </c>
      <c r="G1367" s="8">
        <v>50.27</v>
      </c>
      <c r="H1367" s="8">
        <v>10.054</v>
      </c>
      <c r="I1367" s="8">
        <v>40.216000000000001</v>
      </c>
      <c r="J1367" s="8">
        <f>Table1[[#This Row],[قيمة الفاتورة]]*0.94-Table1[[#This Row],[قيمة المشاركة]]</f>
        <v>37.199799999999996</v>
      </c>
      <c r="L1367" s="3" t="str">
        <f t="shared" si="21"/>
        <v/>
      </c>
      <c r="N1367" t="s">
        <v>19</v>
      </c>
    </row>
    <row r="1368" spans="1:14" x14ac:dyDescent="0.3">
      <c r="A1368">
        <v>1130</v>
      </c>
      <c r="B1368" t="s">
        <v>763</v>
      </c>
      <c r="C1368" t="s">
        <v>177</v>
      </c>
      <c r="D1368" t="s">
        <v>2967</v>
      </c>
      <c r="E1368" t="s">
        <v>23</v>
      </c>
      <c r="F1368" t="s">
        <v>2968</v>
      </c>
      <c r="G1368" s="3">
        <v>11.64</v>
      </c>
      <c r="H1368" s="3">
        <v>0</v>
      </c>
      <c r="I1368" s="3">
        <v>11.64</v>
      </c>
      <c r="J1368" s="3">
        <f>Table1[[#This Row],[قيمة الفاتورة]]*0.94-Table1[[#This Row],[قيمة المشاركة]]</f>
        <v>10.941599999999999</v>
      </c>
      <c r="K1368">
        <v>10.942</v>
      </c>
      <c r="L1368" s="3">
        <f t="shared" si="21"/>
        <v>-4.0000000000084412E-4</v>
      </c>
      <c r="M1368" t="s">
        <v>2678</v>
      </c>
      <c r="N1368" t="s">
        <v>19</v>
      </c>
    </row>
    <row r="1369" spans="1:14" x14ac:dyDescent="0.3">
      <c r="A1369">
        <v>1131</v>
      </c>
      <c r="B1369" t="s">
        <v>139</v>
      </c>
      <c r="C1369" t="s">
        <v>2969</v>
      </c>
      <c r="D1369" t="s">
        <v>2970</v>
      </c>
      <c r="E1369" t="s">
        <v>17</v>
      </c>
      <c r="F1369" t="s">
        <v>2968</v>
      </c>
      <c r="G1369" s="3">
        <v>66.5</v>
      </c>
      <c r="H1369" s="3">
        <v>0</v>
      </c>
      <c r="I1369" s="3">
        <v>66.5</v>
      </c>
      <c r="J1369" s="3">
        <f>Table1[[#This Row],[قيمة الفاتورة]]*0.94-Table1[[#This Row],[قيمة المشاركة]]</f>
        <v>62.51</v>
      </c>
      <c r="K1369">
        <v>62.509</v>
      </c>
      <c r="L1369" s="3">
        <f t="shared" si="21"/>
        <v>9.9999999999766942E-4</v>
      </c>
      <c r="M1369" t="s">
        <v>2678</v>
      </c>
      <c r="N1369" t="s">
        <v>19</v>
      </c>
    </row>
    <row r="1370" spans="1:14" x14ac:dyDescent="0.3">
      <c r="A1370">
        <v>238</v>
      </c>
      <c r="B1370" t="s">
        <v>360</v>
      </c>
      <c r="C1370" t="s">
        <v>361</v>
      </c>
      <c r="D1370" t="s">
        <v>2971</v>
      </c>
      <c r="E1370" t="s">
        <v>23</v>
      </c>
      <c r="F1370" t="s">
        <v>2968</v>
      </c>
      <c r="G1370" s="3">
        <v>20.66</v>
      </c>
      <c r="H1370" s="3">
        <v>0</v>
      </c>
      <c r="I1370" s="3">
        <v>20.66</v>
      </c>
      <c r="J1370" s="3">
        <f>Table1[[#This Row],[قيمة الفاتورة]]*0.94-Table1[[#This Row],[قيمة المشاركة]]</f>
        <v>19.420400000000001</v>
      </c>
      <c r="K1370">
        <v>19.317</v>
      </c>
      <c r="L1370" s="3">
        <f t="shared" si="21"/>
        <v>0.1034000000000006</v>
      </c>
      <c r="M1370" t="s">
        <v>2678</v>
      </c>
      <c r="N1370" t="s">
        <v>19</v>
      </c>
    </row>
    <row r="1371" spans="1:14" x14ac:dyDescent="0.3">
      <c r="A1371" s="7">
        <v>1132</v>
      </c>
      <c r="B1371" s="7" t="s">
        <v>2972</v>
      </c>
      <c r="C1371" s="7" t="s">
        <v>2733</v>
      </c>
      <c r="D1371" s="7" t="s">
        <v>2732</v>
      </c>
      <c r="E1371" s="7" t="s">
        <v>23</v>
      </c>
      <c r="F1371" s="7" t="s">
        <v>2968</v>
      </c>
      <c r="G1371" s="8">
        <v>10.26</v>
      </c>
      <c r="H1371" s="8">
        <v>2.052</v>
      </c>
      <c r="I1371" s="8">
        <v>8.2080000000000002</v>
      </c>
      <c r="J1371" s="8">
        <f>Table1[[#This Row],[قيمة الفاتورة]]*0.94-Table1[[#This Row],[قيمة المشاركة]]</f>
        <v>7.5923999999999996</v>
      </c>
      <c r="L1371" s="3" t="str">
        <f t="shared" si="21"/>
        <v/>
      </c>
      <c r="N1371" t="s">
        <v>328</v>
      </c>
    </row>
    <row r="1372" spans="1:14" x14ac:dyDescent="0.3">
      <c r="A1372">
        <v>1133</v>
      </c>
      <c r="B1372" t="s">
        <v>1831</v>
      </c>
      <c r="C1372" t="s">
        <v>1832</v>
      </c>
      <c r="D1372" t="s">
        <v>2973</v>
      </c>
      <c r="E1372" t="s">
        <v>17</v>
      </c>
      <c r="F1372" t="s">
        <v>2974</v>
      </c>
      <c r="G1372" s="3">
        <v>28.1</v>
      </c>
      <c r="H1372" s="3">
        <v>0</v>
      </c>
      <c r="I1372" s="3">
        <v>28.1</v>
      </c>
      <c r="J1372" s="3">
        <f>Table1[[#This Row],[قيمة الفاتورة]]*0.94-Table1[[#This Row],[قيمة المشاركة]]</f>
        <v>26.414000000000001</v>
      </c>
      <c r="K1372">
        <v>26.414000000000001</v>
      </c>
      <c r="L1372" s="3">
        <f t="shared" si="21"/>
        <v>0</v>
      </c>
      <c r="M1372" t="s">
        <v>2678</v>
      </c>
      <c r="N1372" t="s">
        <v>19</v>
      </c>
    </row>
    <row r="1373" spans="1:14" x14ac:dyDescent="0.3">
      <c r="A1373">
        <v>1134</v>
      </c>
      <c r="B1373" t="s">
        <v>172</v>
      </c>
      <c r="C1373" t="s">
        <v>173</v>
      </c>
      <c r="D1373" t="s">
        <v>2975</v>
      </c>
      <c r="E1373" t="s">
        <v>23</v>
      </c>
      <c r="F1373" t="s">
        <v>2974</v>
      </c>
      <c r="G1373" s="3">
        <v>27.58</v>
      </c>
      <c r="H1373" s="3">
        <v>0</v>
      </c>
      <c r="I1373" s="3">
        <v>27.58</v>
      </c>
      <c r="J1373" s="3">
        <f>Table1[[#This Row],[قيمة الفاتورة]]*0.94-Table1[[#This Row],[قيمة المشاركة]]</f>
        <v>25.925199999999997</v>
      </c>
      <c r="K1373">
        <v>25.925000000000001</v>
      </c>
      <c r="L1373" s="3">
        <f t="shared" si="21"/>
        <v>1.9999999999598117E-4</v>
      </c>
      <c r="M1373" t="s">
        <v>2678</v>
      </c>
      <c r="N1373" t="s">
        <v>19</v>
      </c>
    </row>
    <row r="1374" spans="1:14" x14ac:dyDescent="0.3">
      <c r="A1374">
        <v>239</v>
      </c>
      <c r="B1374" t="s">
        <v>1797</v>
      </c>
      <c r="C1374" t="s">
        <v>1798</v>
      </c>
      <c r="D1374" t="s">
        <v>2976</v>
      </c>
      <c r="E1374" t="s">
        <v>23</v>
      </c>
      <c r="F1374" t="s">
        <v>2974</v>
      </c>
      <c r="G1374" s="3">
        <v>27.92</v>
      </c>
      <c r="H1374" s="3">
        <v>0</v>
      </c>
      <c r="I1374" s="3">
        <v>27.92</v>
      </c>
      <c r="J1374" s="3">
        <f>Table1[[#This Row],[قيمة الفاتورة]]*0.94-Table1[[#This Row],[قيمة المشاركة]]</f>
        <v>26.244800000000001</v>
      </c>
      <c r="K1374">
        <v>25.634</v>
      </c>
      <c r="L1374" s="3">
        <f t="shared" si="21"/>
        <v>0.61080000000000112</v>
      </c>
      <c r="M1374" t="s">
        <v>2678</v>
      </c>
      <c r="N1374" t="s">
        <v>19</v>
      </c>
    </row>
    <row r="1375" spans="1:14" x14ac:dyDescent="0.3">
      <c r="A1375">
        <v>1135</v>
      </c>
      <c r="B1375" t="s">
        <v>2977</v>
      </c>
      <c r="C1375" t="s">
        <v>2978</v>
      </c>
      <c r="D1375" t="s">
        <v>2979</v>
      </c>
      <c r="E1375" t="s">
        <v>17</v>
      </c>
      <c r="F1375" t="s">
        <v>2980</v>
      </c>
      <c r="G1375" s="3">
        <v>33.619999999999997</v>
      </c>
      <c r="H1375" s="3">
        <v>0</v>
      </c>
      <c r="I1375" s="3">
        <v>33.619999999999997</v>
      </c>
      <c r="J1375" s="3">
        <f>Table1[[#This Row],[قيمة الفاتورة]]*0.94-Table1[[#This Row],[قيمة المشاركة]]</f>
        <v>31.602799999999995</v>
      </c>
      <c r="K1375">
        <v>31.593</v>
      </c>
      <c r="L1375" s="3">
        <f t="shared" si="21"/>
        <v>9.7999999999949239E-3</v>
      </c>
      <c r="M1375" t="s">
        <v>2678</v>
      </c>
      <c r="N1375" t="s">
        <v>19</v>
      </c>
    </row>
    <row r="1376" spans="1:14" x14ac:dyDescent="0.3">
      <c r="A1376">
        <v>1136</v>
      </c>
      <c r="B1376" t="s">
        <v>1562</v>
      </c>
      <c r="C1376" t="s">
        <v>1563</v>
      </c>
      <c r="D1376" t="s">
        <v>2981</v>
      </c>
      <c r="E1376" t="s">
        <v>17</v>
      </c>
      <c r="F1376" t="s">
        <v>2982</v>
      </c>
      <c r="G1376" s="3">
        <v>26.04</v>
      </c>
      <c r="H1376" s="3">
        <v>0</v>
      </c>
      <c r="I1376" s="3">
        <v>26.04</v>
      </c>
      <c r="J1376" s="3">
        <f>Table1[[#This Row],[قيمة الفاتورة]]*0.94-Table1[[#This Row],[قيمة المشاركة]]</f>
        <v>24.477599999999999</v>
      </c>
      <c r="K1376">
        <v>24.459</v>
      </c>
      <c r="L1376" s="3">
        <f t="shared" si="21"/>
        <v>1.8599999999999284E-2</v>
      </c>
      <c r="M1376" t="s">
        <v>2678</v>
      </c>
      <c r="N1376" t="s">
        <v>19</v>
      </c>
    </row>
    <row r="1377" spans="1:14" x14ac:dyDescent="0.3">
      <c r="A1377">
        <v>240</v>
      </c>
      <c r="B1377" t="s">
        <v>578</v>
      </c>
      <c r="C1377" t="s">
        <v>1309</v>
      </c>
      <c r="D1377" t="s">
        <v>2983</v>
      </c>
      <c r="E1377" t="s">
        <v>23</v>
      </c>
      <c r="F1377" t="s">
        <v>2984</v>
      </c>
      <c r="G1377" s="3">
        <v>26.79</v>
      </c>
      <c r="H1377" s="3">
        <v>0</v>
      </c>
      <c r="I1377" s="3">
        <v>26.79</v>
      </c>
      <c r="J1377" s="3">
        <f>Table1[[#This Row],[قيمة الفاتورة]]*0.94-Table1[[#This Row],[قيمة المشاركة]]</f>
        <v>25.182599999999997</v>
      </c>
      <c r="K1377">
        <v>25.183</v>
      </c>
      <c r="L1377" s="3">
        <f t="shared" si="21"/>
        <v>-4.0000000000262048E-4</v>
      </c>
      <c r="M1377" t="s">
        <v>2678</v>
      </c>
      <c r="N1377" t="s">
        <v>19</v>
      </c>
    </row>
    <row r="1378" spans="1:14" x14ac:dyDescent="0.3">
      <c r="A1378">
        <v>1137</v>
      </c>
      <c r="B1378" t="s">
        <v>1295</v>
      </c>
      <c r="C1378" t="s">
        <v>1296</v>
      </c>
      <c r="D1378" t="s">
        <v>2985</v>
      </c>
      <c r="E1378" t="s">
        <v>17</v>
      </c>
      <c r="F1378" t="s">
        <v>2984</v>
      </c>
      <c r="G1378" s="3">
        <v>7.77</v>
      </c>
      <c r="H1378" s="3">
        <v>0</v>
      </c>
      <c r="I1378" s="3">
        <v>7.77</v>
      </c>
      <c r="J1378" s="3">
        <f>Table1[[#This Row],[قيمة الفاتورة]]*0.94-Table1[[#This Row],[قيمة المشاركة]]</f>
        <v>7.303799999999999</v>
      </c>
      <c r="K1378">
        <v>7.3040000000000003</v>
      </c>
      <c r="L1378" s="3">
        <f t="shared" si="21"/>
        <v>-2.0000000000131024E-4</v>
      </c>
      <c r="M1378" t="s">
        <v>2678</v>
      </c>
      <c r="N1378" t="s">
        <v>19</v>
      </c>
    </row>
    <row r="1379" spans="1:14" x14ac:dyDescent="0.3">
      <c r="A1379">
        <v>1138</v>
      </c>
      <c r="B1379" t="s">
        <v>2291</v>
      </c>
      <c r="C1379" t="s">
        <v>2292</v>
      </c>
      <c r="D1379" t="s">
        <v>2986</v>
      </c>
      <c r="E1379" t="s">
        <v>23</v>
      </c>
      <c r="F1379" t="s">
        <v>2984</v>
      </c>
      <c r="G1379" s="3">
        <v>3.17</v>
      </c>
      <c r="H1379" s="3">
        <v>0</v>
      </c>
      <c r="I1379" s="3">
        <v>3.17</v>
      </c>
      <c r="J1379" s="3">
        <f>Table1[[#This Row],[قيمة الفاتورة]]*0.94-Table1[[#This Row],[قيمة المشاركة]]</f>
        <v>2.9797999999999996</v>
      </c>
      <c r="K1379">
        <v>2.98</v>
      </c>
      <c r="L1379" s="3">
        <f t="shared" si="21"/>
        <v>-2.0000000000042206E-4</v>
      </c>
      <c r="M1379" t="s">
        <v>2678</v>
      </c>
      <c r="N1379" t="s">
        <v>19</v>
      </c>
    </row>
    <row r="1380" spans="1:14" x14ac:dyDescent="0.3">
      <c r="A1380">
        <v>1140</v>
      </c>
      <c r="B1380" t="s">
        <v>2158</v>
      </c>
      <c r="C1380" t="s">
        <v>2159</v>
      </c>
      <c r="D1380" t="s">
        <v>2987</v>
      </c>
      <c r="E1380" t="s">
        <v>23</v>
      </c>
      <c r="F1380" t="s">
        <v>2984</v>
      </c>
      <c r="G1380" s="3">
        <v>26.62</v>
      </c>
      <c r="H1380" s="3">
        <v>0</v>
      </c>
      <c r="I1380" s="3">
        <v>26.62</v>
      </c>
      <c r="J1380" s="3">
        <f>Table1[[#This Row],[قيمة الفاتورة]]*0.94-Table1[[#This Row],[قيمة المشاركة]]</f>
        <v>25.0228</v>
      </c>
      <c r="K1380">
        <v>25.023</v>
      </c>
      <c r="L1380" s="3">
        <f t="shared" si="21"/>
        <v>-1.9999999999953388E-4</v>
      </c>
      <c r="M1380" t="s">
        <v>2678</v>
      </c>
      <c r="N1380" t="s">
        <v>19</v>
      </c>
    </row>
    <row r="1381" spans="1:14" x14ac:dyDescent="0.3">
      <c r="A1381">
        <v>1139</v>
      </c>
      <c r="B1381" t="s">
        <v>2125</v>
      </c>
      <c r="C1381" t="s">
        <v>2332</v>
      </c>
      <c r="D1381" t="s">
        <v>2988</v>
      </c>
      <c r="E1381" t="s">
        <v>23</v>
      </c>
      <c r="F1381" t="s">
        <v>2984</v>
      </c>
      <c r="G1381" s="3">
        <v>10.3</v>
      </c>
      <c r="H1381" s="3">
        <v>0</v>
      </c>
      <c r="I1381" s="3">
        <v>10.3</v>
      </c>
      <c r="J1381" s="3">
        <f>Table1[[#This Row],[قيمة الفاتورة]]*0.94-Table1[[#This Row],[قيمة المشاركة]]</f>
        <v>9.6820000000000004</v>
      </c>
      <c r="K1381">
        <v>9.6820000000000004</v>
      </c>
      <c r="L1381" s="3">
        <f t="shared" si="21"/>
        <v>0</v>
      </c>
      <c r="M1381" t="s">
        <v>2678</v>
      </c>
      <c r="N1381" t="s">
        <v>19</v>
      </c>
    </row>
    <row r="1382" spans="1:14" x14ac:dyDescent="0.3">
      <c r="A1382">
        <v>1141</v>
      </c>
      <c r="B1382" t="s">
        <v>343</v>
      </c>
      <c r="C1382" t="s">
        <v>344</v>
      </c>
      <c r="D1382" t="s">
        <v>2989</v>
      </c>
      <c r="E1382" t="s">
        <v>17</v>
      </c>
      <c r="F1382" t="s">
        <v>2984</v>
      </c>
      <c r="G1382" s="3">
        <v>8.8800000000000008</v>
      </c>
      <c r="H1382" s="3">
        <v>0</v>
      </c>
      <c r="I1382" s="3">
        <v>8.8800000000000008</v>
      </c>
      <c r="J1382" s="3">
        <f>Table1[[#This Row],[قيمة الفاتورة]]*0.94-Table1[[#This Row],[قيمة المشاركة]]</f>
        <v>8.3472000000000008</v>
      </c>
      <c r="K1382">
        <v>8.3469999999999995</v>
      </c>
      <c r="L1382" s="3">
        <f t="shared" si="21"/>
        <v>2.0000000000131024E-4</v>
      </c>
      <c r="M1382" t="s">
        <v>2678</v>
      </c>
      <c r="N1382" t="s">
        <v>19</v>
      </c>
    </row>
    <row r="1383" spans="1:14" x14ac:dyDescent="0.3">
      <c r="A1383">
        <v>1142</v>
      </c>
      <c r="B1383" t="s">
        <v>2990</v>
      </c>
      <c r="C1383" t="s">
        <v>2991</v>
      </c>
      <c r="D1383" t="s">
        <v>2992</v>
      </c>
      <c r="E1383" t="s">
        <v>17</v>
      </c>
      <c r="F1383" t="s">
        <v>2984</v>
      </c>
      <c r="G1383" s="3">
        <v>15.69</v>
      </c>
      <c r="H1383" s="3">
        <v>3.1379999999999999</v>
      </c>
      <c r="I1383" s="3">
        <v>12.552</v>
      </c>
      <c r="J1383" s="3">
        <f>Table1[[#This Row],[قيمة الفاتورة]]*0.94-Table1[[#This Row],[قيمة المشاركة]]</f>
        <v>11.610599999999998</v>
      </c>
      <c r="K1383">
        <v>10.521000000000001</v>
      </c>
      <c r="L1383" s="3">
        <f t="shared" si="21"/>
        <v>1.0895999999999972</v>
      </c>
      <c r="M1383" t="s">
        <v>2930</v>
      </c>
      <c r="N1383" t="s">
        <v>328</v>
      </c>
    </row>
    <row r="1384" spans="1:14" x14ac:dyDescent="0.3">
      <c r="A1384">
        <v>1143</v>
      </c>
      <c r="B1384" t="s">
        <v>360</v>
      </c>
      <c r="C1384" t="s">
        <v>361</v>
      </c>
      <c r="D1384" t="s">
        <v>2993</v>
      </c>
      <c r="E1384" t="s">
        <v>17</v>
      </c>
      <c r="F1384" t="s">
        <v>2994</v>
      </c>
      <c r="G1384" s="3">
        <v>27.19</v>
      </c>
      <c r="H1384" s="3">
        <v>0</v>
      </c>
      <c r="I1384" s="3">
        <v>27.19</v>
      </c>
      <c r="J1384" s="3">
        <f>Table1[[#This Row],[قيمة الفاتورة]]*0.94-Table1[[#This Row],[قيمة المشاركة]]</f>
        <v>25.558599999999998</v>
      </c>
      <c r="K1384">
        <v>25.559000000000001</v>
      </c>
      <c r="L1384" s="3">
        <f t="shared" si="21"/>
        <v>-4.0000000000262048E-4</v>
      </c>
      <c r="M1384" t="s">
        <v>2678</v>
      </c>
      <c r="N1384" t="s">
        <v>19</v>
      </c>
    </row>
    <row r="1385" spans="1:14" x14ac:dyDescent="0.3">
      <c r="A1385">
        <v>1146</v>
      </c>
      <c r="B1385" t="s">
        <v>1908</v>
      </c>
      <c r="C1385" t="s">
        <v>1909</v>
      </c>
      <c r="D1385" t="s">
        <v>2995</v>
      </c>
      <c r="E1385" t="s">
        <v>17</v>
      </c>
      <c r="F1385" t="s">
        <v>2994</v>
      </c>
      <c r="G1385" s="3">
        <v>10.54</v>
      </c>
      <c r="H1385" s="3">
        <v>0</v>
      </c>
      <c r="I1385" s="3">
        <v>10.54</v>
      </c>
      <c r="J1385" s="3">
        <f>Table1[[#This Row],[قيمة الفاتورة]]*0.94-Table1[[#This Row],[قيمة المشاركة]]</f>
        <v>9.9075999999999986</v>
      </c>
      <c r="K1385">
        <v>9.9079999999999995</v>
      </c>
      <c r="L1385" s="3">
        <f t="shared" si="21"/>
        <v>-4.0000000000084412E-4</v>
      </c>
      <c r="M1385" t="s">
        <v>2678</v>
      </c>
      <c r="N1385" t="s">
        <v>19</v>
      </c>
    </row>
    <row r="1386" spans="1:14" x14ac:dyDescent="0.3">
      <c r="A1386">
        <v>1145</v>
      </c>
      <c r="B1386" t="s">
        <v>1148</v>
      </c>
      <c r="C1386" t="s">
        <v>1149</v>
      </c>
      <c r="D1386" t="s">
        <v>2996</v>
      </c>
      <c r="E1386" t="s">
        <v>17</v>
      </c>
      <c r="F1386" t="s">
        <v>2994</v>
      </c>
      <c r="G1386" s="3">
        <v>23.789000000000001</v>
      </c>
      <c r="H1386" s="3">
        <v>0</v>
      </c>
      <c r="I1386" s="3">
        <v>23.789000000000001</v>
      </c>
      <c r="J1386" s="3">
        <f>Table1[[#This Row],[قيمة الفاتورة]]*0.94-Table1[[#This Row],[قيمة المشاركة]]</f>
        <v>22.361660000000001</v>
      </c>
      <c r="K1386">
        <v>22.361999999999998</v>
      </c>
      <c r="L1386" s="3">
        <f t="shared" si="21"/>
        <v>-3.3999999999778652E-4</v>
      </c>
      <c r="M1386" t="s">
        <v>2678</v>
      </c>
      <c r="N1386" t="s">
        <v>19</v>
      </c>
    </row>
    <row r="1387" spans="1:14" x14ac:dyDescent="0.3">
      <c r="A1387">
        <v>241</v>
      </c>
      <c r="B1387" t="s">
        <v>659</v>
      </c>
      <c r="C1387" t="s">
        <v>660</v>
      </c>
      <c r="D1387" t="s">
        <v>2997</v>
      </c>
      <c r="E1387" t="s">
        <v>17</v>
      </c>
      <c r="F1387" t="s">
        <v>2994</v>
      </c>
      <c r="G1387" s="3">
        <v>31.42</v>
      </c>
      <c r="H1387" s="3">
        <v>0</v>
      </c>
      <c r="I1387" s="3">
        <v>31.42</v>
      </c>
      <c r="J1387" s="3">
        <f>Table1[[#This Row],[قيمة الفاتورة]]*0.94-Table1[[#This Row],[قيمة المشاركة]]</f>
        <v>29.534800000000001</v>
      </c>
      <c r="K1387">
        <v>29.535</v>
      </c>
      <c r="L1387" s="3">
        <f t="shared" si="21"/>
        <v>-1.9999999999953388E-4</v>
      </c>
      <c r="M1387" t="s">
        <v>2678</v>
      </c>
      <c r="N1387" t="s">
        <v>19</v>
      </c>
    </row>
    <row r="1388" spans="1:14" x14ac:dyDescent="0.3">
      <c r="A1388">
        <v>242</v>
      </c>
      <c r="B1388" t="s">
        <v>1148</v>
      </c>
      <c r="C1388" t="s">
        <v>2998</v>
      </c>
      <c r="D1388" t="s">
        <v>2996</v>
      </c>
      <c r="E1388" t="s">
        <v>17</v>
      </c>
      <c r="F1388" t="s">
        <v>2994</v>
      </c>
      <c r="G1388" s="3">
        <v>8.8800000000000008</v>
      </c>
      <c r="H1388" s="3">
        <v>0</v>
      </c>
      <c r="I1388" s="3">
        <v>8.8800000000000008</v>
      </c>
      <c r="J1388" s="3">
        <f>Table1[[#This Row],[قيمة الفاتورة]]*0.94-Table1[[#This Row],[قيمة المشاركة]]</f>
        <v>8.3472000000000008</v>
      </c>
      <c r="K1388">
        <v>8.3469999999999995</v>
      </c>
      <c r="L1388" s="3">
        <f t="shared" si="21"/>
        <v>2.0000000000131024E-4</v>
      </c>
      <c r="M1388" t="s">
        <v>2678</v>
      </c>
      <c r="N1388" t="s">
        <v>19</v>
      </c>
    </row>
    <row r="1389" spans="1:14" x14ac:dyDescent="0.3">
      <c r="A1389">
        <v>1147</v>
      </c>
      <c r="B1389" t="s">
        <v>36</v>
      </c>
      <c r="C1389" t="s">
        <v>37</v>
      </c>
      <c r="D1389" t="s">
        <v>2999</v>
      </c>
      <c r="E1389" t="s">
        <v>23</v>
      </c>
      <c r="F1389" t="s">
        <v>2994</v>
      </c>
      <c r="G1389" s="3">
        <v>27.52</v>
      </c>
      <c r="H1389" s="3">
        <v>4.1280000000000001</v>
      </c>
      <c r="I1389" s="3">
        <v>23.391999999999999</v>
      </c>
      <c r="J1389" s="3">
        <f>Table1[[#This Row],[قيمة الفاتورة]]*0.94-Table1[[#This Row],[قيمة المشاركة]]</f>
        <v>21.740799999999997</v>
      </c>
      <c r="K1389">
        <v>21.74</v>
      </c>
      <c r="L1389" s="3">
        <f t="shared" si="21"/>
        <v>7.9999999999813554E-4</v>
      </c>
      <c r="M1389" t="s">
        <v>2678</v>
      </c>
      <c r="N1389" t="s">
        <v>19</v>
      </c>
    </row>
    <row r="1390" spans="1:14" x14ac:dyDescent="0.3">
      <c r="A1390">
        <v>1144</v>
      </c>
      <c r="B1390" t="s">
        <v>930</v>
      </c>
      <c r="C1390" t="s">
        <v>2199</v>
      </c>
      <c r="D1390" t="s">
        <v>3000</v>
      </c>
      <c r="E1390" t="s">
        <v>17</v>
      </c>
      <c r="F1390" t="s">
        <v>2994</v>
      </c>
      <c r="G1390" s="3">
        <v>66.234999999999999</v>
      </c>
      <c r="H1390" s="3">
        <v>0</v>
      </c>
      <c r="I1390" s="3">
        <v>66.234999999999999</v>
      </c>
      <c r="J1390" s="3">
        <f>Table1[[#This Row],[قيمة الفاتورة]]*0.94-Table1[[#This Row],[قيمة المشاركة]]</f>
        <v>62.260899999999999</v>
      </c>
      <c r="K1390">
        <v>61.521999999999998</v>
      </c>
      <c r="L1390" s="3">
        <f t="shared" si="21"/>
        <v>0.738900000000001</v>
      </c>
      <c r="M1390" t="s">
        <v>2678</v>
      </c>
      <c r="N1390" t="s">
        <v>19</v>
      </c>
    </row>
    <row r="1391" spans="1:14" x14ac:dyDescent="0.3">
      <c r="A1391">
        <v>1152</v>
      </c>
      <c r="B1391" t="s">
        <v>707</v>
      </c>
      <c r="C1391" t="s">
        <v>708</v>
      </c>
      <c r="D1391" t="s">
        <v>3001</v>
      </c>
      <c r="E1391" t="s">
        <v>23</v>
      </c>
      <c r="F1391" t="s">
        <v>3002</v>
      </c>
      <c r="G1391" s="3">
        <v>18.190000000000001</v>
      </c>
      <c r="H1391" s="3">
        <v>0</v>
      </c>
      <c r="I1391" s="3">
        <v>18.190000000000001</v>
      </c>
      <c r="J1391" s="3">
        <f>Table1[[#This Row],[قيمة الفاتورة]]*0.94-Table1[[#This Row],[قيمة المشاركة]]</f>
        <v>17.098600000000001</v>
      </c>
      <c r="K1391">
        <v>17.652999999999999</v>
      </c>
      <c r="L1391" s="3">
        <f t="shared" si="21"/>
        <v>-0.55439999999999756</v>
      </c>
      <c r="M1391" t="s">
        <v>2678</v>
      </c>
      <c r="N1391" t="s">
        <v>19</v>
      </c>
    </row>
    <row r="1392" spans="1:14" x14ac:dyDescent="0.3">
      <c r="A1392">
        <v>243</v>
      </c>
      <c r="B1392" t="s">
        <v>493</v>
      </c>
      <c r="C1392" t="s">
        <v>494</v>
      </c>
      <c r="D1392" t="s">
        <v>3003</v>
      </c>
      <c r="E1392" t="s">
        <v>17</v>
      </c>
      <c r="F1392" t="s">
        <v>3002</v>
      </c>
      <c r="G1392" s="3">
        <v>21.88</v>
      </c>
      <c r="H1392" s="3">
        <v>0</v>
      </c>
      <c r="I1392" s="3">
        <v>21.88</v>
      </c>
      <c r="J1392" s="3">
        <f>Table1[[#This Row],[قيمة الفاتورة]]*0.94-Table1[[#This Row],[قيمة المشاركة]]</f>
        <v>20.567199999999996</v>
      </c>
      <c r="K1392">
        <v>20.567</v>
      </c>
      <c r="L1392" s="3">
        <f t="shared" si="21"/>
        <v>1.9999999999598117E-4</v>
      </c>
      <c r="M1392" t="s">
        <v>2678</v>
      </c>
      <c r="N1392" t="s">
        <v>19</v>
      </c>
    </row>
    <row r="1393" spans="1:14" x14ac:dyDescent="0.3">
      <c r="A1393">
        <v>1148</v>
      </c>
      <c r="B1393" t="s">
        <v>2451</v>
      </c>
      <c r="C1393" t="s">
        <v>2452</v>
      </c>
      <c r="D1393" t="s">
        <v>3004</v>
      </c>
      <c r="E1393" t="s">
        <v>23</v>
      </c>
      <c r="F1393" t="s">
        <v>3002</v>
      </c>
      <c r="G1393" s="3">
        <v>20.309999999999999</v>
      </c>
      <c r="H1393" s="3">
        <v>0</v>
      </c>
      <c r="I1393" s="3">
        <v>20.309999999999999</v>
      </c>
      <c r="J1393" s="3">
        <f>Table1[[#This Row],[قيمة الفاتورة]]*0.94-Table1[[#This Row],[قيمة المشاركة]]</f>
        <v>19.091399999999997</v>
      </c>
      <c r="K1393">
        <v>19.091000000000001</v>
      </c>
      <c r="L1393" s="3">
        <f t="shared" si="21"/>
        <v>3.9999999999551505E-4</v>
      </c>
      <c r="M1393" t="s">
        <v>2678</v>
      </c>
      <c r="N1393" t="s">
        <v>19</v>
      </c>
    </row>
    <row r="1394" spans="1:14" x14ac:dyDescent="0.3">
      <c r="A1394">
        <v>1150</v>
      </c>
      <c r="B1394" t="s">
        <v>3005</v>
      </c>
      <c r="C1394" t="s">
        <v>2715</v>
      </c>
      <c r="D1394" t="s">
        <v>3006</v>
      </c>
      <c r="E1394" t="s">
        <v>17</v>
      </c>
      <c r="F1394" t="s">
        <v>3002</v>
      </c>
      <c r="G1394" s="3">
        <v>42.36</v>
      </c>
      <c r="H1394" s="3">
        <v>8.4719999999999995</v>
      </c>
      <c r="I1394" s="3">
        <v>33.887999999999998</v>
      </c>
      <c r="J1394" s="3">
        <f>Table1[[#This Row],[قيمة الفاتورة]]*0.94-Table1[[#This Row],[قيمة المشاركة]]</f>
        <v>31.346399999999996</v>
      </c>
      <c r="K1394">
        <v>31.346</v>
      </c>
      <c r="L1394" s="3">
        <f t="shared" si="21"/>
        <v>3.9999999999551505E-4</v>
      </c>
      <c r="M1394" t="s">
        <v>2930</v>
      </c>
      <c r="N1394" t="s">
        <v>328</v>
      </c>
    </row>
    <row r="1395" spans="1:14" x14ac:dyDescent="0.3">
      <c r="A1395">
        <v>1153</v>
      </c>
      <c r="B1395" t="s">
        <v>493</v>
      </c>
      <c r="C1395" t="s">
        <v>494</v>
      </c>
      <c r="D1395" t="s">
        <v>3003</v>
      </c>
      <c r="E1395" t="s">
        <v>17</v>
      </c>
      <c r="F1395" t="s">
        <v>3002</v>
      </c>
      <c r="G1395" s="3">
        <v>10.54</v>
      </c>
      <c r="H1395" s="3">
        <v>0</v>
      </c>
      <c r="I1395" s="3">
        <v>10.54</v>
      </c>
      <c r="J1395" s="3">
        <f>Table1[[#This Row],[قيمة الفاتورة]]*0.94-Table1[[#This Row],[قيمة المشاركة]]</f>
        <v>9.9075999999999986</v>
      </c>
      <c r="K1395">
        <v>9.907</v>
      </c>
      <c r="L1395" s="3">
        <f t="shared" si="21"/>
        <v>5.9999999999860165E-4</v>
      </c>
      <c r="M1395" t="s">
        <v>2678</v>
      </c>
      <c r="N1395" t="s">
        <v>19</v>
      </c>
    </row>
    <row r="1396" spans="1:14" x14ac:dyDescent="0.3">
      <c r="A1396">
        <v>1151</v>
      </c>
      <c r="B1396" t="s">
        <v>3007</v>
      </c>
      <c r="C1396" t="s">
        <v>1519</v>
      </c>
      <c r="D1396" t="s">
        <v>3008</v>
      </c>
      <c r="E1396" t="s">
        <v>23</v>
      </c>
      <c r="F1396" t="s">
        <v>3002</v>
      </c>
      <c r="G1396" s="3">
        <v>44.68</v>
      </c>
      <c r="H1396" s="3">
        <v>8.9359999999999999</v>
      </c>
      <c r="I1396" s="3">
        <v>35.744</v>
      </c>
      <c r="J1396" s="3">
        <f>Table1[[#This Row],[قيمة الفاتورة]]*0.94-Table1[[#This Row],[قيمة المشاركة]]</f>
        <v>33.063199999999995</v>
      </c>
      <c r="K1396">
        <v>32.847999999999999</v>
      </c>
      <c r="L1396" s="3">
        <f t="shared" si="21"/>
        <v>0.21519999999999584</v>
      </c>
      <c r="M1396" t="s">
        <v>2930</v>
      </c>
      <c r="N1396" t="s">
        <v>328</v>
      </c>
    </row>
    <row r="1397" spans="1:14" x14ac:dyDescent="0.3">
      <c r="A1397">
        <v>1149</v>
      </c>
      <c r="B1397" t="s">
        <v>3009</v>
      </c>
      <c r="C1397" t="s">
        <v>3010</v>
      </c>
      <c r="D1397" t="s">
        <v>3011</v>
      </c>
      <c r="E1397" t="s">
        <v>23</v>
      </c>
      <c r="F1397" t="s">
        <v>3002</v>
      </c>
      <c r="G1397" s="3">
        <v>65.08</v>
      </c>
      <c r="H1397" s="3">
        <v>13.016</v>
      </c>
      <c r="I1397" s="3">
        <v>52.064</v>
      </c>
      <c r="J1397" s="3">
        <f>Table1[[#This Row],[قيمة الفاتورة]]*0.94-Table1[[#This Row],[قيمة المشاركة]]</f>
        <v>48.159199999999998</v>
      </c>
      <c r="K1397">
        <v>47.944000000000003</v>
      </c>
      <c r="L1397" s="3">
        <f t="shared" si="21"/>
        <v>0.21519999999999584</v>
      </c>
      <c r="M1397" t="s">
        <v>2930</v>
      </c>
      <c r="N1397" t="s">
        <v>328</v>
      </c>
    </row>
    <row r="1398" spans="1:14" x14ac:dyDescent="0.3">
      <c r="A1398">
        <v>1155</v>
      </c>
      <c r="B1398" t="s">
        <v>104</v>
      </c>
      <c r="C1398" t="s">
        <v>1020</v>
      </c>
      <c r="D1398" t="s">
        <v>3012</v>
      </c>
      <c r="E1398" t="s">
        <v>23</v>
      </c>
      <c r="F1398" t="s">
        <v>3013</v>
      </c>
      <c r="G1398" s="3">
        <v>17.2</v>
      </c>
      <c r="H1398" s="3">
        <v>0</v>
      </c>
      <c r="I1398" s="3">
        <v>17.2</v>
      </c>
      <c r="J1398" s="3">
        <f>Table1[[#This Row],[قيمة الفاتورة]]*0.94-Table1[[#This Row],[قيمة المشاركة]]</f>
        <v>16.167999999999999</v>
      </c>
      <c r="K1398">
        <v>16.167999999999999</v>
      </c>
      <c r="L1398" s="3">
        <f t="shared" si="21"/>
        <v>0</v>
      </c>
      <c r="M1398" t="s">
        <v>2678</v>
      </c>
      <c r="N1398" t="s">
        <v>19</v>
      </c>
    </row>
    <row r="1399" spans="1:14" x14ac:dyDescent="0.3">
      <c r="A1399">
        <v>1154</v>
      </c>
      <c r="B1399" t="s">
        <v>3014</v>
      </c>
      <c r="C1399" t="s">
        <v>3015</v>
      </c>
      <c r="D1399" t="s">
        <v>3016</v>
      </c>
      <c r="E1399" t="s">
        <v>23</v>
      </c>
      <c r="F1399" t="s">
        <v>3013</v>
      </c>
      <c r="G1399" s="3">
        <v>21</v>
      </c>
      <c r="H1399" s="3">
        <v>0</v>
      </c>
      <c r="I1399" s="3">
        <v>21</v>
      </c>
      <c r="J1399" s="3">
        <f>Table1[[#This Row],[قيمة الفاتورة]]*0.94-Table1[[#This Row],[قيمة المشاركة]]</f>
        <v>19.739999999999998</v>
      </c>
      <c r="K1399">
        <v>19.693000000000001</v>
      </c>
      <c r="L1399" s="3">
        <f t="shared" si="21"/>
        <v>4.6999999999997044E-2</v>
      </c>
      <c r="M1399" t="s">
        <v>2678</v>
      </c>
      <c r="N1399" t="s">
        <v>19</v>
      </c>
    </row>
    <row r="1400" spans="1:14" x14ac:dyDescent="0.3">
      <c r="A1400">
        <v>1157</v>
      </c>
      <c r="B1400" t="s">
        <v>3017</v>
      </c>
      <c r="C1400" t="s">
        <v>3018</v>
      </c>
      <c r="D1400" t="s">
        <v>3019</v>
      </c>
      <c r="E1400" t="s">
        <v>17</v>
      </c>
      <c r="F1400" t="s">
        <v>3013</v>
      </c>
      <c r="G1400" s="3">
        <v>12.14</v>
      </c>
      <c r="H1400" s="3">
        <v>0</v>
      </c>
      <c r="I1400" s="3">
        <v>12.14</v>
      </c>
      <c r="J1400" s="3">
        <f>Table1[[#This Row],[قيمة الفاتورة]]*0.94-Table1[[#This Row],[قيمة المشاركة]]</f>
        <v>11.4116</v>
      </c>
      <c r="K1400">
        <v>11.195</v>
      </c>
      <c r="L1400" s="3">
        <f t="shared" si="21"/>
        <v>0.21659999999999968</v>
      </c>
      <c r="M1400" t="s">
        <v>2678</v>
      </c>
      <c r="N1400" t="s">
        <v>19</v>
      </c>
    </row>
    <row r="1401" spans="1:14" x14ac:dyDescent="0.3">
      <c r="A1401">
        <v>1159</v>
      </c>
      <c r="B1401" t="s">
        <v>3020</v>
      </c>
      <c r="C1401" t="s">
        <v>3021</v>
      </c>
      <c r="D1401" t="s">
        <v>3022</v>
      </c>
      <c r="E1401" t="s">
        <v>23</v>
      </c>
      <c r="F1401" t="s">
        <v>3013</v>
      </c>
      <c r="G1401" s="3">
        <v>20.86</v>
      </c>
      <c r="H1401" s="3">
        <v>4.1719999999999997</v>
      </c>
      <c r="I1401" s="3">
        <v>16.687999999999999</v>
      </c>
      <c r="J1401" s="3">
        <f>Table1[[#This Row],[قيمة الفاتورة]]*0.94-Table1[[#This Row],[قيمة المشاركة]]</f>
        <v>15.436399999999999</v>
      </c>
      <c r="K1401">
        <v>12.984</v>
      </c>
      <c r="L1401" s="3">
        <f t="shared" si="21"/>
        <v>2.452399999999999</v>
      </c>
      <c r="M1401" t="s">
        <v>2930</v>
      </c>
      <c r="N1401" t="s">
        <v>328</v>
      </c>
    </row>
    <row r="1402" spans="1:14" x14ac:dyDescent="0.3">
      <c r="A1402">
        <v>1156</v>
      </c>
      <c r="B1402" t="s">
        <v>1551</v>
      </c>
      <c r="C1402" t="s">
        <v>3023</v>
      </c>
      <c r="D1402" t="s">
        <v>3024</v>
      </c>
      <c r="E1402" t="s">
        <v>17</v>
      </c>
      <c r="F1402" t="s">
        <v>3013</v>
      </c>
      <c r="G1402" s="3">
        <v>24.08</v>
      </c>
      <c r="H1402" s="3">
        <v>0</v>
      </c>
      <c r="I1402" s="3">
        <v>24.08</v>
      </c>
      <c r="J1402" s="3">
        <f>Table1[[#This Row],[قيمة الفاتورة]]*0.94-Table1[[#This Row],[قيمة المشاركة]]</f>
        <v>22.635199999999998</v>
      </c>
      <c r="K1402">
        <v>19.021999999999998</v>
      </c>
      <c r="L1402" s="3">
        <f t="shared" si="21"/>
        <v>3.6131999999999991</v>
      </c>
      <c r="M1402" t="s">
        <v>2678</v>
      </c>
      <c r="N1402" t="s">
        <v>19</v>
      </c>
    </row>
    <row r="1403" spans="1:14" x14ac:dyDescent="0.3">
      <c r="A1403" s="7">
        <v>1158</v>
      </c>
      <c r="B1403" s="7" t="s">
        <v>539</v>
      </c>
      <c r="C1403" s="7" t="s">
        <v>3025</v>
      </c>
      <c r="D1403" s="7" t="s">
        <v>539</v>
      </c>
      <c r="E1403" s="7" t="s">
        <v>23</v>
      </c>
      <c r="F1403" s="7" t="s">
        <v>3013</v>
      </c>
      <c r="G1403" s="8">
        <v>52.42</v>
      </c>
      <c r="H1403" s="8">
        <v>10.484</v>
      </c>
      <c r="I1403" s="8">
        <v>41.936</v>
      </c>
      <c r="J1403" s="8">
        <f>Table1[[#This Row],[قيمة الفاتورة]]*0.94-Table1[[#This Row],[قيمة المشاركة]]</f>
        <v>38.790799999999997</v>
      </c>
      <c r="L1403" s="3" t="str">
        <f t="shared" si="21"/>
        <v/>
      </c>
      <c r="N1403" t="s">
        <v>328</v>
      </c>
    </row>
    <row r="1404" spans="1:14" x14ac:dyDescent="0.3">
      <c r="A1404">
        <v>1162</v>
      </c>
      <c r="B1404" t="s">
        <v>2690</v>
      </c>
      <c r="C1404" t="s">
        <v>3026</v>
      </c>
      <c r="D1404" t="s">
        <v>539</v>
      </c>
      <c r="E1404" t="s">
        <v>17</v>
      </c>
      <c r="F1404" t="s">
        <v>3027</v>
      </c>
      <c r="G1404" s="3">
        <v>40.36</v>
      </c>
      <c r="H1404" s="3">
        <v>8.0719999999999992</v>
      </c>
      <c r="I1404" s="3">
        <v>32.287999999999997</v>
      </c>
      <c r="J1404" s="3">
        <f>Table1[[#This Row],[قيمة الفاتورة]]*0.94-Table1[[#This Row],[قيمة المشاركة]]</f>
        <v>29.866399999999995</v>
      </c>
      <c r="K1404">
        <v>29.867000000000001</v>
      </c>
      <c r="L1404" s="3">
        <f t="shared" si="21"/>
        <v>-6.0000000000570708E-4</v>
      </c>
      <c r="M1404" t="s">
        <v>2930</v>
      </c>
      <c r="N1404" t="s">
        <v>328</v>
      </c>
    </row>
    <row r="1405" spans="1:14" x14ac:dyDescent="0.3">
      <c r="A1405">
        <v>1163</v>
      </c>
      <c r="B1405" t="s">
        <v>2686</v>
      </c>
      <c r="C1405" t="s">
        <v>3028</v>
      </c>
      <c r="D1405" t="s">
        <v>3029</v>
      </c>
      <c r="E1405" t="s">
        <v>23</v>
      </c>
      <c r="F1405" t="s">
        <v>3027</v>
      </c>
      <c r="G1405" s="3">
        <v>27.78</v>
      </c>
      <c r="H1405" s="3">
        <v>5.556</v>
      </c>
      <c r="I1405" s="3">
        <v>22.224</v>
      </c>
      <c r="J1405" s="3">
        <f>Table1[[#This Row],[قيمة الفاتورة]]*0.94-Table1[[#This Row],[قيمة المشاركة]]</f>
        <v>20.557199999999998</v>
      </c>
      <c r="K1405">
        <v>20.556999999999999</v>
      </c>
      <c r="L1405" s="3">
        <f t="shared" si="21"/>
        <v>1.9999999999953388E-4</v>
      </c>
      <c r="M1405" t="s">
        <v>2930</v>
      </c>
      <c r="N1405" t="s">
        <v>328</v>
      </c>
    </row>
    <row r="1406" spans="1:14" x14ac:dyDescent="0.3">
      <c r="A1406">
        <v>1166</v>
      </c>
      <c r="B1406" t="s">
        <v>2410</v>
      </c>
      <c r="C1406" t="s">
        <v>2411</v>
      </c>
      <c r="D1406" t="s">
        <v>3030</v>
      </c>
      <c r="E1406" t="s">
        <v>17</v>
      </c>
      <c r="F1406" t="s">
        <v>3027</v>
      </c>
      <c r="G1406" s="3">
        <v>22.41</v>
      </c>
      <c r="H1406" s="3">
        <v>0</v>
      </c>
      <c r="I1406" s="3">
        <v>22.41</v>
      </c>
      <c r="J1406" s="3">
        <f>Table1[[#This Row],[قيمة الفاتورة]]*0.94-Table1[[#This Row],[قيمة المشاركة]]</f>
        <v>21.0654</v>
      </c>
      <c r="K1406">
        <v>21.065000000000001</v>
      </c>
      <c r="L1406" s="3">
        <f t="shared" si="21"/>
        <v>3.9999999999906777E-4</v>
      </c>
      <c r="M1406" t="s">
        <v>2678</v>
      </c>
      <c r="N1406" t="s">
        <v>19</v>
      </c>
    </row>
    <row r="1407" spans="1:14" x14ac:dyDescent="0.3">
      <c r="A1407">
        <v>1167</v>
      </c>
      <c r="B1407" t="s">
        <v>98</v>
      </c>
      <c r="C1407" t="s">
        <v>99</v>
      </c>
      <c r="D1407" t="s">
        <v>3031</v>
      </c>
      <c r="E1407" t="s">
        <v>17</v>
      </c>
      <c r="F1407" t="s">
        <v>3027</v>
      </c>
      <c r="G1407" s="3">
        <v>42.14</v>
      </c>
      <c r="H1407" s="3">
        <v>0</v>
      </c>
      <c r="I1407" s="3">
        <v>42.14</v>
      </c>
      <c r="J1407" s="3">
        <f>Table1[[#This Row],[قيمة الفاتورة]]*0.94-Table1[[#This Row],[قيمة المشاركة]]</f>
        <v>39.611599999999996</v>
      </c>
      <c r="K1407">
        <v>39.610999999999997</v>
      </c>
      <c r="L1407" s="3">
        <f t="shared" si="21"/>
        <v>5.9999999999860165E-4</v>
      </c>
      <c r="M1407" t="s">
        <v>2678</v>
      </c>
      <c r="N1407" t="s">
        <v>19</v>
      </c>
    </row>
    <row r="1408" spans="1:14" x14ac:dyDescent="0.3">
      <c r="A1408">
        <v>1165</v>
      </c>
      <c r="B1408" t="s">
        <v>188</v>
      </c>
      <c r="C1408" t="s">
        <v>167</v>
      </c>
      <c r="D1408" t="s">
        <v>3032</v>
      </c>
      <c r="E1408" t="s">
        <v>23</v>
      </c>
      <c r="F1408" t="s">
        <v>3027</v>
      </c>
      <c r="G1408" s="3">
        <v>25.97</v>
      </c>
      <c r="H1408" s="3">
        <v>0</v>
      </c>
      <c r="I1408" s="3">
        <v>25.97</v>
      </c>
      <c r="J1408" s="3">
        <f>Table1[[#This Row],[قيمة الفاتورة]]*0.94-Table1[[#This Row],[قيمة المشاركة]]</f>
        <v>24.411799999999996</v>
      </c>
      <c r="K1408">
        <v>24.411000000000001</v>
      </c>
      <c r="L1408" s="3">
        <f t="shared" si="21"/>
        <v>7.9999999999458282E-4</v>
      </c>
      <c r="M1408" t="s">
        <v>2678</v>
      </c>
      <c r="N1408" t="s">
        <v>19</v>
      </c>
    </row>
    <row r="1409" spans="1:14" x14ac:dyDescent="0.3">
      <c r="A1409">
        <v>1160</v>
      </c>
      <c r="B1409" t="s">
        <v>882</v>
      </c>
      <c r="C1409" t="s">
        <v>523</v>
      </c>
      <c r="D1409" t="s">
        <v>3033</v>
      </c>
      <c r="E1409" t="s">
        <v>17</v>
      </c>
      <c r="F1409" t="s">
        <v>3027</v>
      </c>
      <c r="G1409" s="3">
        <v>31.32</v>
      </c>
      <c r="H1409" s="3">
        <v>0</v>
      </c>
      <c r="I1409" s="3">
        <v>31.32</v>
      </c>
      <c r="J1409" s="3">
        <f>Table1[[#This Row],[قيمة الفاتورة]]*0.94-Table1[[#This Row],[قيمة المشاركة]]</f>
        <v>29.440799999999999</v>
      </c>
      <c r="K1409">
        <v>29.187000000000001</v>
      </c>
      <c r="L1409" s="3">
        <f t="shared" si="21"/>
        <v>0.25379999999999825</v>
      </c>
      <c r="M1409" t="s">
        <v>2678</v>
      </c>
      <c r="N1409" t="s">
        <v>19</v>
      </c>
    </row>
    <row r="1410" spans="1:14" x14ac:dyDescent="0.3">
      <c r="A1410">
        <v>1161</v>
      </c>
      <c r="B1410" t="s">
        <v>1627</v>
      </c>
      <c r="C1410" t="s">
        <v>3034</v>
      </c>
      <c r="D1410" t="s">
        <v>3035</v>
      </c>
      <c r="E1410" t="s">
        <v>23</v>
      </c>
      <c r="F1410" t="s">
        <v>3027</v>
      </c>
      <c r="G1410" s="3">
        <v>64.83</v>
      </c>
      <c r="H1410" s="3">
        <v>0</v>
      </c>
      <c r="I1410" s="3">
        <v>64.83</v>
      </c>
      <c r="J1410" s="3">
        <f>Table1[[#This Row],[قيمة الفاتورة]]*0.94-Table1[[#This Row],[قيمة المشاركة]]</f>
        <v>60.940199999999997</v>
      </c>
      <c r="K1410">
        <v>60.122</v>
      </c>
      <c r="L1410" s="3">
        <f t="shared" ref="L1410:L1473" si="22">IF(ISNUMBER(K1410), J1410-K1410, "")</f>
        <v>0.81819999999999737</v>
      </c>
      <c r="M1410" t="s">
        <v>2678</v>
      </c>
      <c r="N1410" t="s">
        <v>19</v>
      </c>
    </row>
    <row r="1411" spans="1:14" x14ac:dyDescent="0.3">
      <c r="A1411">
        <v>1164</v>
      </c>
      <c r="B1411" t="s">
        <v>3036</v>
      </c>
      <c r="C1411" t="s">
        <v>3037</v>
      </c>
      <c r="D1411" t="s">
        <v>3038</v>
      </c>
      <c r="E1411" t="s">
        <v>17</v>
      </c>
      <c r="F1411" t="s">
        <v>3027</v>
      </c>
      <c r="G1411" s="3">
        <v>19.850000000000001</v>
      </c>
      <c r="H1411" s="3">
        <v>3.97</v>
      </c>
      <c r="I1411" s="3">
        <v>15.88</v>
      </c>
      <c r="J1411" s="3">
        <f>Table1[[#This Row],[قيمة الفاتورة]]*0.94-Table1[[#This Row],[قيمة المشاركة]]</f>
        <v>14.688999999999998</v>
      </c>
      <c r="K1411" s="3">
        <v>14.689</v>
      </c>
      <c r="L1411" s="3">
        <f t="shared" si="22"/>
        <v>-1.7763568394002505E-15</v>
      </c>
      <c r="M1411" s="6">
        <v>46110</v>
      </c>
      <c r="N1411" s="6" t="s">
        <v>328</v>
      </c>
    </row>
    <row r="1412" spans="1:14" x14ac:dyDescent="0.3">
      <c r="A1412">
        <v>244</v>
      </c>
      <c r="B1412" t="s">
        <v>1620</v>
      </c>
      <c r="C1412" t="s">
        <v>1624</v>
      </c>
      <c r="D1412" t="s">
        <v>3039</v>
      </c>
      <c r="E1412" t="s">
        <v>23</v>
      </c>
      <c r="F1412" t="s">
        <v>3040</v>
      </c>
      <c r="G1412" s="3">
        <v>18.89</v>
      </c>
      <c r="H1412" s="3">
        <v>0</v>
      </c>
      <c r="I1412" s="3">
        <v>18.89</v>
      </c>
      <c r="J1412" s="3">
        <f>Table1[[#This Row],[قيمة الفاتورة]]*0.94-Table1[[#This Row],[قيمة المشاركة]]</f>
        <v>17.756599999999999</v>
      </c>
      <c r="K1412">
        <v>17.757000000000001</v>
      </c>
      <c r="L1412" s="3">
        <f t="shared" si="22"/>
        <v>-4.0000000000262048E-4</v>
      </c>
      <c r="M1412" t="s">
        <v>2678</v>
      </c>
      <c r="N1412" t="s">
        <v>19</v>
      </c>
    </row>
    <row r="1413" spans="1:14" x14ac:dyDescent="0.3">
      <c r="A1413">
        <v>1173</v>
      </c>
      <c r="B1413" t="s">
        <v>2255</v>
      </c>
      <c r="C1413" t="s">
        <v>2256</v>
      </c>
      <c r="D1413" t="s">
        <v>3041</v>
      </c>
      <c r="E1413" t="s">
        <v>23</v>
      </c>
      <c r="F1413" t="s">
        <v>3040</v>
      </c>
      <c r="G1413" s="3">
        <v>49.47</v>
      </c>
      <c r="H1413" s="3">
        <v>0</v>
      </c>
      <c r="I1413" s="3">
        <v>49.47</v>
      </c>
      <c r="J1413" s="3">
        <f>Table1[[#This Row],[قيمة الفاتورة]]*0.94-Table1[[#This Row],[قيمة المشاركة]]</f>
        <v>46.501799999999996</v>
      </c>
      <c r="K1413">
        <v>46.502000000000002</v>
      </c>
      <c r="L1413" s="3">
        <f t="shared" si="22"/>
        <v>-2.0000000000663931E-4</v>
      </c>
      <c r="M1413" t="s">
        <v>2678</v>
      </c>
      <c r="N1413" t="s">
        <v>19</v>
      </c>
    </row>
    <row r="1414" spans="1:14" x14ac:dyDescent="0.3">
      <c r="A1414">
        <v>1169</v>
      </c>
      <c r="B1414" t="s">
        <v>1148</v>
      </c>
      <c r="C1414" t="s">
        <v>1149</v>
      </c>
      <c r="D1414" t="s">
        <v>3042</v>
      </c>
      <c r="E1414" t="s">
        <v>17</v>
      </c>
      <c r="F1414" t="s">
        <v>3040</v>
      </c>
      <c r="G1414" s="3">
        <v>32.22</v>
      </c>
      <c r="H1414" s="3">
        <v>0</v>
      </c>
      <c r="I1414" s="3">
        <v>32.22</v>
      </c>
      <c r="J1414" s="3">
        <f>Table1[[#This Row],[قيمة الفاتورة]]*0.94-Table1[[#This Row],[قيمة المشاركة]]</f>
        <v>30.286799999999996</v>
      </c>
      <c r="K1414">
        <v>30.286999999999999</v>
      </c>
      <c r="L1414" s="3">
        <f t="shared" si="22"/>
        <v>-2.000000000030866E-4</v>
      </c>
      <c r="M1414" t="s">
        <v>2678</v>
      </c>
      <c r="N1414" t="s">
        <v>19</v>
      </c>
    </row>
    <row r="1415" spans="1:14" x14ac:dyDescent="0.3">
      <c r="A1415">
        <v>1172</v>
      </c>
      <c r="B1415" t="s">
        <v>3043</v>
      </c>
      <c r="C1415" t="s">
        <v>1519</v>
      </c>
      <c r="D1415" t="s">
        <v>3044</v>
      </c>
      <c r="E1415" t="s">
        <v>23</v>
      </c>
      <c r="F1415" t="s">
        <v>3040</v>
      </c>
      <c r="G1415" s="3">
        <v>6.68</v>
      </c>
      <c r="H1415" s="3">
        <v>0</v>
      </c>
      <c r="I1415" s="3">
        <v>6.68</v>
      </c>
      <c r="J1415" s="3">
        <f>Table1[[#This Row],[قيمة الفاتورة]]*0.94-Table1[[#This Row],[قيمة المشاركة]]</f>
        <v>6.2791999999999994</v>
      </c>
      <c r="K1415">
        <v>6.2789999999999999</v>
      </c>
      <c r="L1415" s="3">
        <f t="shared" si="22"/>
        <v>1.9999999999953388E-4</v>
      </c>
      <c r="M1415" t="s">
        <v>2678</v>
      </c>
      <c r="N1415" t="s">
        <v>19</v>
      </c>
    </row>
    <row r="1416" spans="1:14" x14ac:dyDescent="0.3">
      <c r="A1416">
        <v>1168</v>
      </c>
      <c r="B1416" t="s">
        <v>302</v>
      </c>
      <c r="C1416" t="s">
        <v>303</v>
      </c>
      <c r="D1416" t="s">
        <v>3045</v>
      </c>
      <c r="E1416" t="s">
        <v>17</v>
      </c>
      <c r="F1416" t="s">
        <v>3040</v>
      </c>
      <c r="G1416" s="3">
        <v>36.86</v>
      </c>
      <c r="H1416" s="3">
        <v>0</v>
      </c>
      <c r="I1416" s="3">
        <v>36.86</v>
      </c>
      <c r="J1416" s="3">
        <f>Table1[[#This Row],[قيمة الفاتورة]]*0.94-Table1[[#This Row],[قيمة المشاركة]]</f>
        <v>34.648399999999995</v>
      </c>
      <c r="K1416">
        <v>34.648000000000003</v>
      </c>
      <c r="L1416" s="3">
        <f t="shared" si="22"/>
        <v>3.9999999999196234E-4</v>
      </c>
      <c r="M1416" t="s">
        <v>2678</v>
      </c>
      <c r="N1416" t="s">
        <v>19</v>
      </c>
    </row>
    <row r="1417" spans="1:14" x14ac:dyDescent="0.3">
      <c r="A1417">
        <v>1175</v>
      </c>
      <c r="B1417" t="s">
        <v>3046</v>
      </c>
      <c r="C1417" t="s">
        <v>3047</v>
      </c>
      <c r="D1417" t="s">
        <v>3048</v>
      </c>
      <c r="E1417" t="s">
        <v>23</v>
      </c>
      <c r="F1417" t="s">
        <v>3040</v>
      </c>
      <c r="G1417" s="3">
        <v>27.08</v>
      </c>
      <c r="H1417" s="3">
        <v>5.4160000000000004</v>
      </c>
      <c r="I1417" s="3">
        <v>21.664000000000001</v>
      </c>
      <c r="J1417" s="3">
        <f>Table1[[#This Row],[قيمة الفاتورة]]*0.94-Table1[[#This Row],[قيمة المشاركة]]</f>
        <v>20.039199999999997</v>
      </c>
      <c r="K1417">
        <v>20.038</v>
      </c>
      <c r="L1417" s="3">
        <f t="shared" si="22"/>
        <v>1.1999999999972033E-3</v>
      </c>
      <c r="M1417" t="s">
        <v>2930</v>
      </c>
      <c r="N1417" t="s">
        <v>328</v>
      </c>
    </row>
    <row r="1418" spans="1:14" x14ac:dyDescent="0.3">
      <c r="A1418">
        <v>1170</v>
      </c>
      <c r="B1418" t="s">
        <v>3049</v>
      </c>
      <c r="C1418" t="s">
        <v>3050</v>
      </c>
      <c r="D1418" t="s">
        <v>3051</v>
      </c>
      <c r="E1418" t="s">
        <v>17</v>
      </c>
      <c r="F1418" t="s">
        <v>3040</v>
      </c>
      <c r="G1418" s="3">
        <v>45.96</v>
      </c>
      <c r="H1418" s="3">
        <v>0</v>
      </c>
      <c r="I1418" s="3">
        <v>45.96</v>
      </c>
      <c r="J1418" s="3">
        <f>Table1[[#This Row],[قيمة الفاتورة]]*0.94-Table1[[#This Row],[قيمة المشاركة]]</f>
        <v>43.202399999999997</v>
      </c>
      <c r="K1418">
        <v>43.192999999999998</v>
      </c>
      <c r="L1418" s="3">
        <f t="shared" si="22"/>
        <v>9.3999999999994088E-3</v>
      </c>
      <c r="M1418" t="s">
        <v>2678</v>
      </c>
      <c r="N1418" t="s">
        <v>19</v>
      </c>
    </row>
    <row r="1419" spans="1:14" x14ac:dyDescent="0.3">
      <c r="A1419">
        <v>1174</v>
      </c>
      <c r="B1419" t="s">
        <v>3052</v>
      </c>
      <c r="C1419" t="s">
        <v>3053</v>
      </c>
      <c r="D1419" t="s">
        <v>3054</v>
      </c>
      <c r="E1419" t="s">
        <v>23</v>
      </c>
      <c r="F1419" t="s">
        <v>3040</v>
      </c>
      <c r="G1419" s="3">
        <v>15.24</v>
      </c>
      <c r="H1419" s="3">
        <v>3.048</v>
      </c>
      <c r="I1419" s="3">
        <v>12.192</v>
      </c>
      <c r="J1419" s="3">
        <f>Table1[[#This Row],[قيمة الفاتورة]]*0.94-Table1[[#This Row],[قيمة المشاركة]]</f>
        <v>11.2776</v>
      </c>
      <c r="K1419">
        <v>11.268000000000001</v>
      </c>
      <c r="L1419" s="3">
        <f t="shared" si="22"/>
        <v>9.5999999999989427E-3</v>
      </c>
      <c r="M1419" t="s">
        <v>2930</v>
      </c>
      <c r="N1419" t="s">
        <v>328</v>
      </c>
    </row>
    <row r="1420" spans="1:14" x14ac:dyDescent="0.3">
      <c r="A1420">
        <v>245</v>
      </c>
      <c r="B1420" t="s">
        <v>3055</v>
      </c>
      <c r="C1420" t="s">
        <v>3056</v>
      </c>
      <c r="D1420" t="s">
        <v>3057</v>
      </c>
      <c r="E1420" t="s">
        <v>23</v>
      </c>
      <c r="F1420" t="s">
        <v>3040</v>
      </c>
      <c r="G1420" s="3">
        <v>46.57</v>
      </c>
      <c r="H1420" s="3">
        <v>9.3140000000000001</v>
      </c>
      <c r="I1420" s="3">
        <v>37.256</v>
      </c>
      <c r="J1420" s="3">
        <f>Table1[[#This Row],[قيمة الفاتورة]]*0.94-Table1[[#This Row],[قيمة المشاركة]]</f>
        <v>34.461799999999997</v>
      </c>
      <c r="K1420">
        <v>33.850999999999999</v>
      </c>
      <c r="L1420" s="3">
        <f t="shared" si="22"/>
        <v>0.61079999999999757</v>
      </c>
      <c r="M1420" t="s">
        <v>2930</v>
      </c>
      <c r="N1420" t="s">
        <v>328</v>
      </c>
    </row>
    <row r="1421" spans="1:14" x14ac:dyDescent="0.3">
      <c r="A1421">
        <v>1171</v>
      </c>
      <c r="B1421" t="s">
        <v>2291</v>
      </c>
      <c r="C1421" t="s">
        <v>2292</v>
      </c>
      <c r="D1421" t="s">
        <v>3058</v>
      </c>
      <c r="E1421" t="s">
        <v>23</v>
      </c>
      <c r="F1421" t="s">
        <v>3040</v>
      </c>
      <c r="G1421" s="3">
        <v>30.56</v>
      </c>
      <c r="H1421" s="3">
        <v>0</v>
      </c>
      <c r="I1421" s="3">
        <v>30.56</v>
      </c>
      <c r="J1421" s="3">
        <f>Table1[[#This Row],[قيمة الفاتورة]]*0.94-Table1[[#This Row],[قيمة المشاركة]]</f>
        <v>28.726399999999998</v>
      </c>
      <c r="K1421" s="3">
        <v>28.727</v>
      </c>
      <c r="L1421" s="3">
        <f t="shared" si="22"/>
        <v>-6.0000000000215437E-4</v>
      </c>
      <c r="M1421" s="6">
        <v>46183</v>
      </c>
      <c r="N1421" s="6" t="s">
        <v>19</v>
      </c>
    </row>
    <row r="1422" spans="1:14" x14ac:dyDescent="0.3">
      <c r="A1422">
        <v>1178</v>
      </c>
      <c r="B1422" t="s">
        <v>2870</v>
      </c>
      <c r="C1422" t="s">
        <v>3059</v>
      </c>
      <c r="D1422" t="s">
        <v>3060</v>
      </c>
      <c r="E1422" t="s">
        <v>23</v>
      </c>
      <c r="F1422" t="s">
        <v>3061</v>
      </c>
      <c r="G1422" s="3">
        <v>24.54</v>
      </c>
      <c r="H1422" s="3">
        <v>4.9080000000000004</v>
      </c>
      <c r="I1422" s="3">
        <v>19.632000000000001</v>
      </c>
      <c r="J1422" s="3">
        <f>Table1[[#This Row],[قيمة الفاتورة]]*0.94-Table1[[#This Row],[قيمة المشاركة]]</f>
        <v>18.159599999999998</v>
      </c>
      <c r="K1422">
        <v>18.16</v>
      </c>
      <c r="L1422" s="3">
        <f t="shared" si="22"/>
        <v>-4.0000000000262048E-4</v>
      </c>
      <c r="M1422" t="s">
        <v>2930</v>
      </c>
      <c r="N1422" t="s">
        <v>328</v>
      </c>
    </row>
    <row r="1423" spans="1:14" x14ac:dyDescent="0.3">
      <c r="A1423">
        <v>247</v>
      </c>
      <c r="B1423" t="s">
        <v>256</v>
      </c>
      <c r="C1423" t="s">
        <v>257</v>
      </c>
      <c r="D1423" t="s">
        <v>3062</v>
      </c>
      <c r="E1423" t="s">
        <v>23</v>
      </c>
      <c r="F1423" t="s">
        <v>3061</v>
      </c>
      <c r="G1423" s="3">
        <v>40.020000000000003</v>
      </c>
      <c r="H1423" s="3">
        <v>0</v>
      </c>
      <c r="I1423" s="3">
        <v>40.020000000000003</v>
      </c>
      <c r="J1423" s="3">
        <f>Table1[[#This Row],[قيمة الفاتورة]]*0.94-Table1[[#This Row],[قيمة المشاركة]]</f>
        <v>37.6188</v>
      </c>
      <c r="K1423">
        <v>37.619</v>
      </c>
      <c r="L1423" s="3">
        <f t="shared" si="22"/>
        <v>-1.9999999999953388E-4</v>
      </c>
      <c r="M1423" t="s">
        <v>2678</v>
      </c>
      <c r="N1423" t="s">
        <v>19</v>
      </c>
    </row>
    <row r="1424" spans="1:14" x14ac:dyDescent="0.3">
      <c r="A1424">
        <v>1176</v>
      </c>
      <c r="B1424" t="s">
        <v>3063</v>
      </c>
      <c r="C1424" t="s">
        <v>2131</v>
      </c>
      <c r="D1424" t="s">
        <v>3064</v>
      </c>
      <c r="E1424" t="s">
        <v>17</v>
      </c>
      <c r="F1424" t="s">
        <v>3061</v>
      </c>
      <c r="G1424" s="3">
        <v>7.76</v>
      </c>
      <c r="H1424" s="3">
        <v>0</v>
      </c>
      <c r="I1424" s="3">
        <v>7.76</v>
      </c>
      <c r="J1424" s="3">
        <f>Table1[[#This Row],[قيمة الفاتورة]]*0.94-Table1[[#This Row],[قيمة المشاركة]]</f>
        <v>7.2943999999999996</v>
      </c>
      <c r="K1424">
        <v>7.2939999999999996</v>
      </c>
      <c r="L1424" s="3">
        <f t="shared" si="22"/>
        <v>3.9999999999995595E-4</v>
      </c>
      <c r="M1424" t="s">
        <v>2678</v>
      </c>
      <c r="N1424" t="s">
        <v>19</v>
      </c>
    </row>
    <row r="1425" spans="1:14" x14ac:dyDescent="0.3">
      <c r="A1425">
        <v>248</v>
      </c>
      <c r="B1425" t="s">
        <v>2117</v>
      </c>
      <c r="C1425" t="s">
        <v>2118</v>
      </c>
      <c r="D1425" t="s">
        <v>3065</v>
      </c>
      <c r="E1425" t="s">
        <v>23</v>
      </c>
      <c r="F1425" t="s">
        <v>3061</v>
      </c>
      <c r="G1425" s="3">
        <v>4.5599999999999996</v>
      </c>
      <c r="H1425" s="3">
        <v>0</v>
      </c>
      <c r="I1425" s="3">
        <v>4.5599999999999996</v>
      </c>
      <c r="J1425" s="3">
        <f>Table1[[#This Row],[قيمة الفاتورة]]*0.94-Table1[[#This Row],[قيمة المشاركة]]</f>
        <v>4.2863999999999995</v>
      </c>
      <c r="K1425">
        <v>4.2859999999999996</v>
      </c>
      <c r="L1425" s="3">
        <f t="shared" si="22"/>
        <v>3.9999999999995595E-4</v>
      </c>
      <c r="M1425" t="s">
        <v>2678</v>
      </c>
      <c r="N1425" t="s">
        <v>19</v>
      </c>
    </row>
    <row r="1426" spans="1:14" x14ac:dyDescent="0.3">
      <c r="A1426">
        <v>1177</v>
      </c>
      <c r="B1426" t="s">
        <v>3066</v>
      </c>
      <c r="C1426" t="s">
        <v>797</v>
      </c>
      <c r="D1426" t="s">
        <v>3067</v>
      </c>
      <c r="E1426" t="s">
        <v>23</v>
      </c>
      <c r="F1426" t="s">
        <v>3061</v>
      </c>
      <c r="G1426" s="3">
        <v>42.94</v>
      </c>
      <c r="H1426" s="3">
        <v>8.5879999999999992</v>
      </c>
      <c r="I1426" s="3">
        <v>34.351999999999997</v>
      </c>
      <c r="J1426" s="3">
        <f>Table1[[#This Row],[قيمة الفاتورة]]*0.94-Table1[[#This Row],[قيمة المشاركة]]</f>
        <v>31.775599999999997</v>
      </c>
      <c r="K1426">
        <v>31.774999999999999</v>
      </c>
      <c r="L1426" s="3">
        <f t="shared" si="22"/>
        <v>5.9999999999860165E-4</v>
      </c>
      <c r="M1426" t="s">
        <v>2930</v>
      </c>
      <c r="N1426" t="s">
        <v>328</v>
      </c>
    </row>
    <row r="1427" spans="1:14" x14ac:dyDescent="0.3">
      <c r="A1427">
        <v>246</v>
      </c>
      <c r="B1427" t="s">
        <v>774</v>
      </c>
      <c r="C1427" t="s">
        <v>3068</v>
      </c>
      <c r="D1427" t="s">
        <v>3069</v>
      </c>
      <c r="E1427" t="s">
        <v>17</v>
      </c>
      <c r="F1427" t="s">
        <v>3061</v>
      </c>
      <c r="G1427" s="3">
        <v>22.9</v>
      </c>
      <c r="H1427" s="3">
        <v>0</v>
      </c>
      <c r="I1427" s="3">
        <v>22.9</v>
      </c>
      <c r="J1427" s="3">
        <f>Table1[[#This Row],[قيمة الفاتورة]]*0.94-Table1[[#This Row],[قيمة المشاركة]]</f>
        <v>21.525999999999996</v>
      </c>
      <c r="K1427">
        <v>21.271000000000001</v>
      </c>
      <c r="L1427" s="3">
        <f t="shared" si="22"/>
        <v>0.25499999999999545</v>
      </c>
      <c r="M1427" t="s">
        <v>2678</v>
      </c>
      <c r="N1427" t="s">
        <v>19</v>
      </c>
    </row>
    <row r="1428" spans="1:14" x14ac:dyDescent="0.3">
      <c r="A1428">
        <v>1179</v>
      </c>
      <c r="B1428" t="s">
        <v>3070</v>
      </c>
      <c r="C1428" t="s">
        <v>3071</v>
      </c>
      <c r="D1428" t="s">
        <v>3072</v>
      </c>
      <c r="E1428" t="s">
        <v>23</v>
      </c>
      <c r="F1428" t="s">
        <v>3073</v>
      </c>
      <c r="G1428" s="3">
        <v>20.25</v>
      </c>
      <c r="H1428" s="3">
        <v>0</v>
      </c>
      <c r="I1428" s="3">
        <v>20.25</v>
      </c>
      <c r="J1428" s="3">
        <f>Table1[[#This Row],[قيمة الفاتورة]]*0.94-Table1[[#This Row],[قيمة المشاركة]]</f>
        <v>19.035</v>
      </c>
      <c r="K1428">
        <v>19.035</v>
      </c>
      <c r="L1428" s="3">
        <f t="shared" si="22"/>
        <v>0</v>
      </c>
      <c r="M1428" t="s">
        <v>2678</v>
      </c>
      <c r="N1428" t="s">
        <v>19</v>
      </c>
    </row>
    <row r="1429" spans="1:14" x14ac:dyDescent="0.3">
      <c r="A1429">
        <v>1180</v>
      </c>
      <c r="B1429" t="s">
        <v>72</v>
      </c>
      <c r="C1429" t="s">
        <v>3074</v>
      </c>
      <c r="D1429" t="s">
        <v>3075</v>
      </c>
      <c r="E1429" t="s">
        <v>23</v>
      </c>
      <c r="F1429" t="s">
        <v>3073</v>
      </c>
      <c r="G1429" s="3">
        <v>8.3000000000000007</v>
      </c>
      <c r="H1429" s="3">
        <v>0</v>
      </c>
      <c r="I1429" s="3">
        <v>8.3000000000000007</v>
      </c>
      <c r="J1429" s="3">
        <f>Table1[[#This Row],[قيمة الفاتورة]]*0.94-Table1[[#This Row],[قيمة المشاركة]]</f>
        <v>7.8020000000000005</v>
      </c>
      <c r="K1429">
        <v>7.8019999999999996</v>
      </c>
      <c r="L1429" s="3">
        <f t="shared" si="22"/>
        <v>8.8817841970012523E-16</v>
      </c>
      <c r="M1429" t="s">
        <v>2678</v>
      </c>
      <c r="N1429" t="s">
        <v>19</v>
      </c>
    </row>
    <row r="1430" spans="1:14" x14ac:dyDescent="0.3">
      <c r="A1430">
        <v>1181</v>
      </c>
      <c r="B1430" t="s">
        <v>3043</v>
      </c>
      <c r="C1430" t="s">
        <v>1519</v>
      </c>
      <c r="D1430" t="s">
        <v>3076</v>
      </c>
      <c r="E1430" t="s">
        <v>23</v>
      </c>
      <c r="F1430" t="s">
        <v>3073</v>
      </c>
      <c r="G1430" s="3">
        <v>14.58</v>
      </c>
      <c r="H1430" s="3">
        <v>0</v>
      </c>
      <c r="I1430" s="3">
        <v>14.58</v>
      </c>
      <c r="J1430" s="3">
        <f>Table1[[#This Row],[قيمة الفاتورة]]*0.94-Table1[[#This Row],[قيمة المشاركة]]</f>
        <v>13.7052</v>
      </c>
      <c r="K1430">
        <v>13.705</v>
      </c>
      <c r="L1430" s="3">
        <f t="shared" si="22"/>
        <v>1.9999999999953388E-4</v>
      </c>
      <c r="M1430" t="s">
        <v>2678</v>
      </c>
      <c r="N1430" t="s">
        <v>19</v>
      </c>
    </row>
    <row r="1431" spans="1:14" x14ac:dyDescent="0.3">
      <c r="A1431">
        <v>1183</v>
      </c>
      <c r="B1431" t="s">
        <v>851</v>
      </c>
      <c r="C1431" t="s">
        <v>879</v>
      </c>
      <c r="D1431" t="s">
        <v>3077</v>
      </c>
      <c r="E1431" t="s">
        <v>23</v>
      </c>
      <c r="F1431" t="s">
        <v>3078</v>
      </c>
      <c r="G1431" s="3">
        <v>26.2</v>
      </c>
      <c r="H1431" s="3">
        <v>0</v>
      </c>
      <c r="I1431" s="3">
        <v>26.2</v>
      </c>
      <c r="J1431" s="3">
        <f>Table1[[#This Row],[قيمة الفاتورة]]*0.94-Table1[[#This Row],[قيمة المشاركة]]</f>
        <v>24.627999999999997</v>
      </c>
      <c r="K1431">
        <v>24.617999999999999</v>
      </c>
      <c r="L1431" s="3">
        <f t="shared" si="22"/>
        <v>9.9999999999980105E-3</v>
      </c>
      <c r="M1431" t="s">
        <v>2678</v>
      </c>
      <c r="N1431" t="s">
        <v>19</v>
      </c>
    </row>
    <row r="1432" spans="1:14" x14ac:dyDescent="0.3">
      <c r="A1432">
        <v>1182</v>
      </c>
      <c r="B1432" t="s">
        <v>2610</v>
      </c>
      <c r="C1432" t="s">
        <v>2611</v>
      </c>
      <c r="D1432" t="s">
        <v>3079</v>
      </c>
      <c r="E1432" t="s">
        <v>23</v>
      </c>
      <c r="F1432" t="s">
        <v>3078</v>
      </c>
      <c r="G1432" s="3">
        <v>22.87</v>
      </c>
      <c r="H1432" s="3">
        <v>0</v>
      </c>
      <c r="I1432" s="3">
        <v>22.87</v>
      </c>
      <c r="J1432" s="3">
        <f>Table1[[#This Row],[قيمة الفاتورة]]*0.94-Table1[[#This Row],[قيمة المشاركة]]</f>
        <v>21.497799999999998</v>
      </c>
      <c r="K1432">
        <v>21.47</v>
      </c>
      <c r="L1432" s="3">
        <f t="shared" si="22"/>
        <v>2.7799999999999159E-2</v>
      </c>
      <c r="M1432" t="s">
        <v>2678</v>
      </c>
      <c r="N1432" t="s">
        <v>19</v>
      </c>
    </row>
    <row r="1433" spans="1:14" x14ac:dyDescent="0.3">
      <c r="A1433">
        <v>249</v>
      </c>
      <c r="B1433" t="s">
        <v>1926</v>
      </c>
      <c r="C1433" t="s">
        <v>3080</v>
      </c>
      <c r="D1433" t="s">
        <v>3081</v>
      </c>
      <c r="E1433" t="s">
        <v>17</v>
      </c>
      <c r="F1433" t="s">
        <v>3078</v>
      </c>
      <c r="G1433" s="3">
        <v>22.52</v>
      </c>
      <c r="H1433" s="3">
        <v>0</v>
      </c>
      <c r="I1433" s="3">
        <v>22.52</v>
      </c>
      <c r="J1433" s="3">
        <f>Table1[[#This Row],[قيمة الفاتورة]]*0.94-Table1[[#This Row],[قيمة المشاركة]]</f>
        <v>21.168799999999997</v>
      </c>
      <c r="K1433">
        <v>20.876999999999999</v>
      </c>
      <c r="L1433" s="3">
        <f t="shared" si="22"/>
        <v>0.29179999999999851</v>
      </c>
      <c r="M1433" t="s">
        <v>2678</v>
      </c>
      <c r="N1433" t="s">
        <v>19</v>
      </c>
    </row>
    <row r="1434" spans="1:14" x14ac:dyDescent="0.3">
      <c r="A1434">
        <v>1184</v>
      </c>
      <c r="B1434" t="s">
        <v>917</v>
      </c>
      <c r="C1434" t="s">
        <v>918</v>
      </c>
      <c r="D1434" t="s">
        <v>3082</v>
      </c>
      <c r="E1434" t="s">
        <v>23</v>
      </c>
      <c r="F1434" t="s">
        <v>3078</v>
      </c>
      <c r="G1434" s="3">
        <v>13.14</v>
      </c>
      <c r="H1434" s="3">
        <v>0</v>
      </c>
      <c r="I1434" s="3">
        <v>13.14</v>
      </c>
      <c r="J1434" s="3">
        <f>Table1[[#This Row],[قيمة الفاتورة]]*0.94-Table1[[#This Row],[قيمة المشاركة]]</f>
        <v>12.351599999999999</v>
      </c>
      <c r="K1434">
        <v>10.471</v>
      </c>
      <c r="L1434" s="3">
        <f t="shared" si="22"/>
        <v>1.8805999999999994</v>
      </c>
      <c r="M1434" t="s">
        <v>2678</v>
      </c>
      <c r="N1434" t="s">
        <v>19</v>
      </c>
    </row>
    <row r="1435" spans="1:14" x14ac:dyDescent="0.3">
      <c r="A1435">
        <v>251</v>
      </c>
      <c r="B1435" t="s">
        <v>917</v>
      </c>
      <c r="C1435" t="s">
        <v>918</v>
      </c>
      <c r="D1435" t="s">
        <v>3083</v>
      </c>
      <c r="E1435" t="s">
        <v>23</v>
      </c>
      <c r="F1435" t="s">
        <v>3084</v>
      </c>
      <c r="G1435" s="3">
        <v>10.19</v>
      </c>
      <c r="H1435" s="3">
        <v>0</v>
      </c>
      <c r="I1435" s="3">
        <v>10.19</v>
      </c>
      <c r="J1435" s="3">
        <f>Table1[[#This Row],[قيمة الفاتورة]]*0.94-Table1[[#This Row],[قيمة المشاركة]]</f>
        <v>9.5785999999999998</v>
      </c>
      <c r="K1435">
        <v>9.5779999999999994</v>
      </c>
      <c r="L1435" s="3">
        <f t="shared" si="22"/>
        <v>6.0000000000037801E-4</v>
      </c>
      <c r="M1435" t="s">
        <v>2678</v>
      </c>
      <c r="N1435" t="s">
        <v>19</v>
      </c>
    </row>
    <row r="1436" spans="1:14" x14ac:dyDescent="0.3">
      <c r="A1436">
        <v>1185</v>
      </c>
      <c r="B1436" t="s">
        <v>1542</v>
      </c>
      <c r="C1436" t="s">
        <v>1543</v>
      </c>
      <c r="D1436" t="s">
        <v>3085</v>
      </c>
      <c r="E1436" t="s">
        <v>23</v>
      </c>
      <c r="F1436" t="s">
        <v>3084</v>
      </c>
      <c r="G1436" s="3">
        <v>28.23</v>
      </c>
      <c r="H1436" s="3">
        <v>4.234</v>
      </c>
      <c r="I1436" s="3">
        <v>23.995999999999999</v>
      </c>
      <c r="J1436" s="3">
        <f>Table1[[#This Row],[قيمة الفاتورة]]*0.94-Table1[[#This Row],[قيمة المشاركة]]</f>
        <v>22.302199999999999</v>
      </c>
      <c r="K1436">
        <v>22.300999999999998</v>
      </c>
      <c r="L1436" s="3">
        <f t="shared" si="22"/>
        <v>1.200000000000756E-3</v>
      </c>
      <c r="M1436" t="s">
        <v>2678</v>
      </c>
      <c r="N1436" t="s">
        <v>19</v>
      </c>
    </row>
    <row r="1437" spans="1:14" x14ac:dyDescent="0.3">
      <c r="A1437">
        <v>250</v>
      </c>
      <c r="B1437" t="s">
        <v>2823</v>
      </c>
      <c r="C1437" t="s">
        <v>2824</v>
      </c>
      <c r="D1437" t="s">
        <v>3086</v>
      </c>
      <c r="E1437" t="s">
        <v>23</v>
      </c>
      <c r="F1437" t="s">
        <v>3084</v>
      </c>
      <c r="G1437" s="3">
        <v>9.2100000000000009</v>
      </c>
      <c r="H1437" s="3">
        <v>0</v>
      </c>
      <c r="I1437" s="3">
        <v>9.2100000000000009</v>
      </c>
      <c r="J1437" s="3">
        <f>Table1[[#This Row],[قيمة الفاتورة]]*0.94-Table1[[#This Row],[قيمة المشاركة]]</f>
        <v>8.6574000000000009</v>
      </c>
      <c r="K1437">
        <v>8.6560000000000006</v>
      </c>
      <c r="L1437" s="3">
        <f t="shared" si="22"/>
        <v>1.4000000000002899E-3</v>
      </c>
      <c r="M1437" t="s">
        <v>2678</v>
      </c>
      <c r="N1437" t="s">
        <v>19</v>
      </c>
    </row>
    <row r="1438" spans="1:14" x14ac:dyDescent="0.3">
      <c r="A1438">
        <v>1189</v>
      </c>
      <c r="B1438" t="s">
        <v>3087</v>
      </c>
      <c r="C1438" t="s">
        <v>682</v>
      </c>
      <c r="D1438" t="s">
        <v>3088</v>
      </c>
      <c r="E1438" t="s">
        <v>17</v>
      </c>
      <c r="F1438" t="s">
        <v>3089</v>
      </c>
      <c r="G1438" s="3">
        <v>26.02</v>
      </c>
      <c r="H1438" s="3">
        <v>5.2039999999999997</v>
      </c>
      <c r="I1438" s="3">
        <v>20.815999999999999</v>
      </c>
      <c r="J1438" s="3">
        <f>Table1[[#This Row],[قيمة الفاتورة]]*0.94-Table1[[#This Row],[قيمة المشاركة]]</f>
        <v>19.254799999999996</v>
      </c>
      <c r="K1438">
        <v>19.628</v>
      </c>
      <c r="L1438" s="3">
        <f t="shared" si="22"/>
        <v>-0.3732000000000042</v>
      </c>
      <c r="M1438" t="s">
        <v>2930</v>
      </c>
      <c r="N1438" t="s">
        <v>328</v>
      </c>
    </row>
    <row r="1439" spans="1:14" x14ac:dyDescent="0.3">
      <c r="A1439">
        <v>252</v>
      </c>
      <c r="B1439" t="s">
        <v>920</v>
      </c>
      <c r="C1439" t="s">
        <v>921</v>
      </c>
      <c r="D1439" t="s">
        <v>3090</v>
      </c>
      <c r="E1439" t="s">
        <v>23</v>
      </c>
      <c r="F1439" t="s">
        <v>3089</v>
      </c>
      <c r="G1439" s="3">
        <v>23.42</v>
      </c>
      <c r="H1439" s="3">
        <v>0</v>
      </c>
      <c r="I1439" s="3">
        <v>23.42</v>
      </c>
      <c r="J1439" s="3">
        <f>Table1[[#This Row],[قيمة الفاتورة]]*0.94-Table1[[#This Row],[قيمة المشاركة]]</f>
        <v>22.014800000000001</v>
      </c>
      <c r="K1439">
        <v>22.015000000000001</v>
      </c>
      <c r="L1439" s="3">
        <f t="shared" si="22"/>
        <v>-1.9999999999953388E-4</v>
      </c>
      <c r="M1439" t="s">
        <v>2678</v>
      </c>
      <c r="N1439" t="s">
        <v>19</v>
      </c>
    </row>
    <row r="1440" spans="1:14" x14ac:dyDescent="0.3">
      <c r="A1440">
        <v>1186</v>
      </c>
      <c r="B1440" t="s">
        <v>3091</v>
      </c>
      <c r="C1440" t="s">
        <v>3092</v>
      </c>
      <c r="D1440" t="s">
        <v>3093</v>
      </c>
      <c r="E1440" t="s">
        <v>23</v>
      </c>
      <c r="F1440" t="s">
        <v>3089</v>
      </c>
      <c r="G1440" s="3">
        <v>31.15</v>
      </c>
      <c r="H1440" s="3">
        <v>0</v>
      </c>
      <c r="I1440" s="3">
        <v>31.15</v>
      </c>
      <c r="J1440" s="3">
        <f>Table1[[#This Row],[قيمة الفاتورة]]*0.94-Table1[[#This Row],[قيمة المشاركة]]</f>
        <v>29.280999999999995</v>
      </c>
      <c r="K1440">
        <v>29.280999999999999</v>
      </c>
      <c r="L1440" s="3">
        <f t="shared" si="22"/>
        <v>-3.5527136788005009E-15</v>
      </c>
      <c r="M1440" t="s">
        <v>2678</v>
      </c>
      <c r="N1440" t="s">
        <v>19</v>
      </c>
    </row>
    <row r="1441" spans="1:14" x14ac:dyDescent="0.3">
      <c r="A1441">
        <v>253</v>
      </c>
      <c r="B1441" t="s">
        <v>3094</v>
      </c>
      <c r="C1441" t="s">
        <v>3095</v>
      </c>
      <c r="D1441" t="s">
        <v>3096</v>
      </c>
      <c r="E1441" t="s">
        <v>23</v>
      </c>
      <c r="F1441" t="s">
        <v>3089</v>
      </c>
      <c r="G1441" s="3">
        <v>6.35</v>
      </c>
      <c r="H1441" s="3">
        <v>0.95199999999999996</v>
      </c>
      <c r="I1441" s="3">
        <v>5.3979999999999997</v>
      </c>
      <c r="J1441" s="3">
        <f>Table1[[#This Row],[قيمة الفاتورة]]*0.94-Table1[[#This Row],[قيمة المشاركة]]</f>
        <v>5.0169999999999995</v>
      </c>
      <c r="K1441">
        <v>5.0170000000000003</v>
      </c>
      <c r="L1441" s="3">
        <f t="shared" si="22"/>
        <v>-8.8817841970012523E-16</v>
      </c>
      <c r="M1441" t="s">
        <v>2678</v>
      </c>
      <c r="N1441" t="s">
        <v>19</v>
      </c>
    </row>
    <row r="1442" spans="1:14" x14ac:dyDescent="0.3">
      <c r="A1442">
        <v>1190</v>
      </c>
      <c r="B1442" t="s">
        <v>3097</v>
      </c>
      <c r="C1442" t="s">
        <v>3098</v>
      </c>
      <c r="D1442" t="s">
        <v>3099</v>
      </c>
      <c r="E1442" t="s">
        <v>17</v>
      </c>
      <c r="F1442" t="s">
        <v>3089</v>
      </c>
      <c r="G1442" s="3">
        <v>20.98</v>
      </c>
      <c r="H1442" s="3">
        <v>4.1959999999999997</v>
      </c>
      <c r="I1442" s="3">
        <v>16.783999999999999</v>
      </c>
      <c r="J1442" s="3">
        <f>Table1[[#This Row],[قيمة الفاتورة]]*0.94-Table1[[#This Row],[قيمة المشاركة]]</f>
        <v>15.5252</v>
      </c>
      <c r="K1442">
        <v>15.525</v>
      </c>
      <c r="L1442" s="3">
        <f t="shared" si="22"/>
        <v>1.9999999999953388E-4</v>
      </c>
      <c r="M1442" t="s">
        <v>2930</v>
      </c>
      <c r="N1442" t="s">
        <v>328</v>
      </c>
    </row>
    <row r="1443" spans="1:14" x14ac:dyDescent="0.3">
      <c r="A1443">
        <v>1187</v>
      </c>
      <c r="B1443" t="s">
        <v>2720</v>
      </c>
      <c r="C1443" t="s">
        <v>2721</v>
      </c>
      <c r="D1443" t="s">
        <v>3100</v>
      </c>
      <c r="E1443" t="s">
        <v>23</v>
      </c>
      <c r="F1443" t="s">
        <v>3089</v>
      </c>
      <c r="G1443" s="3">
        <v>35.090000000000003</v>
      </c>
      <c r="H1443" s="3">
        <v>0</v>
      </c>
      <c r="I1443" s="3">
        <v>35.090000000000003</v>
      </c>
      <c r="J1443" s="3">
        <f>Table1[[#This Row],[قيمة الفاتورة]]*0.94-Table1[[#This Row],[قيمة المشاركة]]</f>
        <v>32.9846</v>
      </c>
      <c r="K1443">
        <v>32.984000000000002</v>
      </c>
      <c r="L1443" s="3">
        <f t="shared" si="22"/>
        <v>5.9999999999860165E-4</v>
      </c>
      <c r="M1443" t="s">
        <v>2678</v>
      </c>
      <c r="N1443" t="s">
        <v>19</v>
      </c>
    </row>
    <row r="1444" spans="1:14" x14ac:dyDescent="0.3">
      <c r="A1444">
        <v>1188</v>
      </c>
      <c r="B1444" t="s">
        <v>3101</v>
      </c>
      <c r="C1444" t="s">
        <v>2049</v>
      </c>
      <c r="D1444" t="s">
        <v>3102</v>
      </c>
      <c r="E1444" t="s">
        <v>23</v>
      </c>
      <c r="F1444" t="s">
        <v>3089</v>
      </c>
      <c r="G1444" s="3">
        <v>28.83</v>
      </c>
      <c r="H1444" s="3">
        <v>2.883</v>
      </c>
      <c r="I1444" s="3">
        <v>25.946999999999999</v>
      </c>
      <c r="J1444" s="3">
        <f>Table1[[#This Row],[قيمة الفاتورة]]*0.94-Table1[[#This Row],[قيمة المشاركة]]</f>
        <v>24.217199999999998</v>
      </c>
      <c r="K1444">
        <v>23.82</v>
      </c>
      <c r="L1444" s="3">
        <f t="shared" si="22"/>
        <v>0.397199999999998</v>
      </c>
      <c r="M1444" t="s">
        <v>2930</v>
      </c>
      <c r="N1444" t="s">
        <v>328</v>
      </c>
    </row>
    <row r="1445" spans="1:14" x14ac:dyDescent="0.3">
      <c r="A1445">
        <v>1191</v>
      </c>
      <c r="B1445" t="s">
        <v>414</v>
      </c>
      <c r="C1445" t="s">
        <v>415</v>
      </c>
      <c r="D1445" t="s">
        <v>3103</v>
      </c>
      <c r="E1445" t="s">
        <v>23</v>
      </c>
      <c r="F1445" t="s">
        <v>3104</v>
      </c>
      <c r="G1445" s="3">
        <v>26.22</v>
      </c>
      <c r="H1445" s="3">
        <v>0</v>
      </c>
      <c r="I1445" s="3">
        <v>26.22</v>
      </c>
      <c r="J1445" s="3">
        <f>Table1[[#This Row],[قيمة الفاتورة]]*0.94-Table1[[#This Row],[قيمة المشاركة]]</f>
        <v>24.646799999999999</v>
      </c>
      <c r="K1445">
        <v>19.983000000000001</v>
      </c>
      <c r="L1445" s="3">
        <f t="shared" si="22"/>
        <v>4.6637999999999984</v>
      </c>
      <c r="M1445" t="s">
        <v>2678</v>
      </c>
      <c r="N1445" t="s">
        <v>19</v>
      </c>
    </row>
    <row r="1446" spans="1:14" x14ac:dyDescent="0.3">
      <c r="A1446">
        <v>1196</v>
      </c>
      <c r="B1446" t="s">
        <v>3105</v>
      </c>
      <c r="C1446" t="s">
        <v>3106</v>
      </c>
      <c r="D1446" t="s">
        <v>3107</v>
      </c>
      <c r="E1446" t="s">
        <v>23</v>
      </c>
      <c r="F1446" t="s">
        <v>3108</v>
      </c>
      <c r="G1446" s="3">
        <v>36.57</v>
      </c>
      <c r="H1446" s="3">
        <v>7.3140000000000001</v>
      </c>
      <c r="I1446" s="3">
        <v>29.256</v>
      </c>
      <c r="J1446" s="3">
        <f>Table1[[#This Row],[قيمة الفاتورة]]*0.94-Table1[[#This Row],[قيمة المشاركة]]</f>
        <v>27.061799999999998</v>
      </c>
      <c r="K1446">
        <v>27.085000000000001</v>
      </c>
      <c r="L1446" s="3">
        <f t="shared" si="22"/>
        <v>-2.3200000000002774E-2</v>
      </c>
      <c r="M1446" t="s">
        <v>2930</v>
      </c>
      <c r="N1446" t="s">
        <v>328</v>
      </c>
    </row>
    <row r="1447" spans="1:14" x14ac:dyDescent="0.3">
      <c r="A1447">
        <v>256</v>
      </c>
      <c r="B1447" t="s">
        <v>190</v>
      </c>
      <c r="C1447" t="s">
        <v>191</v>
      </c>
      <c r="D1447" t="s">
        <v>3109</v>
      </c>
      <c r="E1447" t="s">
        <v>23</v>
      </c>
      <c r="F1447" t="s">
        <v>3108</v>
      </c>
      <c r="G1447" s="3">
        <v>33.19</v>
      </c>
      <c r="H1447" s="3">
        <v>0</v>
      </c>
      <c r="I1447" s="3">
        <v>33.19</v>
      </c>
      <c r="J1447" s="3">
        <f>Table1[[#This Row],[قيمة الفاتورة]]*0.94-Table1[[#This Row],[قيمة المشاركة]]</f>
        <v>31.198599999999995</v>
      </c>
      <c r="K1447">
        <v>31.199000000000002</v>
      </c>
      <c r="L1447" s="3">
        <f t="shared" si="22"/>
        <v>-4.000000000061732E-4</v>
      </c>
      <c r="M1447" t="s">
        <v>2678</v>
      </c>
      <c r="N1447" t="s">
        <v>19</v>
      </c>
    </row>
    <row r="1448" spans="1:14" x14ac:dyDescent="0.3">
      <c r="A1448">
        <v>1195</v>
      </c>
      <c r="B1448" t="s">
        <v>2484</v>
      </c>
      <c r="C1448" t="s">
        <v>2485</v>
      </c>
      <c r="D1448" t="s">
        <v>3110</v>
      </c>
      <c r="E1448" t="s">
        <v>17</v>
      </c>
      <c r="F1448" t="s">
        <v>3108</v>
      </c>
      <c r="G1448" s="3">
        <v>12.25</v>
      </c>
      <c r="H1448" s="3">
        <v>0</v>
      </c>
      <c r="I1448" s="3">
        <v>12.25</v>
      </c>
      <c r="J1448" s="3">
        <f>Table1[[#This Row],[قيمة الفاتورة]]*0.94-Table1[[#This Row],[قيمة المشاركة]]</f>
        <v>11.514999999999999</v>
      </c>
      <c r="K1448">
        <v>11.515000000000001</v>
      </c>
      <c r="L1448" s="3">
        <f t="shared" si="22"/>
        <v>-1.7763568394002505E-15</v>
      </c>
      <c r="M1448" t="s">
        <v>2678</v>
      </c>
      <c r="N1448" t="s">
        <v>19</v>
      </c>
    </row>
    <row r="1449" spans="1:14" x14ac:dyDescent="0.3">
      <c r="A1449">
        <v>1193</v>
      </c>
      <c r="B1449" t="s">
        <v>2224</v>
      </c>
      <c r="C1449" t="s">
        <v>2225</v>
      </c>
      <c r="D1449" t="s">
        <v>3111</v>
      </c>
      <c r="E1449" t="s">
        <v>23</v>
      </c>
      <c r="F1449" t="s">
        <v>3108</v>
      </c>
      <c r="G1449" s="3">
        <v>1.6</v>
      </c>
      <c r="H1449" s="3">
        <v>0</v>
      </c>
      <c r="I1449" s="3">
        <v>1.6</v>
      </c>
      <c r="J1449" s="3">
        <f>Table1[[#This Row],[قيمة الفاتورة]]*0.94-Table1[[#This Row],[قيمة المشاركة]]</f>
        <v>1.504</v>
      </c>
      <c r="K1449">
        <v>1.504</v>
      </c>
      <c r="L1449" s="3">
        <f t="shared" si="22"/>
        <v>0</v>
      </c>
      <c r="M1449" t="s">
        <v>2678</v>
      </c>
      <c r="N1449" t="s">
        <v>19</v>
      </c>
    </row>
    <row r="1450" spans="1:14" x14ac:dyDescent="0.3">
      <c r="A1450">
        <v>255</v>
      </c>
      <c r="B1450" t="s">
        <v>1539</v>
      </c>
      <c r="C1450" t="s">
        <v>3112</v>
      </c>
      <c r="D1450" t="s">
        <v>3113</v>
      </c>
      <c r="E1450" t="s">
        <v>23</v>
      </c>
      <c r="F1450" t="s">
        <v>3108</v>
      </c>
      <c r="G1450" s="3">
        <v>19.309999999999999</v>
      </c>
      <c r="H1450" s="3">
        <v>0</v>
      </c>
      <c r="I1450" s="3">
        <v>19.309999999999999</v>
      </c>
      <c r="J1450" s="3">
        <f>Table1[[#This Row],[قيمة الفاتورة]]*0.94-Table1[[#This Row],[قيمة المشاركة]]</f>
        <v>18.151399999999999</v>
      </c>
      <c r="K1450">
        <v>18.151</v>
      </c>
      <c r="L1450" s="3">
        <f t="shared" si="22"/>
        <v>3.9999999999906777E-4</v>
      </c>
      <c r="M1450" t="s">
        <v>2678</v>
      </c>
      <c r="N1450" t="s">
        <v>19</v>
      </c>
    </row>
    <row r="1451" spans="1:14" x14ac:dyDescent="0.3">
      <c r="A1451">
        <v>254</v>
      </c>
      <c r="B1451" t="s">
        <v>2224</v>
      </c>
      <c r="C1451" t="s">
        <v>2225</v>
      </c>
      <c r="D1451" t="s">
        <v>3111</v>
      </c>
      <c r="E1451" t="s">
        <v>23</v>
      </c>
      <c r="F1451" t="s">
        <v>3108</v>
      </c>
      <c r="G1451" s="3">
        <v>24.26</v>
      </c>
      <c r="H1451" s="3">
        <v>0</v>
      </c>
      <c r="I1451" s="3">
        <v>24.26</v>
      </c>
      <c r="J1451" s="3">
        <f>Table1[[#This Row],[قيمة الفاتورة]]*0.94-Table1[[#This Row],[قيمة المشاركة]]</f>
        <v>22.804400000000001</v>
      </c>
      <c r="K1451">
        <v>22.803999999999998</v>
      </c>
      <c r="L1451" s="3">
        <f t="shared" si="22"/>
        <v>4.0000000000262048E-4</v>
      </c>
      <c r="M1451" t="s">
        <v>2678</v>
      </c>
      <c r="N1451" t="s">
        <v>19</v>
      </c>
    </row>
    <row r="1452" spans="1:14" x14ac:dyDescent="0.3">
      <c r="A1452">
        <v>1197</v>
      </c>
      <c r="B1452" t="s">
        <v>3114</v>
      </c>
      <c r="C1452" t="s">
        <v>3115</v>
      </c>
      <c r="D1452" t="s">
        <v>3116</v>
      </c>
      <c r="E1452" t="s">
        <v>17</v>
      </c>
      <c r="F1452" t="s">
        <v>3108</v>
      </c>
      <c r="G1452" s="3">
        <v>31.31</v>
      </c>
      <c r="H1452" s="3">
        <v>6.2619999999999996</v>
      </c>
      <c r="I1452" s="3">
        <v>25.047999999999998</v>
      </c>
      <c r="J1452" s="3">
        <f>Table1[[#This Row],[قيمة الفاتورة]]*0.94-Table1[[#This Row],[قيمة المشاركة]]</f>
        <v>23.169399999999996</v>
      </c>
      <c r="K1452">
        <v>21.308</v>
      </c>
      <c r="L1452" s="3">
        <f t="shared" si="22"/>
        <v>1.8613999999999962</v>
      </c>
      <c r="M1452" t="s">
        <v>2930</v>
      </c>
      <c r="N1452" t="s">
        <v>328</v>
      </c>
    </row>
    <row r="1453" spans="1:14" x14ac:dyDescent="0.3">
      <c r="A1453">
        <v>1192</v>
      </c>
      <c r="B1453" t="s">
        <v>3117</v>
      </c>
      <c r="C1453" t="s">
        <v>3118</v>
      </c>
      <c r="D1453" t="s">
        <v>3119</v>
      </c>
      <c r="E1453" t="s">
        <v>17</v>
      </c>
      <c r="F1453" t="s">
        <v>3108</v>
      </c>
      <c r="G1453" s="3">
        <v>20.37</v>
      </c>
      <c r="H1453" s="3">
        <v>3.0550000000000002</v>
      </c>
      <c r="I1453" s="3">
        <v>17.315000000000001</v>
      </c>
      <c r="J1453" s="3">
        <f>Table1[[#This Row],[قيمة الفاتورة]]*0.94-Table1[[#This Row],[قيمة المشاركة]]</f>
        <v>16.0928</v>
      </c>
      <c r="L1453" s="3" t="str">
        <f t="shared" si="22"/>
        <v/>
      </c>
      <c r="N1453" t="s">
        <v>19</v>
      </c>
    </row>
    <row r="1454" spans="1:14" x14ac:dyDescent="0.3">
      <c r="A1454">
        <v>1194</v>
      </c>
      <c r="B1454" t="s">
        <v>3036</v>
      </c>
      <c r="C1454" t="s">
        <v>3037</v>
      </c>
      <c r="D1454" t="s">
        <v>3120</v>
      </c>
      <c r="E1454" t="s">
        <v>17</v>
      </c>
      <c r="F1454" t="s">
        <v>3108</v>
      </c>
      <c r="G1454" s="3">
        <v>19.850000000000001</v>
      </c>
      <c r="H1454" s="3">
        <v>3.97</v>
      </c>
      <c r="I1454" s="3">
        <v>15.88</v>
      </c>
      <c r="J1454" s="3">
        <f>Table1[[#This Row],[قيمة الفاتورة]]*0.94-Table1[[#This Row],[قيمة المشاركة]]</f>
        <v>14.688999999999998</v>
      </c>
      <c r="L1454" s="3" t="str">
        <f t="shared" si="22"/>
        <v/>
      </c>
      <c r="N1454" t="s">
        <v>328</v>
      </c>
    </row>
    <row r="1455" spans="1:14" x14ac:dyDescent="0.3">
      <c r="A1455">
        <v>1201</v>
      </c>
      <c r="B1455" t="s">
        <v>1846</v>
      </c>
      <c r="C1455" t="s">
        <v>1867</v>
      </c>
      <c r="D1455" t="s">
        <v>3121</v>
      </c>
      <c r="E1455" t="s">
        <v>17</v>
      </c>
      <c r="F1455" t="s">
        <v>3122</v>
      </c>
      <c r="G1455" s="3">
        <v>23.24</v>
      </c>
      <c r="H1455" s="3">
        <v>0</v>
      </c>
      <c r="I1455" s="3">
        <v>23.24</v>
      </c>
      <c r="J1455" s="3">
        <f>Table1[[#This Row],[قيمة الفاتورة]]*0.94-Table1[[#This Row],[قيمة المشاركة]]</f>
        <v>21.845599999999997</v>
      </c>
      <c r="K1455">
        <v>21.846</v>
      </c>
      <c r="L1455" s="3">
        <f t="shared" si="22"/>
        <v>-4.0000000000262048E-4</v>
      </c>
      <c r="M1455" t="s">
        <v>2678</v>
      </c>
      <c r="N1455" t="s">
        <v>19</v>
      </c>
    </row>
    <row r="1456" spans="1:14" x14ac:dyDescent="0.3">
      <c r="A1456">
        <v>1200</v>
      </c>
      <c r="B1456" t="s">
        <v>556</v>
      </c>
      <c r="C1456" t="s">
        <v>557</v>
      </c>
      <c r="D1456" t="s">
        <v>3123</v>
      </c>
      <c r="E1456" t="s">
        <v>17</v>
      </c>
      <c r="F1456" t="s">
        <v>3122</v>
      </c>
      <c r="G1456" s="3">
        <v>21.29</v>
      </c>
      <c r="H1456" s="3">
        <v>0</v>
      </c>
      <c r="I1456" s="3">
        <v>21.29</v>
      </c>
      <c r="J1456" s="3">
        <f>Table1[[#This Row],[قيمة الفاتورة]]*0.94-Table1[[#This Row],[قيمة المشاركة]]</f>
        <v>20.012599999999999</v>
      </c>
      <c r="K1456">
        <v>20.012</v>
      </c>
      <c r="L1456" s="3">
        <f t="shared" si="22"/>
        <v>5.9999999999860165E-4</v>
      </c>
      <c r="M1456" t="s">
        <v>2678</v>
      </c>
      <c r="N1456" t="s">
        <v>19</v>
      </c>
    </row>
    <row r="1457" spans="1:14" x14ac:dyDescent="0.3">
      <c r="A1457">
        <v>1199</v>
      </c>
      <c r="B1457" t="s">
        <v>3124</v>
      </c>
      <c r="C1457" t="s">
        <v>3125</v>
      </c>
      <c r="D1457" t="s">
        <v>539</v>
      </c>
      <c r="E1457" t="s">
        <v>23</v>
      </c>
      <c r="F1457" t="s">
        <v>3122</v>
      </c>
      <c r="G1457" s="3">
        <v>19.05</v>
      </c>
      <c r="H1457" s="3">
        <v>0</v>
      </c>
      <c r="I1457" s="3">
        <v>19.05</v>
      </c>
      <c r="J1457" s="3">
        <f>Table1[[#This Row],[قيمة الفاتورة]]*0.94-Table1[[#This Row],[قيمة المشاركة]]</f>
        <v>17.907</v>
      </c>
      <c r="K1457">
        <v>17.832000000000001</v>
      </c>
      <c r="L1457" s="3">
        <f t="shared" si="22"/>
        <v>7.4999999999999289E-2</v>
      </c>
      <c r="M1457" t="s">
        <v>2678</v>
      </c>
      <c r="N1457" t="s">
        <v>19</v>
      </c>
    </row>
    <row r="1458" spans="1:14" x14ac:dyDescent="0.3">
      <c r="A1458">
        <v>257</v>
      </c>
      <c r="B1458" t="s">
        <v>1769</v>
      </c>
      <c r="C1458" t="s">
        <v>1770</v>
      </c>
      <c r="D1458" t="s">
        <v>3126</v>
      </c>
      <c r="E1458" t="s">
        <v>17</v>
      </c>
      <c r="F1458" t="s">
        <v>3122</v>
      </c>
      <c r="G1458" s="3">
        <v>12.72</v>
      </c>
      <c r="H1458" s="3">
        <v>0</v>
      </c>
      <c r="I1458" s="3">
        <v>12.72</v>
      </c>
      <c r="J1458" s="3">
        <f>Table1[[#This Row],[قيمة الفاتورة]]*0.94-Table1[[#This Row],[قيمة المشاركة]]</f>
        <v>11.956799999999999</v>
      </c>
      <c r="K1458">
        <v>11.816000000000001</v>
      </c>
      <c r="L1458" s="3">
        <f t="shared" si="22"/>
        <v>0.1407999999999987</v>
      </c>
      <c r="M1458" t="s">
        <v>2678</v>
      </c>
      <c r="N1458" t="s">
        <v>19</v>
      </c>
    </row>
    <row r="1459" spans="1:14" x14ac:dyDescent="0.3">
      <c r="A1459">
        <v>1202</v>
      </c>
      <c r="B1459" t="s">
        <v>3127</v>
      </c>
      <c r="C1459" t="s">
        <v>3128</v>
      </c>
      <c r="D1459" t="s">
        <v>3129</v>
      </c>
      <c r="E1459" t="s">
        <v>23</v>
      </c>
      <c r="F1459" t="s">
        <v>3122</v>
      </c>
      <c r="G1459" s="3">
        <v>22.78</v>
      </c>
      <c r="H1459" s="3">
        <v>0</v>
      </c>
      <c r="I1459" s="3">
        <v>22.78</v>
      </c>
      <c r="J1459" s="3">
        <f>Table1[[#This Row],[قيمة الفاتورة]]*0.94-Table1[[#This Row],[قيمة المشاركة]]</f>
        <v>21.4132</v>
      </c>
      <c r="K1459">
        <v>19.524000000000001</v>
      </c>
      <c r="L1459" s="3">
        <f t="shared" si="22"/>
        <v>1.8891999999999989</v>
      </c>
      <c r="M1459" t="s">
        <v>2678</v>
      </c>
      <c r="N1459" t="s">
        <v>19</v>
      </c>
    </row>
    <row r="1460" spans="1:14" x14ac:dyDescent="0.3">
      <c r="A1460">
        <v>1198</v>
      </c>
      <c r="B1460" t="s">
        <v>2702</v>
      </c>
      <c r="C1460" t="s">
        <v>201</v>
      </c>
      <c r="D1460" t="s">
        <v>3130</v>
      </c>
      <c r="E1460" t="s">
        <v>17</v>
      </c>
      <c r="F1460" t="s">
        <v>3122</v>
      </c>
      <c r="G1460" s="3">
        <v>100.6</v>
      </c>
      <c r="H1460" s="3">
        <v>20.12</v>
      </c>
      <c r="I1460" s="3">
        <v>80.48</v>
      </c>
      <c r="J1460" s="3">
        <f>Table1[[#This Row],[قيمة الفاتورة]]*0.94-Table1[[#This Row],[قيمة المشاركة]]</f>
        <v>74.443999999999988</v>
      </c>
      <c r="K1460" s="3">
        <v>74.444999999999993</v>
      </c>
      <c r="L1460" s="3">
        <f t="shared" si="22"/>
        <v>-1.0000000000047748E-3</v>
      </c>
      <c r="M1460" s="6">
        <v>46175</v>
      </c>
      <c r="N1460" s="6" t="s">
        <v>328</v>
      </c>
    </row>
    <row r="1461" spans="1:14" x14ac:dyDescent="0.3">
      <c r="A1461">
        <v>259</v>
      </c>
      <c r="B1461" t="s">
        <v>507</v>
      </c>
      <c r="C1461" t="s">
        <v>3131</v>
      </c>
      <c r="D1461" t="s">
        <v>3132</v>
      </c>
      <c r="E1461" t="s">
        <v>23</v>
      </c>
      <c r="F1461" t="s">
        <v>3133</v>
      </c>
      <c r="G1461" s="3">
        <v>26.58</v>
      </c>
      <c r="H1461" s="3">
        <v>0</v>
      </c>
      <c r="I1461" s="3">
        <v>26.58</v>
      </c>
      <c r="J1461" s="3">
        <f>Table1[[#This Row],[قيمة الفاتورة]]*0.94-Table1[[#This Row],[قيمة المشاركة]]</f>
        <v>24.985199999999995</v>
      </c>
      <c r="K1461">
        <v>25.023</v>
      </c>
      <c r="L1461" s="3">
        <f t="shared" si="22"/>
        <v>-3.7800000000004275E-2</v>
      </c>
      <c r="M1461" t="s">
        <v>2678</v>
      </c>
      <c r="N1461" t="s">
        <v>19</v>
      </c>
    </row>
    <row r="1462" spans="1:14" x14ac:dyDescent="0.3">
      <c r="A1462">
        <v>258</v>
      </c>
      <c r="B1462" t="s">
        <v>774</v>
      </c>
      <c r="C1462" t="s">
        <v>3068</v>
      </c>
      <c r="D1462" t="s">
        <v>3134</v>
      </c>
      <c r="E1462" t="s">
        <v>17</v>
      </c>
      <c r="F1462" t="s">
        <v>3133</v>
      </c>
      <c r="G1462" s="3">
        <v>36.24</v>
      </c>
      <c r="H1462" s="3">
        <v>0</v>
      </c>
      <c r="I1462" s="3">
        <v>36.24</v>
      </c>
      <c r="J1462" s="3">
        <f>Table1[[#This Row],[قيمة الفاتورة]]*0.94-Table1[[#This Row],[قيمة المشاركة]]</f>
        <v>34.065600000000003</v>
      </c>
      <c r="K1462">
        <v>34.066000000000003</v>
      </c>
      <c r="L1462" s="3">
        <f t="shared" si="22"/>
        <v>-3.9999999999906777E-4</v>
      </c>
      <c r="M1462" t="s">
        <v>2678</v>
      </c>
      <c r="N1462" t="s">
        <v>19</v>
      </c>
    </row>
    <row r="1463" spans="1:14" x14ac:dyDescent="0.3">
      <c r="A1463">
        <v>261</v>
      </c>
      <c r="B1463" t="s">
        <v>568</v>
      </c>
      <c r="C1463" t="s">
        <v>569</v>
      </c>
      <c r="D1463" t="s">
        <v>3135</v>
      </c>
      <c r="E1463" t="s">
        <v>23</v>
      </c>
      <c r="F1463" t="s">
        <v>3136</v>
      </c>
      <c r="G1463" s="3">
        <v>8.64</v>
      </c>
      <c r="H1463" s="3">
        <v>0</v>
      </c>
      <c r="I1463" s="3">
        <v>8.64</v>
      </c>
      <c r="J1463" s="3">
        <f>Table1[[#This Row],[قيمة الفاتورة]]*0.94-Table1[[#This Row],[قيمة المشاركة]]</f>
        <v>8.1216000000000008</v>
      </c>
      <c r="K1463">
        <v>8.1219999999999999</v>
      </c>
      <c r="L1463" s="3">
        <f t="shared" si="22"/>
        <v>-3.9999999999906777E-4</v>
      </c>
      <c r="M1463" t="s">
        <v>2678</v>
      </c>
      <c r="N1463" t="s">
        <v>19</v>
      </c>
    </row>
    <row r="1464" spans="1:14" x14ac:dyDescent="0.3">
      <c r="A1464">
        <v>260</v>
      </c>
      <c r="B1464" t="s">
        <v>321</v>
      </c>
      <c r="C1464" t="s">
        <v>322</v>
      </c>
      <c r="D1464" t="s">
        <v>3137</v>
      </c>
      <c r="E1464" t="s">
        <v>23</v>
      </c>
      <c r="F1464" t="s">
        <v>3136</v>
      </c>
      <c r="G1464" s="3">
        <v>19.22</v>
      </c>
      <c r="H1464" s="3">
        <v>0</v>
      </c>
      <c r="I1464" s="3">
        <v>19.22</v>
      </c>
      <c r="J1464" s="3">
        <f>Table1[[#This Row],[قيمة الفاتورة]]*0.94-Table1[[#This Row],[قيمة المشاركة]]</f>
        <v>18.066799999999997</v>
      </c>
      <c r="K1464">
        <v>18.067</v>
      </c>
      <c r="L1464" s="3">
        <f t="shared" si="22"/>
        <v>-2.000000000030866E-4</v>
      </c>
      <c r="M1464" t="s">
        <v>2678</v>
      </c>
      <c r="N1464" t="s">
        <v>19</v>
      </c>
    </row>
    <row r="1465" spans="1:14" x14ac:dyDescent="0.3">
      <c r="A1465">
        <v>1203</v>
      </c>
      <c r="B1465" t="s">
        <v>3138</v>
      </c>
      <c r="C1465" t="s">
        <v>3139</v>
      </c>
      <c r="D1465" t="s">
        <v>3140</v>
      </c>
      <c r="E1465" t="s">
        <v>23</v>
      </c>
      <c r="F1465" t="s">
        <v>3136</v>
      </c>
      <c r="G1465" s="3">
        <v>28.81</v>
      </c>
      <c r="H1465" s="3">
        <v>0</v>
      </c>
      <c r="I1465" s="3">
        <v>28.81</v>
      </c>
      <c r="J1465" s="3">
        <f>Table1[[#This Row],[قيمة الفاتورة]]*0.94-Table1[[#This Row],[قيمة المشاركة]]</f>
        <v>27.081399999999999</v>
      </c>
      <c r="K1465">
        <v>27.081</v>
      </c>
      <c r="L1465" s="3">
        <f t="shared" si="22"/>
        <v>3.9999999999906777E-4</v>
      </c>
      <c r="M1465" t="s">
        <v>2678</v>
      </c>
      <c r="N1465" t="s">
        <v>19</v>
      </c>
    </row>
    <row r="1466" spans="1:14" x14ac:dyDescent="0.3">
      <c r="A1466">
        <v>1204</v>
      </c>
      <c r="B1466" t="s">
        <v>1930</v>
      </c>
      <c r="C1466" t="s">
        <v>1931</v>
      </c>
      <c r="D1466" t="s">
        <v>3141</v>
      </c>
      <c r="E1466" t="s">
        <v>23</v>
      </c>
      <c r="F1466" t="s">
        <v>3136</v>
      </c>
      <c r="G1466" s="3">
        <v>22</v>
      </c>
      <c r="H1466" s="3">
        <v>0</v>
      </c>
      <c r="I1466" s="3">
        <v>22</v>
      </c>
      <c r="J1466" s="3">
        <f>Table1[[#This Row],[قيمة الفاتورة]]*0.94-Table1[[#This Row],[قيمة المشاركة]]</f>
        <v>20.68</v>
      </c>
      <c r="K1466">
        <v>20.678999999999998</v>
      </c>
      <c r="L1466" s="3">
        <f t="shared" si="22"/>
        <v>1.0000000000012221E-3</v>
      </c>
      <c r="M1466" t="s">
        <v>2678</v>
      </c>
      <c r="N1466" t="s">
        <v>19</v>
      </c>
    </row>
    <row r="1467" spans="1:14" x14ac:dyDescent="0.3">
      <c r="A1467">
        <v>1205</v>
      </c>
      <c r="B1467" t="s">
        <v>3142</v>
      </c>
      <c r="C1467" t="s">
        <v>3143</v>
      </c>
      <c r="D1467" t="s">
        <v>3144</v>
      </c>
      <c r="E1467" t="s">
        <v>23</v>
      </c>
      <c r="F1467" t="s">
        <v>3145</v>
      </c>
      <c r="G1467" s="3">
        <v>42.34</v>
      </c>
      <c r="H1467" s="3">
        <v>0</v>
      </c>
      <c r="I1467" s="3">
        <v>42.34</v>
      </c>
      <c r="J1467" s="3">
        <f>Table1[[#This Row],[قيمة الفاتورة]]*0.94-Table1[[#This Row],[قيمة المشاركة]]</f>
        <v>39.799599999999998</v>
      </c>
      <c r="K1467">
        <v>39.79</v>
      </c>
      <c r="L1467" s="3">
        <f t="shared" si="22"/>
        <v>9.5999999999989427E-3</v>
      </c>
      <c r="M1467" t="s">
        <v>2678</v>
      </c>
      <c r="N1467" t="s">
        <v>19</v>
      </c>
    </row>
    <row r="1468" spans="1:14" x14ac:dyDescent="0.3">
      <c r="A1468">
        <v>1206</v>
      </c>
      <c r="B1468" t="s">
        <v>519</v>
      </c>
      <c r="C1468" t="s">
        <v>520</v>
      </c>
      <c r="D1468" t="s">
        <v>3146</v>
      </c>
      <c r="E1468" t="s">
        <v>23</v>
      </c>
      <c r="F1468" t="s">
        <v>3145</v>
      </c>
      <c r="G1468" s="3">
        <v>8.42</v>
      </c>
      <c r="H1468" s="3">
        <v>0</v>
      </c>
      <c r="I1468" s="3">
        <v>8.42</v>
      </c>
      <c r="J1468" s="3">
        <f>Table1[[#This Row],[قيمة الفاتورة]]*0.94-Table1[[#This Row],[قيمة المشاركة]]</f>
        <v>7.9147999999999996</v>
      </c>
      <c r="K1468">
        <v>7.5010000000000003</v>
      </c>
      <c r="L1468" s="3">
        <f t="shared" si="22"/>
        <v>0.41379999999999928</v>
      </c>
      <c r="M1468" t="s">
        <v>2678</v>
      </c>
      <c r="N1468" t="s">
        <v>19</v>
      </c>
    </row>
    <row r="1469" spans="1:14" x14ac:dyDescent="0.3">
      <c r="A1469">
        <v>263</v>
      </c>
      <c r="B1469" t="s">
        <v>447</v>
      </c>
      <c r="C1469" t="s">
        <v>448</v>
      </c>
      <c r="D1469" t="s">
        <v>3147</v>
      </c>
      <c r="E1469" t="s">
        <v>23</v>
      </c>
      <c r="F1469" t="s">
        <v>3145</v>
      </c>
      <c r="G1469" s="3">
        <v>11.536</v>
      </c>
      <c r="H1469" s="3">
        <v>0</v>
      </c>
      <c r="I1469" s="3">
        <v>11.536</v>
      </c>
      <c r="J1469" s="3">
        <f>Table1[[#This Row],[قيمة الفاتورة]]*0.94-Table1[[#This Row],[قيمة المشاركة]]</f>
        <v>10.843839999999998</v>
      </c>
      <c r="K1469">
        <v>10.33</v>
      </c>
      <c r="L1469" s="3">
        <f t="shared" si="22"/>
        <v>0.5138399999999983</v>
      </c>
      <c r="M1469" t="s">
        <v>2678</v>
      </c>
      <c r="N1469" t="s">
        <v>19</v>
      </c>
    </row>
    <row r="1470" spans="1:14" x14ac:dyDescent="0.3">
      <c r="A1470">
        <v>262</v>
      </c>
      <c r="B1470" t="s">
        <v>3148</v>
      </c>
      <c r="C1470" t="s">
        <v>3149</v>
      </c>
      <c r="D1470" t="s">
        <v>3150</v>
      </c>
      <c r="E1470" t="s">
        <v>23</v>
      </c>
      <c r="F1470" t="s">
        <v>3145</v>
      </c>
      <c r="G1470" s="3">
        <v>24.41</v>
      </c>
      <c r="H1470" s="3">
        <v>0</v>
      </c>
      <c r="I1470" s="3">
        <v>24.41</v>
      </c>
      <c r="J1470" s="3">
        <f>Table1[[#This Row],[قيمة الفاتورة]]*0.94-Table1[[#This Row],[قيمة المشاركة]]</f>
        <v>22.945399999999999</v>
      </c>
      <c r="L1470" s="3" t="str">
        <f t="shared" si="22"/>
        <v/>
      </c>
      <c r="N1470" t="s">
        <v>19</v>
      </c>
    </row>
    <row r="1471" spans="1:14" x14ac:dyDescent="0.3">
      <c r="A1471">
        <v>1214</v>
      </c>
      <c r="B1471" t="s">
        <v>3151</v>
      </c>
      <c r="C1471" t="s">
        <v>3152</v>
      </c>
      <c r="D1471" t="s">
        <v>3153</v>
      </c>
      <c r="E1471" t="s">
        <v>17</v>
      </c>
      <c r="F1471" t="s">
        <v>3154</v>
      </c>
      <c r="G1471" s="3">
        <v>27.09</v>
      </c>
      <c r="H1471" s="3">
        <v>5.4180000000000001</v>
      </c>
      <c r="I1471" s="3">
        <v>21.672000000000001</v>
      </c>
      <c r="J1471" s="3">
        <f>Table1[[#This Row],[قيمة الفاتورة]]*0.94-Table1[[#This Row],[قيمة المشاركة]]</f>
        <v>20.046599999999998</v>
      </c>
      <c r="K1471">
        <v>20.047000000000001</v>
      </c>
      <c r="L1471" s="3">
        <f t="shared" si="22"/>
        <v>-4.0000000000262048E-4</v>
      </c>
      <c r="M1471" t="s">
        <v>3155</v>
      </c>
      <c r="N1471" t="s">
        <v>328</v>
      </c>
    </row>
    <row r="1472" spans="1:14" x14ac:dyDescent="0.3">
      <c r="A1472">
        <v>264</v>
      </c>
      <c r="B1472" t="s">
        <v>379</v>
      </c>
      <c r="C1472" t="s">
        <v>3156</v>
      </c>
      <c r="D1472" t="s">
        <v>3157</v>
      </c>
      <c r="E1472" t="s">
        <v>23</v>
      </c>
      <c r="F1472" t="s">
        <v>3154</v>
      </c>
      <c r="G1472" s="3">
        <v>11.87</v>
      </c>
      <c r="H1472" s="3">
        <v>0</v>
      </c>
      <c r="I1472" s="3">
        <v>11.87</v>
      </c>
      <c r="J1472" s="3">
        <f>Table1[[#This Row],[قيمة الفاتورة]]*0.94-Table1[[#This Row],[قيمة المشاركة]]</f>
        <v>11.157799999999998</v>
      </c>
      <c r="K1472">
        <v>11.157999999999999</v>
      </c>
      <c r="L1472" s="3">
        <f t="shared" si="22"/>
        <v>-2.0000000000131024E-4</v>
      </c>
      <c r="M1472" t="s">
        <v>2678</v>
      </c>
      <c r="N1472" t="s">
        <v>19</v>
      </c>
    </row>
    <row r="1473" spans="1:14" x14ac:dyDescent="0.3">
      <c r="A1473">
        <v>266</v>
      </c>
      <c r="B1473" t="s">
        <v>3158</v>
      </c>
      <c r="C1473" t="s">
        <v>1954</v>
      </c>
      <c r="D1473" t="s">
        <v>3159</v>
      </c>
      <c r="E1473" t="s">
        <v>17</v>
      </c>
      <c r="F1473" t="s">
        <v>3154</v>
      </c>
      <c r="G1473" s="3">
        <v>20.059999999999999</v>
      </c>
      <c r="H1473" s="3">
        <v>4.0119999999999996</v>
      </c>
      <c r="I1473" s="3">
        <v>16.047999999999998</v>
      </c>
      <c r="J1473" s="3">
        <f>Table1[[#This Row],[قيمة الفاتورة]]*0.94-Table1[[#This Row],[قيمة المشاركة]]</f>
        <v>14.844399999999997</v>
      </c>
      <c r="K1473">
        <v>14.843999999999999</v>
      </c>
      <c r="L1473" s="3">
        <f t="shared" si="22"/>
        <v>3.9999999999729141E-4</v>
      </c>
      <c r="M1473" t="s">
        <v>3155</v>
      </c>
      <c r="N1473" t="s">
        <v>328</v>
      </c>
    </row>
    <row r="1474" spans="1:14" x14ac:dyDescent="0.3">
      <c r="A1474">
        <v>1209</v>
      </c>
      <c r="B1474" t="s">
        <v>3160</v>
      </c>
      <c r="C1474" t="s">
        <v>3161</v>
      </c>
      <c r="D1474" t="s">
        <v>3162</v>
      </c>
      <c r="E1474" t="s">
        <v>17</v>
      </c>
      <c r="F1474" t="s">
        <v>3154</v>
      </c>
      <c r="G1474" s="3">
        <v>54.31</v>
      </c>
      <c r="H1474" s="3">
        <v>10.862</v>
      </c>
      <c r="I1474" s="3">
        <v>43.448</v>
      </c>
      <c r="J1474" s="3">
        <f>Table1[[#This Row],[قيمة الفاتورة]]*0.94-Table1[[#This Row],[قيمة المشاركة]]</f>
        <v>40.189399999999999</v>
      </c>
      <c r="K1474">
        <v>40.189</v>
      </c>
      <c r="L1474" s="3">
        <f t="shared" ref="L1474:L1537" si="23">IF(ISNUMBER(K1474), J1474-K1474, "")</f>
        <v>3.9999999999906777E-4</v>
      </c>
      <c r="M1474" t="s">
        <v>3155</v>
      </c>
      <c r="N1474" t="s">
        <v>328</v>
      </c>
    </row>
    <row r="1475" spans="1:14" x14ac:dyDescent="0.3">
      <c r="A1475">
        <v>1213</v>
      </c>
      <c r="B1475" t="s">
        <v>3163</v>
      </c>
      <c r="C1475" t="s">
        <v>3164</v>
      </c>
      <c r="D1475" t="s">
        <v>3165</v>
      </c>
      <c r="E1475" t="s">
        <v>17</v>
      </c>
      <c r="F1475" t="s">
        <v>3154</v>
      </c>
      <c r="G1475" s="3">
        <v>41.01</v>
      </c>
      <c r="H1475" s="3">
        <v>8.202</v>
      </c>
      <c r="I1475" s="3">
        <v>32.808</v>
      </c>
      <c r="J1475" s="3">
        <f>Table1[[#This Row],[قيمة الفاتورة]]*0.94-Table1[[#This Row],[قيمة المشاركة]]</f>
        <v>30.3474</v>
      </c>
      <c r="K1475">
        <v>30.347000000000001</v>
      </c>
      <c r="L1475" s="3">
        <f t="shared" si="23"/>
        <v>3.9999999999906777E-4</v>
      </c>
      <c r="M1475" t="s">
        <v>3155</v>
      </c>
      <c r="N1475" t="s">
        <v>328</v>
      </c>
    </row>
    <row r="1476" spans="1:14" x14ac:dyDescent="0.3">
      <c r="A1476">
        <v>1207</v>
      </c>
      <c r="B1476" t="s">
        <v>315</v>
      </c>
      <c r="C1476" t="s">
        <v>3166</v>
      </c>
      <c r="D1476" t="s">
        <v>3167</v>
      </c>
      <c r="E1476" t="s">
        <v>23</v>
      </c>
      <c r="F1476" t="s">
        <v>3154</v>
      </c>
      <c r="G1476" s="3">
        <v>26.99</v>
      </c>
      <c r="H1476" s="3">
        <v>0</v>
      </c>
      <c r="I1476" s="3">
        <v>26.99</v>
      </c>
      <c r="J1476" s="3">
        <f>Table1[[#This Row],[قيمة الفاتورة]]*0.94-Table1[[#This Row],[قيمة المشاركة]]</f>
        <v>25.370599999999996</v>
      </c>
      <c r="K1476">
        <v>25.37</v>
      </c>
      <c r="L1476" s="3">
        <f t="shared" si="23"/>
        <v>5.9999999999504894E-4</v>
      </c>
      <c r="M1476" t="s">
        <v>2678</v>
      </c>
      <c r="N1476" t="s">
        <v>19</v>
      </c>
    </row>
    <row r="1477" spans="1:14" x14ac:dyDescent="0.3">
      <c r="A1477">
        <v>1211</v>
      </c>
      <c r="B1477" t="s">
        <v>3168</v>
      </c>
      <c r="C1477" t="s">
        <v>3169</v>
      </c>
      <c r="D1477" t="s">
        <v>3170</v>
      </c>
      <c r="E1477" t="s">
        <v>23</v>
      </c>
      <c r="F1477" t="s">
        <v>3154</v>
      </c>
      <c r="G1477" s="3">
        <v>42.24</v>
      </c>
      <c r="H1477" s="3">
        <v>8.4480000000000004</v>
      </c>
      <c r="I1477" s="3">
        <v>33.792000000000002</v>
      </c>
      <c r="J1477" s="3">
        <f>Table1[[#This Row],[قيمة الفاتورة]]*0.94-Table1[[#This Row],[قيمة المشاركة]]</f>
        <v>31.257599999999996</v>
      </c>
      <c r="K1477">
        <v>31.257000000000001</v>
      </c>
      <c r="L1477" s="3">
        <f t="shared" si="23"/>
        <v>5.9999999999504894E-4</v>
      </c>
      <c r="M1477" t="s">
        <v>3155</v>
      </c>
      <c r="N1477" t="s">
        <v>328</v>
      </c>
    </row>
    <row r="1478" spans="1:14" x14ac:dyDescent="0.3">
      <c r="A1478">
        <v>1210</v>
      </c>
      <c r="B1478" t="s">
        <v>3171</v>
      </c>
      <c r="C1478" t="s">
        <v>3172</v>
      </c>
      <c r="D1478" t="s">
        <v>3173</v>
      </c>
      <c r="E1478" t="s">
        <v>23</v>
      </c>
      <c r="F1478" t="s">
        <v>3154</v>
      </c>
      <c r="G1478" s="3">
        <v>48.89</v>
      </c>
      <c r="H1478" s="3">
        <v>9.7780000000000005</v>
      </c>
      <c r="I1478" s="3">
        <v>39.112000000000002</v>
      </c>
      <c r="J1478" s="3">
        <f>Table1[[#This Row],[قيمة الفاتورة]]*0.94-Table1[[#This Row],[قيمة المشاركة]]</f>
        <v>36.178599999999996</v>
      </c>
      <c r="K1478">
        <v>36.177999999999997</v>
      </c>
      <c r="L1478" s="3">
        <f t="shared" si="23"/>
        <v>5.9999999999860165E-4</v>
      </c>
      <c r="M1478" t="s">
        <v>3155</v>
      </c>
      <c r="N1478" t="s">
        <v>328</v>
      </c>
    </row>
    <row r="1479" spans="1:14" x14ac:dyDescent="0.3">
      <c r="A1479">
        <v>1212</v>
      </c>
      <c r="B1479" t="s">
        <v>3174</v>
      </c>
      <c r="C1479" t="s">
        <v>3175</v>
      </c>
      <c r="D1479" t="s">
        <v>3176</v>
      </c>
      <c r="E1479" t="s">
        <v>23</v>
      </c>
      <c r="F1479" t="s">
        <v>3154</v>
      </c>
      <c r="G1479" s="3">
        <v>47.04</v>
      </c>
      <c r="H1479" s="3">
        <v>9.4079999999999995</v>
      </c>
      <c r="I1479" s="3">
        <v>37.631999999999998</v>
      </c>
      <c r="J1479" s="3">
        <f>Table1[[#This Row],[قيمة الفاتورة]]*0.94-Table1[[#This Row],[قيمة المشاركة]]</f>
        <v>34.809599999999996</v>
      </c>
      <c r="K1479">
        <v>34.808999999999997</v>
      </c>
      <c r="L1479" s="3">
        <f t="shared" si="23"/>
        <v>5.9999999999860165E-4</v>
      </c>
      <c r="M1479" t="s">
        <v>3155</v>
      </c>
      <c r="N1479" t="s">
        <v>328</v>
      </c>
    </row>
    <row r="1480" spans="1:14" x14ac:dyDescent="0.3">
      <c r="A1480">
        <v>1208</v>
      </c>
      <c r="B1480" t="s">
        <v>290</v>
      </c>
      <c r="C1480" t="s">
        <v>3177</v>
      </c>
      <c r="D1480" t="s">
        <v>3178</v>
      </c>
      <c r="E1480" t="s">
        <v>23</v>
      </c>
      <c r="F1480" t="s">
        <v>3154</v>
      </c>
      <c r="G1480" s="3">
        <v>6.64</v>
      </c>
      <c r="H1480" s="3">
        <v>0</v>
      </c>
      <c r="I1480" s="3">
        <v>6.64</v>
      </c>
      <c r="J1480" s="3">
        <f>Table1[[#This Row],[قيمة الفاتورة]]*0.94-Table1[[#This Row],[قيمة المشاركة]]</f>
        <v>6.2415999999999991</v>
      </c>
      <c r="K1480">
        <v>6.2409999999999997</v>
      </c>
      <c r="L1480" s="3">
        <f t="shared" si="23"/>
        <v>5.9999999999948983E-4</v>
      </c>
      <c r="M1480" t="s">
        <v>2678</v>
      </c>
      <c r="N1480" t="s">
        <v>19</v>
      </c>
    </row>
    <row r="1481" spans="1:14" x14ac:dyDescent="0.3">
      <c r="A1481">
        <v>265</v>
      </c>
      <c r="B1481" t="s">
        <v>1594</v>
      </c>
      <c r="C1481" t="s">
        <v>1595</v>
      </c>
      <c r="D1481" t="s">
        <v>3179</v>
      </c>
      <c r="E1481" t="s">
        <v>23</v>
      </c>
      <c r="F1481" t="s">
        <v>3154</v>
      </c>
      <c r="G1481" s="3">
        <v>16.32</v>
      </c>
      <c r="H1481" s="3">
        <v>0</v>
      </c>
      <c r="I1481" s="3">
        <v>16.32</v>
      </c>
      <c r="J1481" s="3">
        <f>Table1[[#This Row],[قيمة الفاتورة]]*0.94-Table1[[#This Row],[قيمة المشاركة]]</f>
        <v>15.3408</v>
      </c>
      <c r="K1481">
        <v>14.955</v>
      </c>
      <c r="L1481" s="3">
        <f t="shared" si="23"/>
        <v>0.3857999999999997</v>
      </c>
      <c r="M1481" t="s">
        <v>2678</v>
      </c>
      <c r="N1481" t="s">
        <v>19</v>
      </c>
    </row>
    <row r="1482" spans="1:14" x14ac:dyDescent="0.3">
      <c r="A1482">
        <v>267</v>
      </c>
      <c r="B1482" t="s">
        <v>3180</v>
      </c>
      <c r="C1482" t="s">
        <v>1039</v>
      </c>
      <c r="D1482" t="s">
        <v>3181</v>
      </c>
      <c r="E1482" t="s">
        <v>17</v>
      </c>
      <c r="F1482" t="s">
        <v>3154</v>
      </c>
      <c r="G1482" s="3">
        <v>6.81</v>
      </c>
      <c r="H1482" s="3">
        <v>0</v>
      </c>
      <c r="I1482" s="3">
        <v>6.81</v>
      </c>
      <c r="J1482" s="3">
        <f>Table1[[#This Row],[قيمة الفاتورة]]*0.94-Table1[[#This Row],[قيمة المشاركة]]</f>
        <v>6.4013999999999989</v>
      </c>
      <c r="L1482" s="3" t="str">
        <f t="shared" si="23"/>
        <v/>
      </c>
      <c r="N1482" t="s">
        <v>19</v>
      </c>
    </row>
    <row r="1483" spans="1:14" x14ac:dyDescent="0.3">
      <c r="A1483">
        <v>1218</v>
      </c>
      <c r="B1483" t="s">
        <v>3182</v>
      </c>
      <c r="C1483" t="s">
        <v>3183</v>
      </c>
      <c r="D1483" t="s">
        <v>3184</v>
      </c>
      <c r="E1483" t="s">
        <v>23</v>
      </c>
      <c r="F1483" t="s">
        <v>3185</v>
      </c>
      <c r="G1483" s="3">
        <v>7.41</v>
      </c>
      <c r="H1483" s="3">
        <v>1.482</v>
      </c>
      <c r="I1483" s="3">
        <v>5.9279999999999999</v>
      </c>
      <c r="J1483" s="3">
        <f>Table1[[#This Row],[قيمة الفاتورة]]*0.94-Table1[[#This Row],[قيمة المشاركة]]</f>
        <v>5.4833999999999996</v>
      </c>
      <c r="K1483">
        <v>5.6980000000000004</v>
      </c>
      <c r="L1483" s="3">
        <f t="shared" si="23"/>
        <v>-0.21460000000000079</v>
      </c>
      <c r="M1483" t="s">
        <v>3155</v>
      </c>
      <c r="N1483" t="s">
        <v>328</v>
      </c>
    </row>
    <row r="1484" spans="1:14" x14ac:dyDescent="0.3">
      <c r="A1484">
        <v>1219</v>
      </c>
      <c r="B1484" t="s">
        <v>3186</v>
      </c>
      <c r="C1484" t="s">
        <v>3187</v>
      </c>
      <c r="D1484" t="s">
        <v>3188</v>
      </c>
      <c r="E1484" t="s">
        <v>23</v>
      </c>
      <c r="F1484" t="s">
        <v>3185</v>
      </c>
      <c r="G1484" s="3">
        <v>1.39</v>
      </c>
      <c r="H1484" s="3">
        <v>0.27800000000000002</v>
      </c>
      <c r="I1484" s="3">
        <v>1.1120000000000001</v>
      </c>
      <c r="J1484" s="3">
        <f>Table1[[#This Row],[قيمة الفاتورة]]*0.94-Table1[[#This Row],[قيمة المشاركة]]</f>
        <v>1.0285999999999997</v>
      </c>
      <c r="K1484">
        <v>1.0289999999999999</v>
      </c>
      <c r="L1484" s="3">
        <f t="shared" si="23"/>
        <v>-4.0000000000017799E-4</v>
      </c>
      <c r="M1484" t="s">
        <v>3155</v>
      </c>
      <c r="N1484" t="s">
        <v>328</v>
      </c>
    </row>
    <row r="1485" spans="1:14" x14ac:dyDescent="0.3">
      <c r="A1485">
        <v>1215</v>
      </c>
      <c r="B1485" t="s">
        <v>2590</v>
      </c>
      <c r="C1485" t="s">
        <v>3189</v>
      </c>
      <c r="D1485" t="s">
        <v>3190</v>
      </c>
      <c r="E1485" t="s">
        <v>23</v>
      </c>
      <c r="F1485" t="s">
        <v>3185</v>
      </c>
      <c r="G1485" s="3">
        <v>11.15</v>
      </c>
      <c r="H1485" s="3">
        <v>0</v>
      </c>
      <c r="I1485" s="3">
        <v>11.15</v>
      </c>
      <c r="J1485" s="3">
        <f>Table1[[#This Row],[قيمة الفاتورة]]*0.94-Table1[[#This Row],[قيمة المشاركة]]</f>
        <v>10.481</v>
      </c>
      <c r="K1485">
        <v>10.481</v>
      </c>
      <c r="L1485" s="3">
        <f t="shared" si="23"/>
        <v>0</v>
      </c>
      <c r="M1485" t="s">
        <v>2678</v>
      </c>
      <c r="N1485" t="s">
        <v>19</v>
      </c>
    </row>
    <row r="1486" spans="1:14" x14ac:dyDescent="0.3">
      <c r="A1486">
        <v>1216</v>
      </c>
      <c r="B1486" t="s">
        <v>302</v>
      </c>
      <c r="C1486" t="s">
        <v>303</v>
      </c>
      <c r="D1486" t="s">
        <v>3191</v>
      </c>
      <c r="E1486" t="s">
        <v>17</v>
      </c>
      <c r="F1486" t="s">
        <v>3185</v>
      </c>
      <c r="G1486" s="3">
        <v>43.24</v>
      </c>
      <c r="H1486" s="3">
        <v>0</v>
      </c>
      <c r="I1486" s="3">
        <v>43.24</v>
      </c>
      <c r="J1486" s="3">
        <f>Table1[[#This Row],[قيمة الفاتورة]]*0.94-Table1[[#This Row],[قيمة المشاركة]]</f>
        <v>40.645600000000002</v>
      </c>
      <c r="K1486">
        <v>40.643999999999998</v>
      </c>
      <c r="L1486" s="3">
        <f t="shared" si="23"/>
        <v>1.6000000000033765E-3</v>
      </c>
      <c r="M1486" t="s">
        <v>2678</v>
      </c>
      <c r="N1486" t="s">
        <v>19</v>
      </c>
    </row>
    <row r="1487" spans="1:14" x14ac:dyDescent="0.3">
      <c r="A1487">
        <v>1217</v>
      </c>
      <c r="B1487" t="s">
        <v>3192</v>
      </c>
      <c r="C1487" t="s">
        <v>3193</v>
      </c>
      <c r="D1487" t="s">
        <v>3194</v>
      </c>
      <c r="E1487" t="s">
        <v>23</v>
      </c>
      <c r="F1487" t="s">
        <v>3185</v>
      </c>
      <c r="G1487" s="3">
        <v>13.77</v>
      </c>
      <c r="H1487" s="3">
        <v>2.754</v>
      </c>
      <c r="I1487" s="3">
        <v>11.016</v>
      </c>
      <c r="J1487" s="3">
        <f>Table1[[#This Row],[قيمة الفاتورة]]*0.94-Table1[[#This Row],[قيمة المشاركة]]</f>
        <v>10.1898</v>
      </c>
      <c r="K1487">
        <v>9.7769999999999992</v>
      </c>
      <c r="L1487" s="3">
        <f t="shared" si="23"/>
        <v>0.41280000000000072</v>
      </c>
      <c r="M1487" t="s">
        <v>3155</v>
      </c>
      <c r="N1487" t="s">
        <v>328</v>
      </c>
    </row>
    <row r="1488" spans="1:14" x14ac:dyDescent="0.3">
      <c r="A1488">
        <v>1227</v>
      </c>
      <c r="B1488" t="s">
        <v>3195</v>
      </c>
      <c r="C1488" t="s">
        <v>3196</v>
      </c>
      <c r="D1488" t="s">
        <v>3197</v>
      </c>
      <c r="E1488" t="s">
        <v>23</v>
      </c>
      <c r="F1488" t="s">
        <v>3198</v>
      </c>
      <c r="G1488" s="3">
        <v>15.14</v>
      </c>
      <c r="H1488" s="3">
        <v>0</v>
      </c>
      <c r="I1488" s="3">
        <v>15.14</v>
      </c>
      <c r="J1488" s="3">
        <f>Table1[[#This Row],[قيمة الفاتورة]]*0.94-Table1[[#This Row],[قيمة المشاركة]]</f>
        <v>14.2316</v>
      </c>
      <c r="K1488">
        <v>14.231999999999999</v>
      </c>
      <c r="L1488" s="3">
        <f t="shared" si="23"/>
        <v>-3.9999999999906777E-4</v>
      </c>
      <c r="M1488" t="s">
        <v>2678</v>
      </c>
      <c r="N1488" t="s">
        <v>19</v>
      </c>
    </row>
    <row r="1489" spans="1:14" x14ac:dyDescent="0.3">
      <c r="A1489">
        <v>1220</v>
      </c>
      <c r="B1489" t="s">
        <v>42</v>
      </c>
      <c r="C1489" t="s">
        <v>43</v>
      </c>
      <c r="D1489" t="s">
        <v>3199</v>
      </c>
      <c r="E1489" t="s">
        <v>23</v>
      </c>
      <c r="F1489" t="s">
        <v>3198</v>
      </c>
      <c r="G1489" s="3">
        <v>30.57</v>
      </c>
      <c r="H1489" s="3">
        <v>0</v>
      </c>
      <c r="I1489" s="3">
        <v>30.57</v>
      </c>
      <c r="J1489" s="3">
        <f>Table1[[#This Row],[قيمة الفاتورة]]*0.94-Table1[[#This Row],[قيمة المشاركة]]</f>
        <v>28.735799999999998</v>
      </c>
      <c r="K1489">
        <v>28.736000000000001</v>
      </c>
      <c r="L1489" s="3">
        <f t="shared" si="23"/>
        <v>-2.000000000030866E-4</v>
      </c>
      <c r="M1489" t="s">
        <v>2678</v>
      </c>
      <c r="N1489" t="s">
        <v>19</v>
      </c>
    </row>
    <row r="1490" spans="1:14" x14ac:dyDescent="0.3">
      <c r="A1490">
        <v>1222</v>
      </c>
      <c r="B1490" t="s">
        <v>24</v>
      </c>
      <c r="C1490" t="s">
        <v>25</v>
      </c>
      <c r="D1490" t="s">
        <v>3200</v>
      </c>
      <c r="E1490" t="s">
        <v>17</v>
      </c>
      <c r="F1490" t="s">
        <v>3198</v>
      </c>
      <c r="G1490" s="3">
        <v>4.7699999999999996</v>
      </c>
      <c r="H1490" s="3">
        <v>0</v>
      </c>
      <c r="I1490" s="3">
        <v>4.7699999999999996</v>
      </c>
      <c r="J1490" s="3">
        <f>Table1[[#This Row],[قيمة الفاتورة]]*0.94-Table1[[#This Row],[قيمة المشاركة]]</f>
        <v>4.4837999999999996</v>
      </c>
      <c r="K1490">
        <v>4.484</v>
      </c>
      <c r="L1490" s="3">
        <f t="shared" si="23"/>
        <v>-2.0000000000042206E-4</v>
      </c>
      <c r="M1490" t="s">
        <v>2678</v>
      </c>
      <c r="N1490" t="s">
        <v>19</v>
      </c>
    </row>
    <row r="1491" spans="1:14" x14ac:dyDescent="0.3">
      <c r="A1491">
        <v>1224</v>
      </c>
      <c r="B1491" t="s">
        <v>3201</v>
      </c>
      <c r="C1491" t="s">
        <v>3202</v>
      </c>
      <c r="D1491" t="s">
        <v>3203</v>
      </c>
      <c r="E1491" t="s">
        <v>17</v>
      </c>
      <c r="F1491" t="s">
        <v>3198</v>
      </c>
      <c r="G1491" s="3">
        <v>32.47</v>
      </c>
      <c r="H1491" s="3">
        <v>6.4939999999999998</v>
      </c>
      <c r="I1491" s="3">
        <v>25.975999999999999</v>
      </c>
      <c r="J1491" s="3">
        <f>Table1[[#This Row],[قيمة الفاتورة]]*0.94-Table1[[#This Row],[قيمة المشاركة]]</f>
        <v>24.027799999999999</v>
      </c>
      <c r="K1491">
        <v>24.027999999999999</v>
      </c>
      <c r="L1491" s="3">
        <f t="shared" si="23"/>
        <v>-1.9999999999953388E-4</v>
      </c>
      <c r="M1491" t="s">
        <v>3155</v>
      </c>
      <c r="N1491" t="s">
        <v>328</v>
      </c>
    </row>
    <row r="1492" spans="1:14" x14ac:dyDescent="0.3">
      <c r="A1492">
        <v>1226</v>
      </c>
      <c r="B1492" t="s">
        <v>3204</v>
      </c>
      <c r="C1492" t="s">
        <v>3205</v>
      </c>
      <c r="D1492" t="s">
        <v>3206</v>
      </c>
      <c r="E1492" t="s">
        <v>23</v>
      </c>
      <c r="F1492" t="s">
        <v>3198</v>
      </c>
      <c r="G1492" s="3">
        <v>22.45</v>
      </c>
      <c r="H1492" s="3">
        <v>0</v>
      </c>
      <c r="I1492" s="3">
        <v>22.45</v>
      </c>
      <c r="J1492" s="3">
        <f>Table1[[#This Row],[قيمة الفاتورة]]*0.94-Table1[[#This Row],[قيمة المشاركة]]</f>
        <v>21.102999999999998</v>
      </c>
      <c r="K1492">
        <v>21.103000000000002</v>
      </c>
      <c r="L1492" s="3">
        <f t="shared" si="23"/>
        <v>-3.5527136788005009E-15</v>
      </c>
      <c r="M1492" t="s">
        <v>2678</v>
      </c>
      <c r="N1492" t="s">
        <v>19</v>
      </c>
    </row>
    <row r="1493" spans="1:14" x14ac:dyDescent="0.3">
      <c r="A1493">
        <v>1223</v>
      </c>
      <c r="B1493" t="s">
        <v>1060</v>
      </c>
      <c r="C1493" t="s">
        <v>173</v>
      </c>
      <c r="D1493" t="s">
        <v>3207</v>
      </c>
      <c r="E1493" t="s">
        <v>17</v>
      </c>
      <c r="F1493" t="s">
        <v>3198</v>
      </c>
      <c r="G1493" s="3">
        <v>7.38</v>
      </c>
      <c r="H1493" s="3">
        <v>0</v>
      </c>
      <c r="I1493" s="3">
        <v>7.38</v>
      </c>
      <c r="J1493" s="3">
        <f>Table1[[#This Row],[قيمة الفاتورة]]*0.94-Table1[[#This Row],[قيمة المشاركة]]</f>
        <v>6.9371999999999998</v>
      </c>
      <c r="K1493">
        <v>6.9370000000000003</v>
      </c>
      <c r="L1493" s="3">
        <f t="shared" si="23"/>
        <v>1.9999999999953388E-4</v>
      </c>
      <c r="M1493" t="s">
        <v>2678</v>
      </c>
      <c r="N1493" t="s">
        <v>19</v>
      </c>
    </row>
    <row r="1494" spans="1:14" x14ac:dyDescent="0.3">
      <c r="A1494">
        <v>269</v>
      </c>
      <c r="B1494" t="s">
        <v>2207</v>
      </c>
      <c r="C1494" t="s">
        <v>1733</v>
      </c>
      <c r="D1494" t="s">
        <v>3208</v>
      </c>
      <c r="E1494" t="s">
        <v>23</v>
      </c>
      <c r="F1494" t="s">
        <v>3198</v>
      </c>
      <c r="G1494" s="3">
        <v>5.74</v>
      </c>
      <c r="H1494" s="3">
        <v>0</v>
      </c>
      <c r="I1494" s="3">
        <v>5.74</v>
      </c>
      <c r="J1494" s="3">
        <f>Table1[[#This Row],[قيمة الفاتورة]]*0.94-Table1[[#This Row],[قيمة المشاركة]]</f>
        <v>5.3956</v>
      </c>
      <c r="K1494">
        <v>5.3949999999999996</v>
      </c>
      <c r="L1494" s="3">
        <f t="shared" si="23"/>
        <v>6.0000000000037801E-4</v>
      </c>
      <c r="M1494" t="s">
        <v>2678</v>
      </c>
      <c r="N1494" t="s">
        <v>19</v>
      </c>
    </row>
    <row r="1495" spans="1:14" x14ac:dyDescent="0.3">
      <c r="A1495">
        <v>1221</v>
      </c>
      <c r="B1495" t="s">
        <v>3186</v>
      </c>
      <c r="C1495" t="s">
        <v>3187</v>
      </c>
      <c r="D1495" t="s">
        <v>3188</v>
      </c>
      <c r="E1495" t="s">
        <v>23</v>
      </c>
      <c r="F1495" t="s">
        <v>3198</v>
      </c>
      <c r="G1495" s="3">
        <v>17.89</v>
      </c>
      <c r="H1495" s="3">
        <v>3.5779999999999998</v>
      </c>
      <c r="I1495" s="3">
        <v>14.311999999999999</v>
      </c>
      <c r="J1495" s="3">
        <f>Table1[[#This Row],[قيمة الفاتورة]]*0.94-Table1[[#This Row],[قيمة المشاركة]]</f>
        <v>13.238600000000002</v>
      </c>
      <c r="K1495">
        <v>12.505000000000001</v>
      </c>
      <c r="L1495" s="3">
        <f t="shared" si="23"/>
        <v>0.73360000000000092</v>
      </c>
      <c r="M1495" t="s">
        <v>3155</v>
      </c>
      <c r="N1495" t="s">
        <v>328</v>
      </c>
    </row>
    <row r="1496" spans="1:14" x14ac:dyDescent="0.3">
      <c r="A1496">
        <v>1225</v>
      </c>
      <c r="B1496" t="s">
        <v>2895</v>
      </c>
      <c r="C1496" t="s">
        <v>354</v>
      </c>
      <c r="D1496" t="s">
        <v>3209</v>
      </c>
      <c r="E1496" t="s">
        <v>23</v>
      </c>
      <c r="F1496" t="s">
        <v>3198</v>
      </c>
      <c r="G1496" s="3">
        <v>33.15</v>
      </c>
      <c r="H1496" s="3">
        <v>0</v>
      </c>
      <c r="I1496" s="3">
        <v>33.15</v>
      </c>
      <c r="J1496" s="3">
        <f>Table1[[#This Row],[قيمة الفاتورة]]*0.94-Table1[[#This Row],[قيمة المشاركة]]</f>
        <v>31.160999999999998</v>
      </c>
      <c r="K1496">
        <v>25.792999999999999</v>
      </c>
      <c r="L1496" s="3">
        <f t="shared" si="23"/>
        <v>5.3679999999999986</v>
      </c>
      <c r="M1496" t="s">
        <v>2678</v>
      </c>
      <c r="N1496" t="s">
        <v>19</v>
      </c>
    </row>
    <row r="1497" spans="1:14" x14ac:dyDescent="0.3">
      <c r="A1497">
        <v>268</v>
      </c>
      <c r="B1497" t="s">
        <v>3210</v>
      </c>
      <c r="C1497" t="s">
        <v>3211</v>
      </c>
      <c r="D1497" t="s">
        <v>3212</v>
      </c>
      <c r="E1497" t="s">
        <v>23</v>
      </c>
      <c r="F1497" t="s">
        <v>3198</v>
      </c>
      <c r="G1497" s="3">
        <v>35.08</v>
      </c>
      <c r="H1497" s="3">
        <v>7.016</v>
      </c>
      <c r="I1497" s="3">
        <v>28.064</v>
      </c>
      <c r="J1497" s="3">
        <f>Table1[[#This Row],[قيمة الفاتورة]]*0.94-Table1[[#This Row],[قيمة المشاركة]]</f>
        <v>25.959199999999996</v>
      </c>
      <c r="L1497" s="3" t="str">
        <f t="shared" si="23"/>
        <v/>
      </c>
      <c r="N1497" t="s">
        <v>328</v>
      </c>
    </row>
    <row r="1498" spans="1:14" x14ac:dyDescent="0.3">
      <c r="A1498">
        <v>1230</v>
      </c>
      <c r="B1498" t="s">
        <v>1846</v>
      </c>
      <c r="C1498" t="s">
        <v>1867</v>
      </c>
      <c r="D1498" t="s">
        <v>3213</v>
      </c>
      <c r="E1498" t="s">
        <v>17</v>
      </c>
      <c r="F1498" t="s">
        <v>3214</v>
      </c>
      <c r="G1498" s="3">
        <v>129.12</v>
      </c>
      <c r="H1498" s="3">
        <v>0</v>
      </c>
      <c r="I1498" s="3">
        <v>129.12</v>
      </c>
      <c r="J1498" s="3">
        <f>Table1[[#This Row],[قيمة الفاتورة]]*0.94-Table1[[#This Row],[قيمة المشاركة]]</f>
        <v>121.3728</v>
      </c>
      <c r="K1498">
        <v>121.373</v>
      </c>
      <c r="L1498" s="3">
        <f t="shared" si="23"/>
        <v>-2.0000000000663931E-4</v>
      </c>
      <c r="M1498" t="s">
        <v>2678</v>
      </c>
      <c r="N1498" t="s">
        <v>19</v>
      </c>
    </row>
    <row r="1499" spans="1:14" x14ac:dyDescent="0.3">
      <c r="A1499">
        <v>1229</v>
      </c>
      <c r="B1499">
        <v>1518611</v>
      </c>
      <c r="C1499" t="s">
        <v>2698</v>
      </c>
      <c r="D1499" t="s">
        <v>3215</v>
      </c>
      <c r="E1499" t="s">
        <v>17</v>
      </c>
      <c r="F1499" t="s">
        <v>3214</v>
      </c>
      <c r="G1499" s="3">
        <v>7.08</v>
      </c>
      <c r="H1499" s="3">
        <v>1.4159999999999999</v>
      </c>
      <c r="I1499" s="3">
        <v>5.6639999999999997</v>
      </c>
      <c r="J1499" s="3">
        <f>Table1[[#This Row],[قيمة الفاتورة]]*0.94-Table1[[#This Row],[قيمة المشاركة]]</f>
        <v>5.2392000000000003</v>
      </c>
      <c r="K1499">
        <v>5.2389999999999999</v>
      </c>
      <c r="L1499" s="3">
        <f t="shared" si="23"/>
        <v>2.0000000000042206E-4</v>
      </c>
      <c r="M1499" t="s">
        <v>3155</v>
      </c>
      <c r="N1499" t="s">
        <v>328</v>
      </c>
    </row>
    <row r="1500" spans="1:14" x14ac:dyDescent="0.3">
      <c r="A1500">
        <v>1228</v>
      </c>
      <c r="B1500" t="s">
        <v>2793</v>
      </c>
      <c r="C1500" t="s">
        <v>2794</v>
      </c>
      <c r="D1500" t="s">
        <v>3216</v>
      </c>
      <c r="E1500" t="s">
        <v>23</v>
      </c>
      <c r="F1500" t="s">
        <v>3214</v>
      </c>
      <c r="G1500" s="3">
        <v>47.83</v>
      </c>
      <c r="H1500" s="3">
        <v>0</v>
      </c>
      <c r="I1500" s="3">
        <v>47.83</v>
      </c>
      <c r="J1500" s="3">
        <f>Table1[[#This Row],[قيمة الفاتورة]]*0.94-Table1[[#This Row],[قيمة المشاركة]]</f>
        <v>44.960199999999993</v>
      </c>
      <c r="K1500">
        <v>44.959000000000003</v>
      </c>
      <c r="L1500" s="3">
        <f t="shared" si="23"/>
        <v>1.1999999999900979E-3</v>
      </c>
      <c r="M1500" t="s">
        <v>2678</v>
      </c>
      <c r="N1500" t="s">
        <v>19</v>
      </c>
    </row>
    <row r="1501" spans="1:14" x14ac:dyDescent="0.3">
      <c r="A1501">
        <v>270</v>
      </c>
      <c r="B1501" t="s">
        <v>3217</v>
      </c>
      <c r="C1501" t="s">
        <v>3218</v>
      </c>
      <c r="D1501" t="s">
        <v>3219</v>
      </c>
      <c r="E1501" t="s">
        <v>17</v>
      </c>
      <c r="F1501" t="s">
        <v>3214</v>
      </c>
      <c r="G1501" s="3">
        <v>26.033999999999999</v>
      </c>
      <c r="H1501" s="3">
        <v>2.6030000000000002</v>
      </c>
      <c r="I1501" s="3">
        <v>23.431000000000001</v>
      </c>
      <c r="J1501" s="3">
        <f>Table1[[#This Row],[قيمة الفاتورة]]*0.94-Table1[[#This Row],[قيمة المشاركة]]</f>
        <v>21.868959999999998</v>
      </c>
      <c r="K1501">
        <v>19.91</v>
      </c>
      <c r="L1501" s="3">
        <f t="shared" si="23"/>
        <v>1.9589599999999976</v>
      </c>
      <c r="M1501" t="s">
        <v>3155</v>
      </c>
      <c r="N1501" t="s">
        <v>328</v>
      </c>
    </row>
    <row r="1502" spans="1:14" x14ac:dyDescent="0.3">
      <c r="A1502">
        <v>1231</v>
      </c>
      <c r="B1502" t="s">
        <v>2350</v>
      </c>
      <c r="C1502" t="s">
        <v>2351</v>
      </c>
      <c r="D1502" t="s">
        <v>3220</v>
      </c>
      <c r="E1502" t="s">
        <v>23</v>
      </c>
      <c r="F1502" t="s">
        <v>3221</v>
      </c>
      <c r="G1502" s="3">
        <v>22.73</v>
      </c>
      <c r="H1502" s="3">
        <v>0</v>
      </c>
      <c r="I1502" s="3">
        <v>22.73</v>
      </c>
      <c r="J1502" s="3">
        <f>Table1[[#This Row],[قيمة الفاتورة]]*0.94-Table1[[#This Row],[قيمة المشاركة]]</f>
        <v>21.366199999999999</v>
      </c>
      <c r="K1502">
        <v>21.367000000000001</v>
      </c>
      <c r="L1502" s="3">
        <f t="shared" si="23"/>
        <v>-8.0000000000168825E-4</v>
      </c>
      <c r="M1502" t="s">
        <v>2678</v>
      </c>
      <c r="N1502" t="s">
        <v>19</v>
      </c>
    </row>
    <row r="1503" spans="1:14" x14ac:dyDescent="0.3">
      <c r="A1503">
        <v>1233</v>
      </c>
      <c r="B1503" t="s">
        <v>3222</v>
      </c>
      <c r="C1503" t="s">
        <v>3223</v>
      </c>
      <c r="D1503" t="s">
        <v>3224</v>
      </c>
      <c r="E1503" t="s">
        <v>23</v>
      </c>
      <c r="F1503" t="s">
        <v>3221</v>
      </c>
      <c r="G1503" s="3">
        <v>10.15</v>
      </c>
      <c r="H1503" s="3">
        <v>2.0299999999999998</v>
      </c>
      <c r="I1503" s="3">
        <v>8.1199999999999992</v>
      </c>
      <c r="J1503" s="3">
        <f>Table1[[#This Row],[قيمة الفاتورة]]*0.94-Table1[[#This Row],[قيمة المشاركة]]</f>
        <v>7.511000000000001</v>
      </c>
      <c r="K1503">
        <v>7.5110000000000001</v>
      </c>
      <c r="L1503" s="3">
        <f t="shared" si="23"/>
        <v>8.8817841970012523E-16</v>
      </c>
      <c r="M1503" t="s">
        <v>3155</v>
      </c>
      <c r="N1503" t="s">
        <v>328</v>
      </c>
    </row>
    <row r="1504" spans="1:14" x14ac:dyDescent="0.3">
      <c r="A1504">
        <v>1234</v>
      </c>
      <c r="B1504" t="s">
        <v>61</v>
      </c>
      <c r="C1504" t="s">
        <v>62</v>
      </c>
      <c r="D1504" t="s">
        <v>3225</v>
      </c>
      <c r="E1504" t="s">
        <v>23</v>
      </c>
      <c r="F1504" t="s">
        <v>3221</v>
      </c>
      <c r="G1504" s="3">
        <v>36.25</v>
      </c>
      <c r="H1504" s="3">
        <v>5.4370000000000003</v>
      </c>
      <c r="I1504" s="3">
        <v>30.812999999999999</v>
      </c>
      <c r="J1504" s="3">
        <f>Table1[[#This Row],[قيمة الفاتورة]]*0.94-Table1[[#This Row],[قيمة المشاركة]]</f>
        <v>28.637999999999995</v>
      </c>
      <c r="K1504">
        <v>28.628</v>
      </c>
      <c r="L1504" s="3">
        <f t="shared" si="23"/>
        <v>9.9999999999944578E-3</v>
      </c>
      <c r="M1504" t="s">
        <v>2678</v>
      </c>
      <c r="N1504" t="s">
        <v>19</v>
      </c>
    </row>
    <row r="1505" spans="1:14" x14ac:dyDescent="0.3">
      <c r="A1505">
        <v>271</v>
      </c>
      <c r="B1505" t="s">
        <v>3226</v>
      </c>
      <c r="C1505" t="s">
        <v>3227</v>
      </c>
      <c r="D1505" t="s">
        <v>3228</v>
      </c>
      <c r="E1505" t="s">
        <v>17</v>
      </c>
      <c r="F1505" t="s">
        <v>3221</v>
      </c>
      <c r="G1505" s="3">
        <v>25.18</v>
      </c>
      <c r="H1505" s="3">
        <v>5.0359999999999996</v>
      </c>
      <c r="I1505" s="3">
        <v>20.143999999999998</v>
      </c>
      <c r="J1505" s="3">
        <f>Table1[[#This Row],[قيمة الفاتورة]]*0.94-Table1[[#This Row],[قيمة المشاركة]]</f>
        <v>18.633200000000002</v>
      </c>
      <c r="K1505">
        <v>17.96</v>
      </c>
      <c r="L1505" s="3">
        <f t="shared" si="23"/>
        <v>0.67320000000000135</v>
      </c>
      <c r="M1505" t="s">
        <v>3155</v>
      </c>
      <c r="N1505" t="s">
        <v>328</v>
      </c>
    </row>
    <row r="1506" spans="1:14" x14ac:dyDescent="0.3">
      <c r="A1506">
        <v>1235</v>
      </c>
      <c r="B1506" t="s">
        <v>2007</v>
      </c>
      <c r="C1506" t="s">
        <v>2008</v>
      </c>
      <c r="D1506" t="s">
        <v>3229</v>
      </c>
      <c r="E1506" t="s">
        <v>23</v>
      </c>
      <c r="F1506" t="s">
        <v>3221</v>
      </c>
      <c r="G1506" s="3">
        <v>49.79</v>
      </c>
      <c r="H1506" s="3">
        <v>9.9580000000000002</v>
      </c>
      <c r="I1506" s="3">
        <v>39.832000000000001</v>
      </c>
      <c r="J1506" s="3">
        <f>Table1[[#This Row],[قيمة الفاتورة]]*0.94-Table1[[#This Row],[قيمة المشاركة]]</f>
        <v>36.8446</v>
      </c>
      <c r="K1506">
        <v>36.110999999999997</v>
      </c>
      <c r="L1506" s="3">
        <f t="shared" si="23"/>
        <v>0.73360000000000269</v>
      </c>
      <c r="M1506" t="s">
        <v>3155</v>
      </c>
      <c r="N1506" t="s">
        <v>328</v>
      </c>
    </row>
    <row r="1507" spans="1:14" x14ac:dyDescent="0.3">
      <c r="A1507">
        <v>1232</v>
      </c>
      <c r="B1507" t="s">
        <v>49</v>
      </c>
      <c r="C1507" t="s">
        <v>50</v>
      </c>
      <c r="D1507" t="s">
        <v>3230</v>
      </c>
      <c r="E1507" t="s">
        <v>17</v>
      </c>
      <c r="F1507" t="s">
        <v>3221</v>
      </c>
      <c r="G1507" s="3">
        <v>23.23</v>
      </c>
      <c r="H1507" s="3">
        <v>0</v>
      </c>
      <c r="I1507" s="3">
        <v>23.23</v>
      </c>
      <c r="J1507" s="3">
        <f>Table1[[#This Row],[قيمة الفاتورة]]*0.94-Table1[[#This Row],[قيمة المشاركة]]</f>
        <v>21.836199999999998</v>
      </c>
      <c r="K1507" s="3">
        <v>21.835999999999999</v>
      </c>
      <c r="L1507" s="3">
        <f t="shared" si="23"/>
        <v>1.9999999999953388E-4</v>
      </c>
      <c r="M1507" s="6">
        <v>46183</v>
      </c>
      <c r="N1507" s="6" t="s">
        <v>19</v>
      </c>
    </row>
    <row r="1508" spans="1:14" x14ac:dyDescent="0.3">
      <c r="A1508">
        <v>273</v>
      </c>
      <c r="B1508" t="s">
        <v>610</v>
      </c>
      <c r="C1508" t="s">
        <v>611</v>
      </c>
      <c r="D1508" t="s">
        <v>3231</v>
      </c>
      <c r="E1508" t="s">
        <v>23</v>
      </c>
      <c r="F1508" t="s">
        <v>3232</v>
      </c>
      <c r="G1508" s="3">
        <v>15.09</v>
      </c>
      <c r="H1508" s="3">
        <v>0</v>
      </c>
      <c r="I1508" s="3">
        <v>15.09</v>
      </c>
      <c r="J1508" s="3">
        <f>Table1[[#This Row],[قيمة الفاتورة]]*0.94-Table1[[#This Row],[قيمة المشاركة]]</f>
        <v>14.1846</v>
      </c>
      <c r="K1508">
        <v>14.185</v>
      </c>
      <c r="L1508" s="3">
        <f t="shared" si="23"/>
        <v>-4.0000000000084412E-4</v>
      </c>
      <c r="M1508" t="s">
        <v>2678</v>
      </c>
      <c r="N1508" t="s">
        <v>19</v>
      </c>
    </row>
    <row r="1509" spans="1:14" x14ac:dyDescent="0.3">
      <c r="A1509">
        <v>272</v>
      </c>
      <c r="B1509" t="s">
        <v>1005</v>
      </c>
      <c r="C1509" t="s">
        <v>1006</v>
      </c>
      <c r="D1509" t="s">
        <v>3233</v>
      </c>
      <c r="E1509" t="s">
        <v>23</v>
      </c>
      <c r="F1509" t="s">
        <v>3232</v>
      </c>
      <c r="G1509" s="3">
        <v>24.37</v>
      </c>
      <c r="H1509" s="3">
        <v>0</v>
      </c>
      <c r="I1509" s="3">
        <v>24.37</v>
      </c>
      <c r="J1509" s="3">
        <f>Table1[[#This Row],[قيمة الفاتورة]]*0.94-Table1[[#This Row],[قيمة المشاركة]]</f>
        <v>22.907799999999998</v>
      </c>
      <c r="K1509">
        <v>22.099</v>
      </c>
      <c r="L1509" s="3">
        <f t="shared" si="23"/>
        <v>0.80879999999999797</v>
      </c>
      <c r="M1509" t="s">
        <v>2678</v>
      </c>
      <c r="N1509" t="s">
        <v>19</v>
      </c>
    </row>
    <row r="1510" spans="1:14" x14ac:dyDescent="0.3">
      <c r="A1510">
        <v>1239</v>
      </c>
      <c r="B1510" t="s">
        <v>1194</v>
      </c>
      <c r="C1510" t="s">
        <v>1195</v>
      </c>
      <c r="D1510" t="s">
        <v>3234</v>
      </c>
      <c r="E1510" t="s">
        <v>23</v>
      </c>
      <c r="F1510" t="s">
        <v>3235</v>
      </c>
      <c r="G1510" s="3">
        <v>35.17</v>
      </c>
      <c r="H1510" s="3">
        <v>0</v>
      </c>
      <c r="I1510" s="3">
        <v>35.17</v>
      </c>
      <c r="J1510" s="3">
        <f>Table1[[#This Row],[قيمة الفاتورة]]*0.94-Table1[[#This Row],[قيمة المشاركة]]</f>
        <v>33.059800000000003</v>
      </c>
      <c r="K1510">
        <v>33.06</v>
      </c>
      <c r="L1510" s="3">
        <f t="shared" si="23"/>
        <v>-1.9999999999953388E-4</v>
      </c>
      <c r="M1510" t="s">
        <v>2678</v>
      </c>
      <c r="N1510" t="s">
        <v>19</v>
      </c>
    </row>
    <row r="1511" spans="1:14" x14ac:dyDescent="0.3">
      <c r="A1511">
        <v>275</v>
      </c>
      <c r="B1511" t="s">
        <v>3236</v>
      </c>
      <c r="C1511" t="s">
        <v>3237</v>
      </c>
      <c r="D1511" t="s">
        <v>3238</v>
      </c>
      <c r="E1511" t="s">
        <v>17</v>
      </c>
      <c r="F1511" t="s">
        <v>3235</v>
      </c>
      <c r="G1511" s="3">
        <v>21.9</v>
      </c>
      <c r="H1511" s="3">
        <v>4.38</v>
      </c>
      <c r="I1511" s="3">
        <v>17.52</v>
      </c>
      <c r="J1511" s="3">
        <f>Table1[[#This Row],[قيمة الفاتورة]]*0.94-Table1[[#This Row],[قيمة المشاركة]]</f>
        <v>16.206</v>
      </c>
      <c r="K1511">
        <v>16.206</v>
      </c>
      <c r="L1511" s="3">
        <f t="shared" si="23"/>
        <v>0</v>
      </c>
      <c r="M1511" t="s">
        <v>3155</v>
      </c>
      <c r="N1511" t="s">
        <v>328</v>
      </c>
    </row>
    <row r="1512" spans="1:14" x14ac:dyDescent="0.3">
      <c r="A1512">
        <v>1236</v>
      </c>
      <c r="B1512" t="s">
        <v>3239</v>
      </c>
      <c r="C1512" t="s">
        <v>3240</v>
      </c>
      <c r="D1512" t="s">
        <v>3241</v>
      </c>
      <c r="E1512" t="s">
        <v>17</v>
      </c>
      <c r="F1512" t="s">
        <v>3235</v>
      </c>
      <c r="G1512" s="3">
        <v>54.96</v>
      </c>
      <c r="H1512" s="3">
        <v>10.992000000000001</v>
      </c>
      <c r="I1512" s="3">
        <v>43.968000000000004</v>
      </c>
      <c r="J1512" s="3">
        <f>Table1[[#This Row],[قيمة الفاتورة]]*0.94-Table1[[#This Row],[قيمة المشاركة]]</f>
        <v>40.670400000000001</v>
      </c>
      <c r="K1512">
        <v>40.67</v>
      </c>
      <c r="L1512" s="3">
        <f t="shared" si="23"/>
        <v>3.9999999999906777E-4</v>
      </c>
      <c r="M1512" t="s">
        <v>3155</v>
      </c>
      <c r="N1512" t="s">
        <v>328</v>
      </c>
    </row>
    <row r="1513" spans="1:14" x14ac:dyDescent="0.3">
      <c r="A1513">
        <v>1238</v>
      </c>
      <c r="B1513" t="s">
        <v>2848</v>
      </c>
      <c r="C1513" t="s">
        <v>2849</v>
      </c>
      <c r="D1513" t="s">
        <v>3242</v>
      </c>
      <c r="E1513" t="s">
        <v>17</v>
      </c>
      <c r="F1513" t="s">
        <v>3235</v>
      </c>
      <c r="G1513" s="3">
        <v>32.659999999999997</v>
      </c>
      <c r="H1513" s="3">
        <v>6.532</v>
      </c>
      <c r="I1513" s="3">
        <v>26.128</v>
      </c>
      <c r="J1513" s="3">
        <f>Table1[[#This Row],[قيمة الفاتورة]]*0.94-Table1[[#This Row],[قيمة المشاركة]]</f>
        <v>24.168399999999995</v>
      </c>
      <c r="K1513">
        <v>24.167000000000002</v>
      </c>
      <c r="L1513" s="3">
        <f t="shared" si="23"/>
        <v>1.3999999999931845E-3</v>
      </c>
      <c r="M1513" t="s">
        <v>3155</v>
      </c>
      <c r="N1513" t="s">
        <v>328</v>
      </c>
    </row>
    <row r="1514" spans="1:14" x14ac:dyDescent="0.3">
      <c r="A1514">
        <v>274</v>
      </c>
      <c r="B1514" t="s">
        <v>455</v>
      </c>
      <c r="C1514" t="s">
        <v>456</v>
      </c>
      <c r="D1514" t="s">
        <v>3243</v>
      </c>
      <c r="E1514" t="s">
        <v>17</v>
      </c>
      <c r="F1514" t="s">
        <v>3235</v>
      </c>
      <c r="G1514" s="3">
        <v>12.85</v>
      </c>
      <c r="H1514" s="3">
        <v>0</v>
      </c>
      <c r="I1514" s="3">
        <v>12.85</v>
      </c>
      <c r="J1514" s="3">
        <f>Table1[[#This Row],[قيمة الفاتورة]]*0.94-Table1[[#This Row],[قيمة المشاركة]]</f>
        <v>12.078999999999999</v>
      </c>
      <c r="K1514">
        <v>11.468</v>
      </c>
      <c r="L1514" s="3">
        <f t="shared" si="23"/>
        <v>0.61099999999999888</v>
      </c>
      <c r="M1514" t="s">
        <v>2678</v>
      </c>
      <c r="N1514" t="s">
        <v>19</v>
      </c>
    </row>
    <row r="1515" spans="1:14" x14ac:dyDescent="0.3">
      <c r="A1515">
        <v>1240</v>
      </c>
      <c r="B1515" t="s">
        <v>2912</v>
      </c>
      <c r="C1515" t="s">
        <v>2698</v>
      </c>
      <c r="D1515" t="s">
        <v>3244</v>
      </c>
      <c r="E1515" t="s">
        <v>23</v>
      </c>
      <c r="F1515" t="s">
        <v>3235</v>
      </c>
      <c r="G1515" s="3">
        <v>34.369999999999997</v>
      </c>
      <c r="H1515" s="3">
        <v>6.8739999999999997</v>
      </c>
      <c r="I1515" s="3">
        <v>27.495999999999999</v>
      </c>
      <c r="J1515" s="3">
        <f>Table1[[#This Row],[قيمة الفاتورة]]*0.94-Table1[[#This Row],[قيمة المشاركة]]</f>
        <v>25.433799999999994</v>
      </c>
      <c r="K1515">
        <v>23.544</v>
      </c>
      <c r="L1515" s="3">
        <f t="shared" si="23"/>
        <v>1.8897999999999939</v>
      </c>
      <c r="M1515" t="s">
        <v>3155</v>
      </c>
      <c r="N1515" t="s">
        <v>328</v>
      </c>
    </row>
    <row r="1516" spans="1:14" x14ac:dyDescent="0.3">
      <c r="A1516">
        <v>1237</v>
      </c>
      <c r="B1516" t="s">
        <v>3245</v>
      </c>
      <c r="C1516" t="s">
        <v>3246</v>
      </c>
      <c r="D1516" t="s">
        <v>3247</v>
      </c>
      <c r="E1516" t="s">
        <v>23</v>
      </c>
      <c r="F1516" t="s">
        <v>3235</v>
      </c>
      <c r="G1516" s="3">
        <v>67.47</v>
      </c>
      <c r="H1516" s="3">
        <v>13.494</v>
      </c>
      <c r="I1516" s="3">
        <v>53.975999999999999</v>
      </c>
      <c r="J1516" s="3">
        <f>Table1[[#This Row],[قيمة الفاتورة]]*0.94-Table1[[#This Row],[قيمة المشاركة]]</f>
        <v>49.927799999999998</v>
      </c>
      <c r="K1516">
        <v>40.395000000000003</v>
      </c>
      <c r="L1516" s="3">
        <f t="shared" si="23"/>
        <v>9.5327999999999946</v>
      </c>
      <c r="M1516" t="s">
        <v>3155</v>
      </c>
      <c r="N1516" t="s">
        <v>328</v>
      </c>
    </row>
    <row r="1517" spans="1:14" x14ac:dyDescent="0.3">
      <c r="A1517">
        <v>1248</v>
      </c>
      <c r="B1517" t="s">
        <v>3248</v>
      </c>
      <c r="C1517" t="s">
        <v>3249</v>
      </c>
      <c r="D1517" t="s">
        <v>3250</v>
      </c>
      <c r="E1517" t="s">
        <v>17</v>
      </c>
      <c r="F1517" t="s">
        <v>3251</v>
      </c>
      <c r="G1517" s="3">
        <v>32.96</v>
      </c>
      <c r="H1517" s="3">
        <v>6.5919999999999996</v>
      </c>
      <c r="I1517" s="3">
        <v>26.367999999999999</v>
      </c>
      <c r="J1517" s="3">
        <f>Table1[[#This Row],[قيمة الفاتورة]]*0.94-Table1[[#This Row],[قيمة المشاركة]]</f>
        <v>24.3904</v>
      </c>
      <c r="K1517">
        <v>24.390999999999998</v>
      </c>
      <c r="L1517" s="3">
        <f t="shared" si="23"/>
        <v>-5.9999999999860165E-4</v>
      </c>
      <c r="M1517" t="s">
        <v>3155</v>
      </c>
      <c r="N1517" t="s">
        <v>328</v>
      </c>
    </row>
    <row r="1518" spans="1:14" x14ac:dyDescent="0.3">
      <c r="A1518">
        <v>1241</v>
      </c>
      <c r="B1518" t="s">
        <v>2805</v>
      </c>
      <c r="C1518" t="s">
        <v>3252</v>
      </c>
      <c r="D1518" t="s">
        <v>3253</v>
      </c>
      <c r="E1518" t="s">
        <v>17</v>
      </c>
      <c r="F1518" t="s">
        <v>3251</v>
      </c>
      <c r="G1518" s="3">
        <v>58.87</v>
      </c>
      <c r="H1518" s="3">
        <v>11.773999999999999</v>
      </c>
      <c r="I1518" s="3">
        <v>47.095999999999997</v>
      </c>
      <c r="J1518" s="3">
        <f>Table1[[#This Row],[قيمة الفاتورة]]*0.94-Table1[[#This Row],[قيمة المشاركة]]</f>
        <v>43.563799999999993</v>
      </c>
      <c r="K1518">
        <v>43.564</v>
      </c>
      <c r="L1518" s="3">
        <f t="shared" si="23"/>
        <v>-2.0000000000663931E-4</v>
      </c>
      <c r="M1518" t="s">
        <v>3155</v>
      </c>
      <c r="N1518" t="s">
        <v>328</v>
      </c>
    </row>
    <row r="1519" spans="1:14" x14ac:dyDescent="0.3">
      <c r="A1519">
        <v>1244</v>
      </c>
      <c r="B1519" t="s">
        <v>366</v>
      </c>
      <c r="C1519" t="s">
        <v>367</v>
      </c>
      <c r="D1519" t="s">
        <v>3254</v>
      </c>
      <c r="E1519" t="s">
        <v>23</v>
      </c>
      <c r="F1519" t="s">
        <v>3251</v>
      </c>
      <c r="G1519" s="3">
        <v>12.45</v>
      </c>
      <c r="H1519" s="3">
        <v>0</v>
      </c>
      <c r="I1519" s="3">
        <v>12.45</v>
      </c>
      <c r="J1519" s="3">
        <f>Table1[[#This Row],[قيمة الفاتورة]]*0.94-Table1[[#This Row],[قيمة المشاركة]]</f>
        <v>11.702999999999999</v>
      </c>
      <c r="K1519">
        <v>11.702999999999999</v>
      </c>
      <c r="L1519" s="3">
        <f t="shared" si="23"/>
        <v>0</v>
      </c>
      <c r="M1519" t="s">
        <v>2678</v>
      </c>
      <c r="N1519" t="s">
        <v>19</v>
      </c>
    </row>
    <row r="1520" spans="1:14" x14ac:dyDescent="0.3">
      <c r="A1520">
        <v>276</v>
      </c>
      <c r="B1520" t="s">
        <v>3255</v>
      </c>
      <c r="C1520" t="s">
        <v>3256</v>
      </c>
      <c r="D1520" t="s">
        <v>3257</v>
      </c>
      <c r="E1520" t="s">
        <v>17</v>
      </c>
      <c r="F1520" t="s">
        <v>3251</v>
      </c>
      <c r="G1520" s="3">
        <v>10.55</v>
      </c>
      <c r="H1520" s="3">
        <v>2.11</v>
      </c>
      <c r="I1520" s="3">
        <v>8.44</v>
      </c>
      <c r="J1520" s="3">
        <f>Table1[[#This Row],[قيمة الفاتورة]]*0.94-Table1[[#This Row],[قيمة المشاركة]]</f>
        <v>7.8070000000000004</v>
      </c>
      <c r="K1520">
        <v>7.8070000000000004</v>
      </c>
      <c r="L1520" s="3">
        <f t="shared" si="23"/>
        <v>0</v>
      </c>
      <c r="M1520" t="s">
        <v>3155</v>
      </c>
      <c r="N1520" t="s">
        <v>328</v>
      </c>
    </row>
    <row r="1521" spans="1:14" x14ac:dyDescent="0.3">
      <c r="A1521">
        <v>1243</v>
      </c>
      <c r="B1521" t="s">
        <v>3258</v>
      </c>
      <c r="C1521" t="s">
        <v>3259</v>
      </c>
      <c r="D1521" t="s">
        <v>3260</v>
      </c>
      <c r="E1521" t="s">
        <v>17</v>
      </c>
      <c r="F1521" t="s">
        <v>3251</v>
      </c>
      <c r="G1521" s="3">
        <v>4.38</v>
      </c>
      <c r="H1521" s="3">
        <v>0</v>
      </c>
      <c r="I1521" s="3">
        <v>4.38</v>
      </c>
      <c r="J1521" s="3">
        <f>Table1[[#This Row],[قيمة الفاتورة]]*0.94-Table1[[#This Row],[قيمة المشاركة]]</f>
        <v>4.1171999999999995</v>
      </c>
      <c r="K1521">
        <v>4.117</v>
      </c>
      <c r="L1521" s="3">
        <f t="shared" si="23"/>
        <v>1.9999999999953388E-4</v>
      </c>
      <c r="M1521" t="s">
        <v>2678</v>
      </c>
      <c r="N1521" t="s">
        <v>19</v>
      </c>
    </row>
    <row r="1522" spans="1:14" x14ac:dyDescent="0.3">
      <c r="A1522">
        <v>1245</v>
      </c>
      <c r="B1522" t="s">
        <v>1746</v>
      </c>
      <c r="C1522" t="s">
        <v>2222</v>
      </c>
      <c r="D1522" t="s">
        <v>3261</v>
      </c>
      <c r="E1522" t="s">
        <v>23</v>
      </c>
      <c r="F1522" t="s">
        <v>3251</v>
      </c>
      <c r="G1522" s="3">
        <v>27.34</v>
      </c>
      <c r="H1522" s="3">
        <v>0</v>
      </c>
      <c r="I1522" s="3">
        <v>27.34</v>
      </c>
      <c r="J1522" s="3">
        <f>Table1[[#This Row],[قيمة الفاتورة]]*0.94-Table1[[#This Row],[قيمة المشاركة]]</f>
        <v>25.699599999999997</v>
      </c>
      <c r="K1522">
        <v>25.699000000000002</v>
      </c>
      <c r="L1522" s="3">
        <f t="shared" si="23"/>
        <v>5.9999999999504894E-4</v>
      </c>
      <c r="M1522" t="s">
        <v>2678</v>
      </c>
      <c r="N1522" t="s">
        <v>19</v>
      </c>
    </row>
    <row r="1523" spans="1:14" x14ac:dyDescent="0.3">
      <c r="A1523">
        <v>277</v>
      </c>
      <c r="B1523" t="s">
        <v>1721</v>
      </c>
      <c r="C1523" t="s">
        <v>1722</v>
      </c>
      <c r="D1523" t="s">
        <v>3262</v>
      </c>
      <c r="E1523" t="s">
        <v>17</v>
      </c>
      <c r="F1523" t="s">
        <v>3251</v>
      </c>
      <c r="G1523" s="3">
        <v>12.71</v>
      </c>
      <c r="H1523" s="3">
        <v>0</v>
      </c>
      <c r="I1523" s="3">
        <v>12.71</v>
      </c>
      <c r="J1523" s="3">
        <f>Table1[[#This Row],[قيمة الفاتورة]]*0.94-Table1[[#This Row],[قيمة المشاركة]]</f>
        <v>11.9474</v>
      </c>
      <c r="K1523">
        <v>11.628</v>
      </c>
      <c r="L1523" s="3">
        <f t="shared" si="23"/>
        <v>0.31939999999999991</v>
      </c>
      <c r="M1523" t="s">
        <v>2678</v>
      </c>
      <c r="N1523" t="s">
        <v>19</v>
      </c>
    </row>
    <row r="1524" spans="1:14" x14ac:dyDescent="0.3">
      <c r="A1524">
        <v>1246</v>
      </c>
      <c r="B1524" t="s">
        <v>678</v>
      </c>
      <c r="C1524" t="s">
        <v>679</v>
      </c>
      <c r="D1524" t="s">
        <v>3263</v>
      </c>
      <c r="E1524" t="s">
        <v>17</v>
      </c>
      <c r="F1524" t="s">
        <v>3251</v>
      </c>
      <c r="G1524" s="3">
        <v>20.05</v>
      </c>
      <c r="H1524" s="3">
        <v>0</v>
      </c>
      <c r="I1524" s="3">
        <v>20.05</v>
      </c>
      <c r="J1524" s="3">
        <f>Table1[[#This Row],[قيمة الفاتورة]]*0.94-Table1[[#This Row],[قيمة المشاركة]]</f>
        <v>18.847000000000001</v>
      </c>
      <c r="K1524">
        <v>17.116</v>
      </c>
      <c r="L1524" s="3">
        <f t="shared" si="23"/>
        <v>1.7310000000000016</v>
      </c>
      <c r="M1524" t="s">
        <v>2678</v>
      </c>
      <c r="N1524" t="s">
        <v>19</v>
      </c>
    </row>
    <row r="1525" spans="1:14" x14ac:dyDescent="0.3">
      <c r="A1525">
        <v>1247</v>
      </c>
      <c r="B1525" t="s">
        <v>3264</v>
      </c>
      <c r="C1525" t="s">
        <v>3265</v>
      </c>
      <c r="D1525" t="s">
        <v>3266</v>
      </c>
      <c r="E1525" t="s">
        <v>17</v>
      </c>
      <c r="F1525" t="s">
        <v>3251</v>
      </c>
      <c r="G1525" s="3">
        <v>27.71</v>
      </c>
      <c r="H1525" s="3">
        <v>5.5419999999999998</v>
      </c>
      <c r="I1525" s="3">
        <v>22.167999999999999</v>
      </c>
      <c r="J1525" s="3">
        <f>Table1[[#This Row],[قيمة الفاتورة]]*0.94-Table1[[#This Row],[قيمة المشاركة]]</f>
        <v>20.505400000000002</v>
      </c>
      <c r="K1525">
        <v>18.623999999999999</v>
      </c>
      <c r="L1525" s="3">
        <f t="shared" si="23"/>
        <v>1.8814000000000028</v>
      </c>
      <c r="M1525" t="s">
        <v>3155</v>
      </c>
      <c r="N1525" t="s">
        <v>328</v>
      </c>
    </row>
    <row r="1526" spans="1:14" x14ac:dyDescent="0.3">
      <c r="A1526">
        <v>1242</v>
      </c>
      <c r="B1526" t="s">
        <v>3267</v>
      </c>
      <c r="C1526" t="s">
        <v>433</v>
      </c>
      <c r="D1526" t="s">
        <v>3268</v>
      </c>
      <c r="E1526" t="s">
        <v>23</v>
      </c>
      <c r="F1526" t="s">
        <v>3251</v>
      </c>
      <c r="G1526" s="3">
        <v>46.95</v>
      </c>
      <c r="H1526" s="3">
        <v>0</v>
      </c>
      <c r="I1526" s="3">
        <v>46.95</v>
      </c>
      <c r="J1526" s="3">
        <f>Table1[[#This Row],[قيمة الفاتورة]]*0.94-Table1[[#This Row],[قيمة المشاركة]]</f>
        <v>44.133000000000003</v>
      </c>
      <c r="L1526" s="3" t="str">
        <f t="shared" si="23"/>
        <v/>
      </c>
      <c r="N1526" t="s">
        <v>126</v>
      </c>
    </row>
    <row r="1527" spans="1:14" x14ac:dyDescent="0.3">
      <c r="A1527">
        <v>278</v>
      </c>
      <c r="B1527" t="s">
        <v>196</v>
      </c>
      <c r="C1527" t="s">
        <v>197</v>
      </c>
      <c r="D1527" t="s">
        <v>3269</v>
      </c>
      <c r="E1527" t="s">
        <v>23</v>
      </c>
      <c r="F1527" t="s">
        <v>3270</v>
      </c>
      <c r="G1527" s="3">
        <v>2.5</v>
      </c>
      <c r="H1527" s="3">
        <v>0</v>
      </c>
      <c r="I1527" s="3">
        <v>2.5</v>
      </c>
      <c r="J1527" s="3">
        <f>Table1[[#This Row],[قيمة الفاتورة]]*0.94-Table1[[#This Row],[قيمة المشاركة]]</f>
        <v>2.3499999999999996</v>
      </c>
      <c r="K1527">
        <v>2.35</v>
      </c>
      <c r="L1527" s="3">
        <f t="shared" si="23"/>
        <v>-4.4408920985006262E-16</v>
      </c>
      <c r="M1527" t="s">
        <v>2678</v>
      </c>
      <c r="N1527" t="s">
        <v>19</v>
      </c>
    </row>
    <row r="1528" spans="1:14" x14ac:dyDescent="0.3">
      <c r="A1528">
        <v>1251</v>
      </c>
      <c r="B1528" t="s">
        <v>948</v>
      </c>
      <c r="C1528" t="s">
        <v>949</v>
      </c>
      <c r="D1528" t="s">
        <v>3271</v>
      </c>
      <c r="E1528" t="s">
        <v>17</v>
      </c>
      <c r="F1528" t="s">
        <v>3270</v>
      </c>
      <c r="G1528" s="3">
        <v>10.48</v>
      </c>
      <c r="H1528" s="3">
        <v>0</v>
      </c>
      <c r="I1528" s="3">
        <v>10.48</v>
      </c>
      <c r="J1528" s="3">
        <f>Table1[[#This Row],[قيمة الفاتورة]]*0.94-Table1[[#This Row],[قيمة المشاركة]]</f>
        <v>9.8512000000000004</v>
      </c>
      <c r="K1528">
        <v>9.8510000000000009</v>
      </c>
      <c r="L1528" s="3">
        <f t="shared" si="23"/>
        <v>1.9999999999953388E-4</v>
      </c>
      <c r="M1528" t="s">
        <v>2678</v>
      </c>
      <c r="N1528" t="s">
        <v>19</v>
      </c>
    </row>
    <row r="1529" spans="1:14" x14ac:dyDescent="0.3">
      <c r="A1529">
        <v>1250</v>
      </c>
      <c r="B1529" t="s">
        <v>275</v>
      </c>
      <c r="C1529" t="s">
        <v>276</v>
      </c>
      <c r="D1529" t="s">
        <v>3272</v>
      </c>
      <c r="E1529" t="s">
        <v>17</v>
      </c>
      <c r="F1529" t="s">
        <v>3270</v>
      </c>
      <c r="G1529" s="3">
        <v>25.73</v>
      </c>
      <c r="H1529" s="3">
        <v>0</v>
      </c>
      <c r="I1529" s="3">
        <v>25.73</v>
      </c>
      <c r="J1529" s="3">
        <f>Table1[[#This Row],[قيمة الفاتورة]]*0.94-Table1[[#This Row],[قيمة المشاركة]]</f>
        <v>24.186199999999999</v>
      </c>
      <c r="K1529">
        <v>24.186</v>
      </c>
      <c r="L1529" s="3">
        <f t="shared" si="23"/>
        <v>1.9999999999953388E-4</v>
      </c>
      <c r="M1529" t="s">
        <v>2678</v>
      </c>
      <c r="N1529" t="s">
        <v>19</v>
      </c>
    </row>
    <row r="1530" spans="1:14" x14ac:dyDescent="0.3">
      <c r="A1530">
        <v>1249</v>
      </c>
      <c r="B1530" t="s">
        <v>3273</v>
      </c>
      <c r="C1530" t="s">
        <v>377</v>
      </c>
      <c r="D1530" t="s">
        <v>3274</v>
      </c>
      <c r="E1530" t="s">
        <v>23</v>
      </c>
      <c r="F1530" t="s">
        <v>3270</v>
      </c>
      <c r="G1530" s="3">
        <v>11.93</v>
      </c>
      <c r="H1530" s="3">
        <v>0</v>
      </c>
      <c r="I1530" s="3">
        <v>11.93</v>
      </c>
      <c r="J1530" s="3">
        <f>Table1[[#This Row],[قيمة الفاتورة]]*0.94-Table1[[#This Row],[قيمة المشاركة]]</f>
        <v>11.2142</v>
      </c>
      <c r="K1530">
        <v>11.212999999999999</v>
      </c>
      <c r="L1530" s="3">
        <f t="shared" si="23"/>
        <v>1.200000000000756E-3</v>
      </c>
      <c r="M1530" t="s">
        <v>2678</v>
      </c>
      <c r="N1530" t="s">
        <v>19</v>
      </c>
    </row>
    <row r="1531" spans="1:14" x14ac:dyDescent="0.3">
      <c r="A1531">
        <v>279</v>
      </c>
      <c r="B1531" t="s">
        <v>814</v>
      </c>
      <c r="C1531" t="s">
        <v>815</v>
      </c>
      <c r="D1531" t="s">
        <v>3275</v>
      </c>
      <c r="E1531" t="s">
        <v>23</v>
      </c>
      <c r="F1531" t="s">
        <v>3270</v>
      </c>
      <c r="G1531" s="3">
        <v>22.55</v>
      </c>
      <c r="H1531" s="3">
        <v>0</v>
      </c>
      <c r="I1531" s="3">
        <v>22.55</v>
      </c>
      <c r="J1531" s="3">
        <f>Table1[[#This Row],[قيمة الفاتورة]]*0.94-Table1[[#This Row],[قيمة المشاركة]]</f>
        <v>21.196999999999999</v>
      </c>
      <c r="K1531">
        <v>20.585999999999999</v>
      </c>
      <c r="L1531" s="3">
        <f t="shared" si="23"/>
        <v>0.61100000000000065</v>
      </c>
      <c r="M1531" t="s">
        <v>2678</v>
      </c>
      <c r="N1531" t="s">
        <v>19</v>
      </c>
    </row>
    <row r="1532" spans="1:14" x14ac:dyDescent="0.3">
      <c r="A1532">
        <v>1255</v>
      </c>
      <c r="B1532" t="s">
        <v>3276</v>
      </c>
      <c r="C1532" t="s">
        <v>1257</v>
      </c>
      <c r="D1532" t="s">
        <v>3277</v>
      </c>
      <c r="E1532" t="s">
        <v>17</v>
      </c>
      <c r="F1532" t="s">
        <v>3278</v>
      </c>
      <c r="G1532" s="3">
        <v>61.79</v>
      </c>
      <c r="H1532" s="3">
        <v>12.358000000000001</v>
      </c>
      <c r="I1532" s="3">
        <v>49.432000000000002</v>
      </c>
      <c r="J1532" s="3">
        <f>Table1[[#This Row],[قيمة الفاتورة]]*0.94-Table1[[#This Row],[قيمة المشاركة]]</f>
        <v>45.724599999999995</v>
      </c>
      <c r="K1532">
        <v>45.725000000000001</v>
      </c>
      <c r="L1532" s="3">
        <f t="shared" si="23"/>
        <v>-4.000000000061732E-4</v>
      </c>
      <c r="M1532" t="s">
        <v>3155</v>
      </c>
      <c r="N1532" t="s">
        <v>328</v>
      </c>
    </row>
    <row r="1533" spans="1:14" x14ac:dyDescent="0.3">
      <c r="A1533">
        <v>1253</v>
      </c>
      <c r="B1533" t="s">
        <v>3279</v>
      </c>
      <c r="C1533" t="s">
        <v>3280</v>
      </c>
      <c r="D1533" t="s">
        <v>3281</v>
      </c>
      <c r="E1533" t="s">
        <v>17</v>
      </c>
      <c r="F1533" t="s">
        <v>3278</v>
      </c>
      <c r="G1533" s="3">
        <v>40.76</v>
      </c>
      <c r="H1533" s="3">
        <v>0</v>
      </c>
      <c r="I1533" s="3">
        <v>40.76</v>
      </c>
      <c r="J1533" s="3">
        <f>Table1[[#This Row],[قيمة الفاتورة]]*0.94-Table1[[#This Row],[قيمة المشاركة]]</f>
        <v>38.314399999999999</v>
      </c>
      <c r="K1533">
        <v>38.314</v>
      </c>
      <c r="L1533" s="3">
        <f t="shared" si="23"/>
        <v>3.9999999999906777E-4</v>
      </c>
      <c r="M1533" t="s">
        <v>2678</v>
      </c>
      <c r="N1533" t="s">
        <v>19</v>
      </c>
    </row>
    <row r="1534" spans="1:14" x14ac:dyDescent="0.3">
      <c r="A1534">
        <v>1254</v>
      </c>
      <c r="B1534" t="s">
        <v>3282</v>
      </c>
      <c r="C1534" t="s">
        <v>3283</v>
      </c>
      <c r="D1534" t="s">
        <v>3284</v>
      </c>
      <c r="E1534" t="s">
        <v>23</v>
      </c>
      <c r="F1534" t="s">
        <v>3278</v>
      </c>
      <c r="G1534" s="3">
        <v>27.09</v>
      </c>
      <c r="H1534" s="3">
        <v>0</v>
      </c>
      <c r="I1534" s="3">
        <v>27.09</v>
      </c>
      <c r="J1534" s="3">
        <f>Table1[[#This Row],[قيمة الفاتورة]]*0.94-Table1[[#This Row],[قيمة المشاركة]]</f>
        <v>25.464599999999997</v>
      </c>
      <c r="K1534">
        <v>25.463999999999999</v>
      </c>
      <c r="L1534" s="3">
        <f t="shared" si="23"/>
        <v>5.9999999999860165E-4</v>
      </c>
      <c r="M1534" t="s">
        <v>2678</v>
      </c>
      <c r="N1534" t="s">
        <v>19</v>
      </c>
    </row>
    <row r="1535" spans="1:14" x14ac:dyDescent="0.3">
      <c r="A1535">
        <v>280</v>
      </c>
      <c r="B1535" t="s">
        <v>1376</v>
      </c>
      <c r="C1535" t="s">
        <v>167</v>
      </c>
      <c r="D1535" t="s">
        <v>3285</v>
      </c>
      <c r="E1535" t="s">
        <v>23</v>
      </c>
      <c r="F1535" t="s">
        <v>3278</v>
      </c>
      <c r="G1535" s="3">
        <v>14.72</v>
      </c>
      <c r="H1535" s="3">
        <v>0</v>
      </c>
      <c r="I1535" s="3">
        <v>14.72</v>
      </c>
      <c r="J1535" s="3">
        <f>Table1[[#This Row],[قيمة الفاتورة]]*0.94-Table1[[#This Row],[قيمة المشاركة]]</f>
        <v>13.8368</v>
      </c>
      <c r="K1535">
        <v>13.545</v>
      </c>
      <c r="L1535" s="3">
        <f t="shared" si="23"/>
        <v>0.29180000000000028</v>
      </c>
      <c r="M1535" t="s">
        <v>2678</v>
      </c>
      <c r="N1535" t="s">
        <v>19</v>
      </c>
    </row>
    <row r="1536" spans="1:14" x14ac:dyDescent="0.3">
      <c r="A1536">
        <v>1252</v>
      </c>
      <c r="B1536" t="s">
        <v>1148</v>
      </c>
      <c r="C1536" t="s">
        <v>1149</v>
      </c>
      <c r="D1536" t="s">
        <v>3286</v>
      </c>
      <c r="E1536" t="s">
        <v>17</v>
      </c>
      <c r="F1536" t="s">
        <v>3278</v>
      </c>
      <c r="G1536" s="3">
        <v>43.03</v>
      </c>
      <c r="H1536" s="3">
        <v>0</v>
      </c>
      <c r="I1536" s="3">
        <v>43.03</v>
      </c>
      <c r="J1536" s="3">
        <f>Table1[[#This Row],[قيمة الفاتورة]]*0.94-Table1[[#This Row],[قيمة المشاركة]]</f>
        <v>40.4482</v>
      </c>
      <c r="K1536">
        <v>40.119</v>
      </c>
      <c r="L1536" s="3">
        <f t="shared" si="23"/>
        <v>0.32920000000000016</v>
      </c>
      <c r="M1536" t="s">
        <v>2678</v>
      </c>
      <c r="N1536" t="s">
        <v>19</v>
      </c>
    </row>
    <row r="1537" spans="1:14" x14ac:dyDescent="0.3">
      <c r="A1537">
        <v>281</v>
      </c>
      <c r="B1537" t="s">
        <v>3287</v>
      </c>
      <c r="C1537" t="s">
        <v>3288</v>
      </c>
      <c r="D1537" t="s">
        <v>3289</v>
      </c>
      <c r="E1537" t="s">
        <v>23</v>
      </c>
      <c r="F1537" t="s">
        <v>3290</v>
      </c>
      <c r="G1537" s="3">
        <v>20.87</v>
      </c>
      <c r="H1537" s="3">
        <v>0</v>
      </c>
      <c r="I1537" s="3">
        <v>20.87</v>
      </c>
      <c r="J1537" s="3">
        <f>Table1[[#This Row],[قيمة الفاتورة]]*0.94-Table1[[#This Row],[قيمة المشاركة]]</f>
        <v>19.617799999999999</v>
      </c>
      <c r="K1537">
        <v>19.617999999999999</v>
      </c>
      <c r="L1537" s="3">
        <f t="shared" si="23"/>
        <v>-1.9999999999953388E-4</v>
      </c>
      <c r="M1537" t="s">
        <v>2678</v>
      </c>
      <c r="N1537" t="s">
        <v>19</v>
      </c>
    </row>
    <row r="1538" spans="1:14" x14ac:dyDescent="0.3">
      <c r="A1538">
        <v>1260</v>
      </c>
      <c r="B1538" t="s">
        <v>2690</v>
      </c>
      <c r="C1538" t="s">
        <v>2208</v>
      </c>
      <c r="D1538" t="s">
        <v>3291</v>
      </c>
      <c r="E1538" t="s">
        <v>17</v>
      </c>
      <c r="F1538" t="s">
        <v>3290</v>
      </c>
      <c r="G1538" s="3">
        <v>25.63</v>
      </c>
      <c r="H1538" s="3">
        <v>5.1260000000000003</v>
      </c>
      <c r="I1538" s="3">
        <v>20.504000000000001</v>
      </c>
      <c r="J1538" s="3">
        <f>Table1[[#This Row],[قيمة الفاتورة]]*0.94-Table1[[#This Row],[قيمة المشاركة]]</f>
        <v>18.966199999999997</v>
      </c>
      <c r="K1538">
        <v>18.966000000000001</v>
      </c>
      <c r="L1538" s="3">
        <f t="shared" ref="L1538:L1601" si="24">IF(ISNUMBER(K1538), J1538-K1538, "")</f>
        <v>1.9999999999598117E-4</v>
      </c>
      <c r="M1538" t="s">
        <v>3155</v>
      </c>
      <c r="N1538" t="s">
        <v>328</v>
      </c>
    </row>
    <row r="1539" spans="1:14" x14ac:dyDescent="0.3">
      <c r="A1539">
        <v>1257</v>
      </c>
      <c r="B1539" t="s">
        <v>188</v>
      </c>
      <c r="C1539" t="s">
        <v>167</v>
      </c>
      <c r="D1539" t="s">
        <v>3292</v>
      </c>
      <c r="E1539" t="s">
        <v>23</v>
      </c>
      <c r="F1539" t="s">
        <v>3290</v>
      </c>
      <c r="G1539" s="3">
        <v>14.58</v>
      </c>
      <c r="H1539" s="3">
        <v>0</v>
      </c>
      <c r="I1539" s="3">
        <v>14.58</v>
      </c>
      <c r="J1539" s="3">
        <f>Table1[[#This Row],[قيمة الفاتورة]]*0.94-Table1[[#This Row],[قيمة المشاركة]]</f>
        <v>13.7052</v>
      </c>
      <c r="K1539">
        <v>13.705</v>
      </c>
      <c r="L1539" s="3">
        <f t="shared" si="24"/>
        <v>1.9999999999953388E-4</v>
      </c>
      <c r="M1539" t="s">
        <v>2678</v>
      </c>
      <c r="N1539" t="s">
        <v>19</v>
      </c>
    </row>
    <row r="1540" spans="1:14" x14ac:dyDescent="0.3">
      <c r="A1540">
        <v>1259</v>
      </c>
      <c r="B1540" t="s">
        <v>3293</v>
      </c>
      <c r="C1540" t="s">
        <v>3294</v>
      </c>
      <c r="D1540" t="s">
        <v>3295</v>
      </c>
      <c r="E1540" t="s">
        <v>23</v>
      </c>
      <c r="F1540" t="s">
        <v>3290</v>
      </c>
      <c r="G1540" s="3">
        <v>23</v>
      </c>
      <c r="H1540" s="3">
        <v>4.5999999999999996</v>
      </c>
      <c r="I1540" s="3">
        <v>18.399999999999999</v>
      </c>
      <c r="J1540" s="3">
        <f>Table1[[#This Row],[قيمة الفاتورة]]*0.94-Table1[[#This Row],[قيمة المشاركة]]</f>
        <v>17.019999999999996</v>
      </c>
      <c r="K1540">
        <v>17.018999999999998</v>
      </c>
      <c r="L1540" s="3">
        <f t="shared" si="24"/>
        <v>9.9999999999766942E-4</v>
      </c>
      <c r="M1540" t="s">
        <v>3155</v>
      </c>
      <c r="N1540" t="s">
        <v>328</v>
      </c>
    </row>
    <row r="1541" spans="1:14" x14ac:dyDescent="0.3">
      <c r="A1541">
        <v>1261</v>
      </c>
      <c r="B1541" t="s">
        <v>938</v>
      </c>
      <c r="C1541" t="s">
        <v>939</v>
      </c>
      <c r="D1541" t="s">
        <v>3296</v>
      </c>
      <c r="E1541" t="s">
        <v>17</v>
      </c>
      <c r="F1541" t="s">
        <v>3290</v>
      </c>
      <c r="G1541" s="3">
        <v>35.81</v>
      </c>
      <c r="H1541" s="3">
        <v>0</v>
      </c>
      <c r="I1541" s="3">
        <v>35.81</v>
      </c>
      <c r="J1541" s="3">
        <f>Table1[[#This Row],[قيمة الفاتورة]]*0.94-Table1[[#This Row],[قيمة المشاركة]]</f>
        <v>33.6614</v>
      </c>
      <c r="K1541">
        <v>31.780999999999999</v>
      </c>
      <c r="L1541" s="3">
        <f t="shared" si="24"/>
        <v>1.8804000000000016</v>
      </c>
      <c r="M1541" t="s">
        <v>2678</v>
      </c>
      <c r="N1541" t="s">
        <v>19</v>
      </c>
    </row>
    <row r="1542" spans="1:14" x14ac:dyDescent="0.3">
      <c r="A1542">
        <v>1258</v>
      </c>
      <c r="B1542" t="s">
        <v>3297</v>
      </c>
      <c r="C1542" t="s">
        <v>3298</v>
      </c>
      <c r="D1542" t="s">
        <v>3299</v>
      </c>
      <c r="E1542" t="s">
        <v>17</v>
      </c>
      <c r="F1542" t="s">
        <v>3290</v>
      </c>
      <c r="G1542" s="3">
        <v>57.99</v>
      </c>
      <c r="H1542" s="3">
        <v>11.598000000000001</v>
      </c>
      <c r="I1542" s="3">
        <v>46.392000000000003</v>
      </c>
      <c r="J1542" s="3">
        <f>Table1[[#This Row],[قيمة الفاتورة]]*0.94-Table1[[#This Row],[قيمة المشاركة]]</f>
        <v>42.912599999999998</v>
      </c>
      <c r="K1542">
        <v>39.802</v>
      </c>
      <c r="L1542" s="3">
        <f t="shared" si="24"/>
        <v>3.110599999999998</v>
      </c>
      <c r="M1542" t="s">
        <v>3155</v>
      </c>
      <c r="N1542" t="s">
        <v>328</v>
      </c>
    </row>
    <row r="1543" spans="1:14" x14ac:dyDescent="0.3">
      <c r="A1543">
        <v>1256</v>
      </c>
      <c r="B1543" t="s">
        <v>3300</v>
      </c>
      <c r="C1543" t="s">
        <v>3301</v>
      </c>
      <c r="D1543" t="s">
        <v>3302</v>
      </c>
      <c r="E1543" t="s">
        <v>23</v>
      </c>
      <c r="F1543" t="s">
        <v>3290</v>
      </c>
      <c r="G1543" s="3">
        <v>40.32</v>
      </c>
      <c r="H1543" s="3">
        <v>8.0640000000000001</v>
      </c>
      <c r="I1543" s="3">
        <v>32.256</v>
      </c>
      <c r="J1543" s="3">
        <f>Table1[[#This Row],[قيمة الفاتورة]]*0.94-Table1[[#This Row],[قيمة المشاركة]]</f>
        <v>29.836799999999997</v>
      </c>
      <c r="K1543" s="3">
        <v>29.838999999999999</v>
      </c>
      <c r="L1543" s="3">
        <f t="shared" si="24"/>
        <v>-2.2000000000019782E-3</v>
      </c>
      <c r="M1543" s="6">
        <v>46175</v>
      </c>
      <c r="N1543" s="6" t="s">
        <v>328</v>
      </c>
    </row>
    <row r="1544" spans="1:14" x14ac:dyDescent="0.3">
      <c r="A1544">
        <v>1262</v>
      </c>
      <c r="B1544" t="s">
        <v>604</v>
      </c>
      <c r="C1544" t="s">
        <v>933</v>
      </c>
      <c r="D1544" t="s">
        <v>3303</v>
      </c>
      <c r="E1544" t="s">
        <v>23</v>
      </c>
      <c r="F1544" t="s">
        <v>3304</v>
      </c>
      <c r="G1544" s="3">
        <v>13.71</v>
      </c>
      <c r="H1544" s="3">
        <v>0</v>
      </c>
      <c r="I1544" s="3">
        <v>13.71</v>
      </c>
      <c r="J1544" s="3">
        <f>Table1[[#This Row],[قيمة الفاتورة]]*0.94-Table1[[#This Row],[قيمة المشاركة]]</f>
        <v>12.8874</v>
      </c>
      <c r="K1544">
        <v>12.888</v>
      </c>
      <c r="L1544" s="3">
        <f t="shared" si="24"/>
        <v>-6.0000000000037801E-4</v>
      </c>
      <c r="M1544" t="s">
        <v>2678</v>
      </c>
      <c r="N1544" t="s">
        <v>19</v>
      </c>
    </row>
    <row r="1545" spans="1:14" x14ac:dyDescent="0.3">
      <c r="A1545">
        <v>282</v>
      </c>
      <c r="B1545" t="s">
        <v>891</v>
      </c>
      <c r="C1545" t="s">
        <v>892</v>
      </c>
      <c r="D1545" t="s">
        <v>3305</v>
      </c>
      <c r="E1545" t="s">
        <v>17</v>
      </c>
      <c r="F1545" t="s">
        <v>3304</v>
      </c>
      <c r="G1545" s="3">
        <v>21.17</v>
      </c>
      <c r="H1545" s="3">
        <v>3.1749999999999998</v>
      </c>
      <c r="I1545" s="3">
        <v>17.995000000000001</v>
      </c>
      <c r="J1545" s="3">
        <f>Table1[[#This Row],[قيمة الفاتورة]]*0.94-Table1[[#This Row],[قيمة المشاركة]]</f>
        <v>16.724799999999998</v>
      </c>
      <c r="K1545">
        <v>16.725000000000001</v>
      </c>
      <c r="L1545" s="3">
        <f t="shared" si="24"/>
        <v>-2.000000000030866E-4</v>
      </c>
      <c r="M1545" t="s">
        <v>2678</v>
      </c>
      <c r="N1545" t="s">
        <v>19</v>
      </c>
    </row>
    <row r="1546" spans="1:14" x14ac:dyDescent="0.3">
      <c r="A1546">
        <v>283</v>
      </c>
      <c r="B1546" t="s">
        <v>2432</v>
      </c>
      <c r="C1546" t="s">
        <v>2433</v>
      </c>
      <c r="D1546" t="s">
        <v>3306</v>
      </c>
      <c r="E1546" t="s">
        <v>23</v>
      </c>
      <c r="F1546" t="s">
        <v>3304</v>
      </c>
      <c r="G1546" s="3">
        <v>13.83</v>
      </c>
      <c r="H1546" s="3">
        <v>0</v>
      </c>
      <c r="I1546" s="3">
        <v>13.83</v>
      </c>
      <c r="J1546" s="3">
        <f>Table1[[#This Row],[قيمة الفاتورة]]*0.94-Table1[[#This Row],[قيمة المشاركة]]</f>
        <v>13.0002</v>
      </c>
      <c r="K1546">
        <v>13</v>
      </c>
      <c r="L1546" s="3">
        <f t="shared" si="24"/>
        <v>1.9999999999953388E-4</v>
      </c>
      <c r="M1546" t="s">
        <v>2678</v>
      </c>
      <c r="N1546" t="s">
        <v>19</v>
      </c>
    </row>
    <row r="1547" spans="1:14" x14ac:dyDescent="0.3">
      <c r="A1547">
        <v>1264</v>
      </c>
      <c r="B1547" t="s">
        <v>891</v>
      </c>
      <c r="C1547" t="s">
        <v>1489</v>
      </c>
      <c r="D1547" t="s">
        <v>3305</v>
      </c>
      <c r="E1547" t="s">
        <v>17</v>
      </c>
      <c r="F1547" t="s">
        <v>3304</v>
      </c>
      <c r="G1547" s="3">
        <v>3.23</v>
      </c>
      <c r="H1547" s="3">
        <v>0.48399999999999999</v>
      </c>
      <c r="I1547" s="3">
        <v>2.746</v>
      </c>
      <c r="J1547" s="3">
        <f>Table1[[#This Row],[قيمة الفاتورة]]*0.94-Table1[[#This Row],[قيمة المشاركة]]</f>
        <v>2.5522</v>
      </c>
      <c r="K1547">
        <v>2.552</v>
      </c>
      <c r="L1547" s="3">
        <f t="shared" si="24"/>
        <v>1.9999999999997797E-4</v>
      </c>
      <c r="M1547" t="s">
        <v>2678</v>
      </c>
      <c r="N1547" t="s">
        <v>19</v>
      </c>
    </row>
    <row r="1548" spans="1:14" x14ac:dyDescent="0.3">
      <c r="A1548">
        <v>1266</v>
      </c>
      <c r="B1548" t="s">
        <v>2815</v>
      </c>
      <c r="C1548" t="s">
        <v>2816</v>
      </c>
      <c r="D1548" t="s">
        <v>3307</v>
      </c>
      <c r="E1548" t="s">
        <v>23</v>
      </c>
      <c r="F1548" t="s">
        <v>3304</v>
      </c>
      <c r="G1548" s="3">
        <v>40.46</v>
      </c>
      <c r="H1548" s="3">
        <v>8.0920000000000005</v>
      </c>
      <c r="I1548" s="3">
        <v>32.368000000000002</v>
      </c>
      <c r="J1548" s="3">
        <f>Table1[[#This Row],[قيمة الفاتورة]]*0.94-Table1[[#This Row],[قيمة المشاركة]]</f>
        <v>29.940399999999997</v>
      </c>
      <c r="K1548">
        <v>29.94</v>
      </c>
      <c r="L1548" s="3">
        <f t="shared" si="24"/>
        <v>3.9999999999551505E-4</v>
      </c>
      <c r="M1548" t="s">
        <v>3155</v>
      </c>
      <c r="N1548" t="s">
        <v>328</v>
      </c>
    </row>
    <row r="1549" spans="1:14" x14ac:dyDescent="0.3">
      <c r="A1549">
        <v>1265</v>
      </c>
      <c r="B1549" t="s">
        <v>2809</v>
      </c>
      <c r="C1549" t="s">
        <v>3308</v>
      </c>
      <c r="D1549" t="s">
        <v>3309</v>
      </c>
      <c r="E1549" t="s">
        <v>23</v>
      </c>
      <c r="F1549" t="s">
        <v>3304</v>
      </c>
      <c r="G1549" s="3">
        <v>40.17</v>
      </c>
      <c r="H1549" s="3">
        <v>8.0340000000000007</v>
      </c>
      <c r="I1549" s="3">
        <v>32.136000000000003</v>
      </c>
      <c r="J1549" s="3">
        <f>Table1[[#This Row],[قيمة الفاتورة]]*0.94-Table1[[#This Row],[قيمة المشاركة]]</f>
        <v>29.7258</v>
      </c>
      <c r="K1549">
        <v>29.725000000000001</v>
      </c>
      <c r="L1549" s="3">
        <f t="shared" si="24"/>
        <v>7.9999999999813554E-4</v>
      </c>
      <c r="M1549" t="s">
        <v>3155</v>
      </c>
      <c r="N1549" t="s">
        <v>328</v>
      </c>
    </row>
    <row r="1550" spans="1:14" x14ac:dyDescent="0.3">
      <c r="A1550">
        <v>1263</v>
      </c>
      <c r="B1550" t="s">
        <v>2990</v>
      </c>
      <c r="C1550" t="s">
        <v>3294</v>
      </c>
      <c r="D1550" t="s">
        <v>3310</v>
      </c>
      <c r="E1550" t="s">
        <v>23</v>
      </c>
      <c r="F1550" t="s">
        <v>3304</v>
      </c>
      <c r="G1550" s="3">
        <v>61.25</v>
      </c>
      <c r="H1550" s="3">
        <v>12.25</v>
      </c>
      <c r="I1550" s="3">
        <v>49</v>
      </c>
      <c r="J1550" s="3">
        <f>Table1[[#This Row],[قيمة الفاتورة]]*0.94-Table1[[#This Row],[قيمة المشاركة]]</f>
        <v>45.324999999999996</v>
      </c>
      <c r="K1550">
        <v>45.323999999999998</v>
      </c>
      <c r="L1550" s="3">
        <f t="shared" si="24"/>
        <v>9.9999999999766942E-4</v>
      </c>
      <c r="M1550" t="s">
        <v>3155</v>
      </c>
      <c r="N1550" t="s">
        <v>328</v>
      </c>
    </row>
    <row r="1551" spans="1:14" x14ac:dyDescent="0.3">
      <c r="A1551">
        <v>1267</v>
      </c>
      <c r="B1551" t="s">
        <v>2812</v>
      </c>
      <c r="C1551" t="s">
        <v>2813</v>
      </c>
      <c r="D1551" t="s">
        <v>3311</v>
      </c>
      <c r="E1551" t="s">
        <v>23</v>
      </c>
      <c r="F1551" t="s">
        <v>3312</v>
      </c>
      <c r="G1551" s="3">
        <v>48.53</v>
      </c>
      <c r="H1551" s="3">
        <v>9.7059999999999995</v>
      </c>
      <c r="I1551" s="3">
        <v>38.823999999999998</v>
      </c>
      <c r="J1551" s="3">
        <f>Table1[[#This Row],[قيمة الفاتورة]]*0.94-Table1[[#This Row],[قيمة المشاركة]]</f>
        <v>35.912199999999999</v>
      </c>
      <c r="K1551">
        <v>35.912999999999997</v>
      </c>
      <c r="L1551" s="3">
        <f t="shared" si="24"/>
        <v>-7.9999999999813554E-4</v>
      </c>
      <c r="M1551" t="s">
        <v>3155</v>
      </c>
      <c r="N1551" t="s">
        <v>328</v>
      </c>
    </row>
    <row r="1552" spans="1:14" x14ac:dyDescent="0.3">
      <c r="A1552">
        <v>286</v>
      </c>
      <c r="B1552" t="s">
        <v>2495</v>
      </c>
      <c r="C1552" t="s">
        <v>2496</v>
      </c>
      <c r="D1552" t="s">
        <v>3313</v>
      </c>
      <c r="E1552" t="s">
        <v>23</v>
      </c>
      <c r="F1552" t="s">
        <v>3312</v>
      </c>
      <c r="G1552" s="3">
        <v>12.72</v>
      </c>
      <c r="H1552" s="3">
        <v>0</v>
      </c>
      <c r="I1552" s="3">
        <v>12.72</v>
      </c>
      <c r="J1552" s="3">
        <f>Table1[[#This Row],[قيمة الفاتورة]]*0.94-Table1[[#This Row],[قيمة المشاركة]]</f>
        <v>11.956799999999999</v>
      </c>
      <c r="K1552">
        <v>11.957000000000001</v>
      </c>
      <c r="L1552" s="3">
        <f t="shared" si="24"/>
        <v>-2.0000000000131024E-4</v>
      </c>
      <c r="M1552" t="s">
        <v>2678</v>
      </c>
      <c r="N1552" t="s">
        <v>19</v>
      </c>
    </row>
    <row r="1553" spans="1:14" x14ac:dyDescent="0.3">
      <c r="A1553">
        <v>285</v>
      </c>
      <c r="B1553" t="s">
        <v>2800</v>
      </c>
      <c r="C1553" t="s">
        <v>2801</v>
      </c>
      <c r="D1553" t="s">
        <v>3314</v>
      </c>
      <c r="E1553" t="s">
        <v>17</v>
      </c>
      <c r="F1553" t="s">
        <v>3312</v>
      </c>
      <c r="G1553" s="3">
        <v>28.5</v>
      </c>
      <c r="H1553" s="3">
        <v>0</v>
      </c>
      <c r="I1553" s="3">
        <v>28.5</v>
      </c>
      <c r="J1553" s="3">
        <f>Table1[[#This Row],[قيمة الفاتورة]]*0.94-Table1[[#This Row],[قيمة المشاركة]]</f>
        <v>26.79</v>
      </c>
      <c r="K1553">
        <v>26.79</v>
      </c>
      <c r="L1553" s="3">
        <f t="shared" si="24"/>
        <v>0</v>
      </c>
      <c r="M1553" t="s">
        <v>2678</v>
      </c>
      <c r="N1553" t="s">
        <v>19</v>
      </c>
    </row>
    <row r="1554" spans="1:14" x14ac:dyDescent="0.3">
      <c r="A1554">
        <v>1270</v>
      </c>
      <c r="B1554" t="s">
        <v>24</v>
      </c>
      <c r="C1554" t="s">
        <v>25</v>
      </c>
      <c r="D1554" t="s">
        <v>3315</v>
      </c>
      <c r="E1554" t="s">
        <v>23</v>
      </c>
      <c r="F1554" t="s">
        <v>3312</v>
      </c>
      <c r="G1554" s="3">
        <v>26.93</v>
      </c>
      <c r="H1554" s="3">
        <v>0</v>
      </c>
      <c r="I1554" s="3">
        <v>26.93</v>
      </c>
      <c r="J1554" s="3">
        <f>Table1[[#This Row],[قيمة الفاتورة]]*0.94-Table1[[#This Row],[قيمة المشاركة]]</f>
        <v>25.3142</v>
      </c>
      <c r="K1554">
        <v>25.314</v>
      </c>
      <c r="L1554" s="3">
        <f t="shared" si="24"/>
        <v>1.9999999999953388E-4</v>
      </c>
      <c r="M1554" t="s">
        <v>2678</v>
      </c>
      <c r="N1554" t="s">
        <v>19</v>
      </c>
    </row>
    <row r="1555" spans="1:14" x14ac:dyDescent="0.3">
      <c r="A1555">
        <v>1269</v>
      </c>
      <c r="B1555" t="s">
        <v>3020</v>
      </c>
      <c r="C1555" t="s">
        <v>694</v>
      </c>
      <c r="D1555" t="s">
        <v>3316</v>
      </c>
      <c r="E1555" t="s">
        <v>23</v>
      </c>
      <c r="F1555" t="s">
        <v>3312</v>
      </c>
      <c r="G1555" s="3">
        <v>54.43</v>
      </c>
      <c r="H1555" s="3">
        <v>10.885999999999999</v>
      </c>
      <c r="I1555" s="3">
        <v>43.543999999999997</v>
      </c>
      <c r="J1555" s="3">
        <f>Table1[[#This Row],[قيمة الفاتورة]]*0.94-Table1[[#This Row],[قيمة المشاركة]]</f>
        <v>40.278199999999998</v>
      </c>
      <c r="K1555">
        <v>40.277999999999999</v>
      </c>
      <c r="L1555" s="3">
        <f t="shared" si="24"/>
        <v>1.9999999999953388E-4</v>
      </c>
      <c r="M1555" t="s">
        <v>3155</v>
      </c>
      <c r="N1555" t="s">
        <v>328</v>
      </c>
    </row>
    <row r="1556" spans="1:14" x14ac:dyDescent="0.3">
      <c r="A1556">
        <v>1272</v>
      </c>
      <c r="B1556" t="s">
        <v>389</v>
      </c>
      <c r="C1556" t="s">
        <v>3317</v>
      </c>
      <c r="D1556" t="s">
        <v>3318</v>
      </c>
      <c r="E1556" t="s">
        <v>23</v>
      </c>
      <c r="F1556" t="s">
        <v>3312</v>
      </c>
      <c r="G1556" s="3">
        <v>43.52</v>
      </c>
      <c r="H1556" s="3">
        <v>0</v>
      </c>
      <c r="I1556" s="3">
        <v>43.52</v>
      </c>
      <c r="J1556" s="3">
        <f>Table1[[#This Row],[قيمة الفاتورة]]*0.94-Table1[[#This Row],[قيمة المشاركة]]</f>
        <v>40.908799999999999</v>
      </c>
      <c r="K1556">
        <v>40.843000000000004</v>
      </c>
      <c r="L1556" s="3">
        <f t="shared" si="24"/>
        <v>6.5799999999995862E-2</v>
      </c>
      <c r="M1556" t="s">
        <v>2678</v>
      </c>
      <c r="N1556" t="s">
        <v>19</v>
      </c>
    </row>
    <row r="1557" spans="1:14" x14ac:dyDescent="0.3">
      <c r="A1557">
        <v>1268</v>
      </c>
      <c r="B1557" t="s">
        <v>3319</v>
      </c>
      <c r="C1557" t="s">
        <v>3320</v>
      </c>
      <c r="D1557" t="s">
        <v>3321</v>
      </c>
      <c r="E1557" t="s">
        <v>17</v>
      </c>
      <c r="F1557" t="s">
        <v>3312</v>
      </c>
      <c r="G1557" s="3">
        <v>55.28</v>
      </c>
      <c r="H1557" s="3">
        <v>11.055999999999999</v>
      </c>
      <c r="I1557" s="3">
        <v>44.223999999999997</v>
      </c>
      <c r="J1557" s="3">
        <f>Table1[[#This Row],[قيمة الفاتورة]]*0.94-Table1[[#This Row],[قيمة المشاركة]]</f>
        <v>40.907200000000003</v>
      </c>
      <c r="K1557">
        <v>40.691000000000003</v>
      </c>
      <c r="L1557" s="3">
        <f t="shared" si="24"/>
        <v>0.21620000000000061</v>
      </c>
      <c r="M1557" t="s">
        <v>3155</v>
      </c>
      <c r="N1557" t="s">
        <v>328</v>
      </c>
    </row>
    <row r="1558" spans="1:14" x14ac:dyDescent="0.3">
      <c r="A1558">
        <v>284</v>
      </c>
      <c r="B1558" t="s">
        <v>39</v>
      </c>
      <c r="C1558" t="s">
        <v>40</v>
      </c>
      <c r="D1558" t="s">
        <v>3322</v>
      </c>
      <c r="E1558" t="s">
        <v>17</v>
      </c>
      <c r="F1558" t="s">
        <v>3312</v>
      </c>
      <c r="G1558" s="3">
        <v>37.6</v>
      </c>
      <c r="H1558" s="3">
        <v>0</v>
      </c>
      <c r="I1558" s="3">
        <v>37.6</v>
      </c>
      <c r="J1558" s="3">
        <f>Table1[[#This Row],[قيمة الفاتورة]]*0.94-Table1[[#This Row],[قيمة المشاركة]]</f>
        <v>35.344000000000001</v>
      </c>
      <c r="K1558">
        <v>26.61</v>
      </c>
      <c r="L1558" s="3">
        <f t="shared" si="24"/>
        <v>8.7340000000000018</v>
      </c>
      <c r="M1558" t="s">
        <v>2678</v>
      </c>
      <c r="N1558" t="s">
        <v>19</v>
      </c>
    </row>
    <row r="1559" spans="1:14" x14ac:dyDescent="0.3">
      <c r="A1559">
        <v>1271</v>
      </c>
      <c r="B1559" t="s">
        <v>3323</v>
      </c>
      <c r="C1559" t="s">
        <v>2540</v>
      </c>
      <c r="D1559" t="s">
        <v>2539</v>
      </c>
      <c r="E1559" t="s">
        <v>17</v>
      </c>
      <c r="F1559" t="s">
        <v>3312</v>
      </c>
      <c r="G1559" s="3">
        <v>53.7</v>
      </c>
      <c r="H1559" s="3">
        <v>0</v>
      </c>
      <c r="I1559" s="3">
        <v>53.7</v>
      </c>
      <c r="J1559" s="3">
        <f>Table1[[#This Row],[قيمة الفاتورة]]*0.94-Table1[[#This Row],[قيمة المشاركة]]</f>
        <v>50.478000000000002</v>
      </c>
      <c r="L1559" s="3" t="str">
        <f t="shared" si="24"/>
        <v/>
      </c>
      <c r="N1559" t="s">
        <v>19</v>
      </c>
    </row>
    <row r="1560" spans="1:14" x14ac:dyDescent="0.3">
      <c r="A1560">
        <v>1273</v>
      </c>
      <c r="B1560" t="s">
        <v>806</v>
      </c>
      <c r="C1560" t="s">
        <v>807</v>
      </c>
      <c r="D1560" t="s">
        <v>3324</v>
      </c>
      <c r="E1560" t="s">
        <v>23</v>
      </c>
      <c r="F1560" t="s">
        <v>3325</v>
      </c>
      <c r="G1560" s="3">
        <v>10.29</v>
      </c>
      <c r="H1560" s="3">
        <v>0</v>
      </c>
      <c r="I1560" s="3">
        <v>10.29</v>
      </c>
      <c r="J1560" s="3">
        <f>Table1[[#This Row],[قيمة الفاتورة]]*0.94-Table1[[#This Row],[قيمة المشاركة]]</f>
        <v>9.6725999999999992</v>
      </c>
      <c r="K1560">
        <v>9.673</v>
      </c>
      <c r="L1560" s="3">
        <f t="shared" si="24"/>
        <v>-4.0000000000084412E-4</v>
      </c>
      <c r="M1560" t="s">
        <v>2678</v>
      </c>
      <c r="N1560" t="s">
        <v>19</v>
      </c>
    </row>
    <row r="1561" spans="1:14" x14ac:dyDescent="0.3">
      <c r="A1561">
        <v>1274</v>
      </c>
      <c r="B1561" t="s">
        <v>2029</v>
      </c>
      <c r="C1561" t="s">
        <v>2030</v>
      </c>
      <c r="D1561" t="s">
        <v>3326</v>
      </c>
      <c r="E1561" t="s">
        <v>23</v>
      </c>
      <c r="F1561" t="s">
        <v>3327</v>
      </c>
      <c r="G1561" s="3">
        <v>32.18</v>
      </c>
      <c r="H1561" s="3">
        <v>6.4359999999999999</v>
      </c>
      <c r="I1561" s="3">
        <v>25.744</v>
      </c>
      <c r="J1561" s="3">
        <f>Table1[[#This Row],[قيمة الفاتورة]]*0.94-Table1[[#This Row],[قيمة المشاركة]]</f>
        <v>23.813199999999998</v>
      </c>
      <c r="K1561">
        <v>23.812999999999999</v>
      </c>
      <c r="L1561" s="3">
        <f t="shared" si="24"/>
        <v>1.9999999999953388E-4</v>
      </c>
      <c r="M1561" t="s">
        <v>3155</v>
      </c>
      <c r="N1561" t="s">
        <v>328</v>
      </c>
    </row>
    <row r="1562" spans="1:14" x14ac:dyDescent="0.3">
      <c r="A1562">
        <v>1275</v>
      </c>
      <c r="B1562" t="s">
        <v>324</v>
      </c>
      <c r="C1562" t="s">
        <v>325</v>
      </c>
      <c r="D1562" t="s">
        <v>3328</v>
      </c>
      <c r="E1562" t="s">
        <v>17</v>
      </c>
      <c r="F1562" t="s">
        <v>3327</v>
      </c>
      <c r="G1562" s="3">
        <v>18.86</v>
      </c>
      <c r="H1562" s="3">
        <v>3.7719999999999998</v>
      </c>
      <c r="I1562" s="3">
        <v>15.087999999999999</v>
      </c>
      <c r="J1562" s="3">
        <f>Table1[[#This Row],[قيمة الفاتورة]]*0.94-Table1[[#This Row],[قيمة المشاركة]]</f>
        <v>13.956399999999997</v>
      </c>
      <c r="K1562">
        <v>13.11</v>
      </c>
      <c r="L1562" s="3">
        <f t="shared" si="24"/>
        <v>0.84639999999999738</v>
      </c>
      <c r="M1562" t="s">
        <v>3155</v>
      </c>
      <c r="N1562" t="s">
        <v>328</v>
      </c>
    </row>
    <row r="1563" spans="1:14" x14ac:dyDescent="0.3">
      <c r="A1563">
        <v>1278</v>
      </c>
      <c r="B1563" t="s">
        <v>3329</v>
      </c>
      <c r="C1563" t="s">
        <v>3330</v>
      </c>
      <c r="D1563" t="s">
        <v>3331</v>
      </c>
      <c r="E1563" t="s">
        <v>23</v>
      </c>
      <c r="F1563" t="s">
        <v>3332</v>
      </c>
      <c r="G1563" s="3">
        <v>49.4</v>
      </c>
      <c r="H1563" s="3">
        <v>9.8800000000000008</v>
      </c>
      <c r="I1563" s="3">
        <v>39.520000000000003</v>
      </c>
      <c r="J1563" s="3">
        <f>Table1[[#This Row],[قيمة الفاتورة]]*0.94-Table1[[#This Row],[قيمة المشاركة]]</f>
        <v>36.55599999999999</v>
      </c>
      <c r="K1563">
        <v>36.555999999999997</v>
      </c>
      <c r="L1563" s="3">
        <f t="shared" si="24"/>
        <v>-7.1054273576010019E-15</v>
      </c>
      <c r="M1563" t="s">
        <v>3155</v>
      </c>
      <c r="N1563" t="s">
        <v>328</v>
      </c>
    </row>
    <row r="1564" spans="1:14" x14ac:dyDescent="0.3">
      <c r="A1564">
        <v>289</v>
      </c>
      <c r="B1564" t="s">
        <v>3017</v>
      </c>
      <c r="C1564" t="s">
        <v>3333</v>
      </c>
      <c r="D1564" t="s">
        <v>3334</v>
      </c>
      <c r="E1564" t="s">
        <v>17</v>
      </c>
      <c r="F1564" t="s">
        <v>3332</v>
      </c>
      <c r="G1564" s="3">
        <v>15.78</v>
      </c>
      <c r="H1564" s="3">
        <v>0</v>
      </c>
      <c r="I1564" s="3">
        <v>15.78</v>
      </c>
      <c r="J1564" s="3">
        <f>Table1[[#This Row],[قيمة الفاتورة]]*0.94-Table1[[#This Row],[قيمة المشاركة]]</f>
        <v>14.833199999999998</v>
      </c>
      <c r="K1564">
        <v>14.833</v>
      </c>
      <c r="L1564" s="3">
        <f t="shared" si="24"/>
        <v>1.9999999999775753E-4</v>
      </c>
      <c r="M1564" t="s">
        <v>2678</v>
      </c>
      <c r="N1564" t="s">
        <v>19</v>
      </c>
    </row>
    <row r="1565" spans="1:14" x14ac:dyDescent="0.3">
      <c r="A1565">
        <v>1279</v>
      </c>
      <c r="B1565" t="s">
        <v>3335</v>
      </c>
      <c r="C1565" t="s">
        <v>3336</v>
      </c>
      <c r="D1565" t="s">
        <v>3337</v>
      </c>
      <c r="E1565" t="s">
        <v>23</v>
      </c>
      <c r="F1565" t="s">
        <v>3332</v>
      </c>
      <c r="G1565" s="3">
        <v>26.23</v>
      </c>
      <c r="H1565" s="3">
        <v>0</v>
      </c>
      <c r="I1565" s="3">
        <v>26.23</v>
      </c>
      <c r="J1565" s="3">
        <f>Table1[[#This Row],[قيمة الفاتورة]]*0.94-Table1[[#This Row],[قيمة المشاركة]]</f>
        <v>24.656199999999998</v>
      </c>
      <c r="K1565">
        <v>24.655999999999999</v>
      </c>
      <c r="L1565" s="3">
        <f t="shared" si="24"/>
        <v>1.9999999999953388E-4</v>
      </c>
      <c r="M1565" t="s">
        <v>2678</v>
      </c>
      <c r="N1565" t="s">
        <v>19</v>
      </c>
    </row>
    <row r="1566" spans="1:14" x14ac:dyDescent="0.3">
      <c r="A1566">
        <v>288</v>
      </c>
      <c r="B1566" t="s">
        <v>385</v>
      </c>
      <c r="C1566" t="s">
        <v>2634</v>
      </c>
      <c r="D1566" t="s">
        <v>3338</v>
      </c>
      <c r="E1566" t="s">
        <v>17</v>
      </c>
      <c r="F1566" t="s">
        <v>3332</v>
      </c>
      <c r="G1566" s="3">
        <v>5.48</v>
      </c>
      <c r="H1566" s="3">
        <v>0</v>
      </c>
      <c r="I1566" s="3">
        <v>5.48</v>
      </c>
      <c r="J1566" s="3">
        <f>Table1[[#This Row],[قيمة الفاتورة]]*0.94-Table1[[#This Row],[قيمة المشاركة]]</f>
        <v>5.1512000000000002</v>
      </c>
      <c r="K1566">
        <v>5.1509999999999998</v>
      </c>
      <c r="L1566" s="3">
        <f t="shared" si="24"/>
        <v>2.0000000000042206E-4</v>
      </c>
      <c r="M1566" t="s">
        <v>2678</v>
      </c>
      <c r="N1566" t="s">
        <v>19</v>
      </c>
    </row>
    <row r="1567" spans="1:14" x14ac:dyDescent="0.3">
      <c r="A1567">
        <v>287</v>
      </c>
      <c r="B1567" t="s">
        <v>161</v>
      </c>
      <c r="C1567" t="s">
        <v>162</v>
      </c>
      <c r="D1567" t="s">
        <v>3339</v>
      </c>
      <c r="E1567" t="s">
        <v>23</v>
      </c>
      <c r="F1567" t="s">
        <v>3332</v>
      </c>
      <c r="G1567" s="3">
        <v>20.99</v>
      </c>
      <c r="H1567" s="3">
        <v>0</v>
      </c>
      <c r="I1567" s="3">
        <v>20.99</v>
      </c>
      <c r="J1567" s="3">
        <f>Table1[[#This Row],[قيمة الفاتورة]]*0.94-Table1[[#This Row],[قيمة المشاركة]]</f>
        <v>19.730599999999999</v>
      </c>
      <c r="K1567">
        <v>19.73</v>
      </c>
      <c r="L1567" s="3">
        <f t="shared" si="24"/>
        <v>5.9999999999860165E-4</v>
      </c>
      <c r="M1567" t="s">
        <v>2678</v>
      </c>
      <c r="N1567" t="s">
        <v>19</v>
      </c>
    </row>
    <row r="1568" spans="1:14" x14ac:dyDescent="0.3">
      <c r="A1568" s="7">
        <v>1277</v>
      </c>
      <c r="B1568" s="7" t="s">
        <v>3340</v>
      </c>
      <c r="C1568" s="7" t="s">
        <v>3341</v>
      </c>
      <c r="D1568" s="7" t="s">
        <v>3342</v>
      </c>
      <c r="E1568" s="7" t="s">
        <v>17</v>
      </c>
      <c r="F1568" s="7" t="s">
        <v>3332</v>
      </c>
      <c r="G1568" s="8">
        <v>9.8420000000000005</v>
      </c>
      <c r="H1568" s="8">
        <v>0</v>
      </c>
      <c r="I1568" s="8">
        <v>9.8420000000000005</v>
      </c>
      <c r="J1568" s="8">
        <f>Table1[[#This Row],[قيمة الفاتورة]]*0.94-Table1[[#This Row],[قيمة المشاركة]]</f>
        <v>9.2514800000000008</v>
      </c>
      <c r="L1568" s="3" t="str">
        <f t="shared" si="24"/>
        <v/>
      </c>
      <c r="N1568" t="s">
        <v>328</v>
      </c>
    </row>
    <row r="1569" spans="1:14" x14ac:dyDescent="0.3">
      <c r="A1569">
        <v>1276</v>
      </c>
      <c r="B1569" t="s">
        <v>891</v>
      </c>
      <c r="C1569" t="s">
        <v>892</v>
      </c>
      <c r="D1569" t="s">
        <v>3343</v>
      </c>
      <c r="E1569" t="s">
        <v>17</v>
      </c>
      <c r="F1569" t="s">
        <v>3332</v>
      </c>
      <c r="G1569" s="3">
        <v>26.57</v>
      </c>
      <c r="H1569" s="3">
        <v>3.9849999999999999</v>
      </c>
      <c r="I1569" s="3">
        <v>22.585000000000001</v>
      </c>
      <c r="J1569" s="3">
        <f>Table1[[#This Row],[قيمة الفاتورة]]*0.94-Table1[[#This Row],[قيمة المشاركة]]</f>
        <v>20.9908</v>
      </c>
      <c r="K1569" s="3">
        <v>20.988</v>
      </c>
      <c r="L1569" s="3">
        <f t="shared" si="24"/>
        <v>2.8000000000005798E-3</v>
      </c>
      <c r="M1569" s="6">
        <v>46183</v>
      </c>
      <c r="N1569" s="6" t="s">
        <v>19</v>
      </c>
    </row>
    <row r="1570" spans="1:14" x14ac:dyDescent="0.3">
      <c r="A1570">
        <v>290</v>
      </c>
      <c r="B1570" t="s">
        <v>3344</v>
      </c>
      <c r="C1570" t="s">
        <v>3345</v>
      </c>
      <c r="D1570" t="s">
        <v>3346</v>
      </c>
      <c r="E1570" t="s">
        <v>23</v>
      </c>
      <c r="F1570" t="s">
        <v>3347</v>
      </c>
      <c r="G1570" s="3">
        <v>10.91</v>
      </c>
      <c r="H1570" s="3">
        <v>0</v>
      </c>
      <c r="I1570" s="3">
        <v>10.91</v>
      </c>
      <c r="J1570" s="3">
        <f>Table1[[#This Row],[قيمة الفاتورة]]*0.94-Table1[[#This Row],[قيمة المشاركة]]</f>
        <v>10.2554</v>
      </c>
      <c r="K1570">
        <v>10.593999999999999</v>
      </c>
      <c r="L1570" s="3">
        <f t="shared" si="24"/>
        <v>-0.33859999999999957</v>
      </c>
      <c r="M1570" t="s">
        <v>2678</v>
      </c>
      <c r="N1570" t="s">
        <v>19</v>
      </c>
    </row>
    <row r="1571" spans="1:14" x14ac:dyDescent="0.3">
      <c r="A1571">
        <v>1283</v>
      </c>
      <c r="B1571" t="s">
        <v>3046</v>
      </c>
      <c r="C1571" t="s">
        <v>3047</v>
      </c>
      <c r="D1571" t="s">
        <v>3348</v>
      </c>
      <c r="E1571" t="s">
        <v>17</v>
      </c>
      <c r="F1571" t="s">
        <v>3347</v>
      </c>
      <c r="G1571" s="3">
        <v>47.2</v>
      </c>
      <c r="H1571" s="3">
        <v>9.44</v>
      </c>
      <c r="I1571" s="3">
        <v>37.76</v>
      </c>
      <c r="J1571" s="3">
        <f>Table1[[#This Row],[قيمة الفاتورة]]*0.94-Table1[[#This Row],[قيمة المشاركة]]</f>
        <v>34.928000000000004</v>
      </c>
      <c r="K1571">
        <v>34.927999999999997</v>
      </c>
      <c r="L1571" s="3">
        <f t="shared" si="24"/>
        <v>7.1054273576010019E-15</v>
      </c>
      <c r="M1571" t="s">
        <v>3155</v>
      </c>
      <c r="N1571" t="s">
        <v>328</v>
      </c>
    </row>
    <row r="1572" spans="1:14" x14ac:dyDescent="0.3">
      <c r="A1572">
        <v>1281</v>
      </c>
      <c r="B1572" t="s">
        <v>385</v>
      </c>
      <c r="C1572" t="s">
        <v>743</v>
      </c>
      <c r="D1572" t="s">
        <v>3338</v>
      </c>
      <c r="E1572" t="s">
        <v>23</v>
      </c>
      <c r="F1572" t="s">
        <v>3347</v>
      </c>
      <c r="G1572" s="3">
        <v>22.31</v>
      </c>
      <c r="H1572" s="3">
        <v>0</v>
      </c>
      <c r="I1572" s="3">
        <v>22.31</v>
      </c>
      <c r="J1572" s="3">
        <f>Table1[[#This Row],[قيمة الفاتورة]]*0.94-Table1[[#This Row],[قيمة المشاركة]]</f>
        <v>20.971399999999999</v>
      </c>
      <c r="K1572">
        <v>20.971</v>
      </c>
      <c r="L1572" s="3">
        <f t="shared" si="24"/>
        <v>3.9999999999906777E-4</v>
      </c>
      <c r="M1572" t="s">
        <v>2678</v>
      </c>
      <c r="N1572" t="s">
        <v>19</v>
      </c>
    </row>
    <row r="1573" spans="1:14" x14ac:dyDescent="0.3">
      <c r="A1573">
        <v>1280</v>
      </c>
      <c r="B1573" t="s">
        <v>1604</v>
      </c>
      <c r="C1573" t="s">
        <v>1605</v>
      </c>
      <c r="D1573" t="s">
        <v>3349</v>
      </c>
      <c r="E1573" t="s">
        <v>23</v>
      </c>
      <c r="F1573" t="s">
        <v>3347</v>
      </c>
      <c r="G1573" s="3">
        <v>13.74</v>
      </c>
      <c r="H1573" s="3">
        <v>0</v>
      </c>
      <c r="I1573" s="3">
        <v>13.74</v>
      </c>
      <c r="J1573" s="3">
        <f>Table1[[#This Row],[قيمة الفاتورة]]*0.94-Table1[[#This Row],[قيمة المشاركة]]</f>
        <v>12.9156</v>
      </c>
      <c r="K1573">
        <v>12.914999999999999</v>
      </c>
      <c r="L1573" s="3">
        <f t="shared" si="24"/>
        <v>6.0000000000037801E-4</v>
      </c>
      <c r="M1573" t="s">
        <v>2678</v>
      </c>
      <c r="N1573" t="s">
        <v>19</v>
      </c>
    </row>
    <row r="1574" spans="1:14" x14ac:dyDescent="0.3">
      <c r="A1574">
        <v>1282</v>
      </c>
      <c r="B1574" t="s">
        <v>3350</v>
      </c>
      <c r="C1574" t="s">
        <v>3351</v>
      </c>
      <c r="D1574" t="s">
        <v>3352</v>
      </c>
      <c r="E1574" t="s">
        <v>17</v>
      </c>
      <c r="F1574" t="s">
        <v>3347</v>
      </c>
      <c r="G1574" s="3">
        <v>51.07</v>
      </c>
      <c r="H1574" s="3">
        <v>10.214</v>
      </c>
      <c r="I1574" s="3">
        <v>40.856000000000002</v>
      </c>
      <c r="J1574" s="3">
        <f>Table1[[#This Row],[قيمة الفاتورة]]*0.94-Table1[[#This Row],[قيمة المشاركة]]</f>
        <v>37.791800000000002</v>
      </c>
      <c r="K1574">
        <v>37.79</v>
      </c>
      <c r="L1574" s="3">
        <f t="shared" si="24"/>
        <v>1.8000000000029104E-3</v>
      </c>
      <c r="M1574" t="s">
        <v>3155</v>
      </c>
      <c r="N1574" t="s">
        <v>328</v>
      </c>
    </row>
    <row r="1575" spans="1:14" x14ac:dyDescent="0.3">
      <c r="A1575">
        <v>291</v>
      </c>
      <c r="B1575" t="s">
        <v>549</v>
      </c>
      <c r="C1575" t="s">
        <v>1043</v>
      </c>
      <c r="D1575" t="s">
        <v>3353</v>
      </c>
      <c r="E1575" t="s">
        <v>23</v>
      </c>
      <c r="F1575" t="s">
        <v>3354</v>
      </c>
      <c r="G1575" s="3">
        <v>28.13</v>
      </c>
      <c r="H1575" s="3">
        <v>0</v>
      </c>
      <c r="I1575" s="3">
        <v>28.13</v>
      </c>
      <c r="J1575" s="3">
        <f>Table1[[#This Row],[قيمة الفاتورة]]*0.94-Table1[[#This Row],[قيمة المشاركة]]</f>
        <v>26.442199999999996</v>
      </c>
      <c r="K1575">
        <v>30.765999999999998</v>
      </c>
      <c r="L1575" s="3">
        <f t="shared" si="24"/>
        <v>-4.3238000000000021</v>
      </c>
      <c r="M1575" t="s">
        <v>2678</v>
      </c>
      <c r="N1575" t="s">
        <v>19</v>
      </c>
    </row>
    <row r="1576" spans="1:14" x14ac:dyDescent="0.3">
      <c r="A1576">
        <v>1288</v>
      </c>
      <c r="B1576" t="s">
        <v>101</v>
      </c>
      <c r="C1576" t="s">
        <v>102</v>
      </c>
      <c r="D1576" t="s">
        <v>3355</v>
      </c>
      <c r="E1576" t="s">
        <v>23</v>
      </c>
      <c r="F1576" t="s">
        <v>3354</v>
      </c>
      <c r="G1576" s="3">
        <v>3.26</v>
      </c>
      <c r="H1576" s="3">
        <v>0</v>
      </c>
      <c r="I1576" s="3">
        <v>3.26</v>
      </c>
      <c r="J1576" s="3">
        <f>Table1[[#This Row],[قيمة الفاتورة]]*0.94-Table1[[#This Row],[قيمة المشاركة]]</f>
        <v>3.0643999999999996</v>
      </c>
      <c r="K1576">
        <v>3.0649999999999999</v>
      </c>
      <c r="L1576" s="3">
        <f t="shared" si="24"/>
        <v>-6.0000000000037801E-4</v>
      </c>
      <c r="M1576" t="s">
        <v>2678</v>
      </c>
      <c r="N1576" t="s">
        <v>19</v>
      </c>
    </row>
    <row r="1577" spans="1:14" x14ac:dyDescent="0.3">
      <c r="A1577">
        <v>1291</v>
      </c>
      <c r="B1577" t="s">
        <v>2410</v>
      </c>
      <c r="C1577" t="s">
        <v>2411</v>
      </c>
      <c r="D1577" t="s">
        <v>3356</v>
      </c>
      <c r="E1577" t="s">
        <v>17</v>
      </c>
      <c r="F1577" t="s">
        <v>3354</v>
      </c>
      <c r="G1577" s="3">
        <v>30.99</v>
      </c>
      <c r="H1577" s="3">
        <v>0</v>
      </c>
      <c r="I1577" s="3">
        <v>30.99</v>
      </c>
      <c r="J1577" s="3">
        <f>Table1[[#This Row],[قيمة الفاتورة]]*0.94-Table1[[#This Row],[قيمة المشاركة]]</f>
        <v>29.130599999999998</v>
      </c>
      <c r="K1577">
        <v>29.131</v>
      </c>
      <c r="L1577" s="3">
        <f t="shared" si="24"/>
        <v>-4.0000000000262048E-4</v>
      </c>
      <c r="M1577" t="s">
        <v>2678</v>
      </c>
      <c r="N1577" t="s">
        <v>19</v>
      </c>
    </row>
    <row r="1578" spans="1:14" x14ac:dyDescent="0.3">
      <c r="A1578">
        <v>1285</v>
      </c>
      <c r="B1578" t="s">
        <v>3344</v>
      </c>
      <c r="C1578" t="s">
        <v>3345</v>
      </c>
      <c r="D1578" t="s">
        <v>3346</v>
      </c>
      <c r="E1578" t="s">
        <v>23</v>
      </c>
      <c r="F1578" t="s">
        <v>3354</v>
      </c>
      <c r="G1578" s="3">
        <v>11.14</v>
      </c>
      <c r="H1578" s="3">
        <v>0</v>
      </c>
      <c r="I1578" s="3">
        <v>11.14</v>
      </c>
      <c r="J1578" s="3">
        <f>Table1[[#This Row],[قيمة الفاتورة]]*0.94-Table1[[#This Row],[قيمة المشاركة]]</f>
        <v>10.4716</v>
      </c>
      <c r="K1578">
        <v>10.472</v>
      </c>
      <c r="L1578" s="3">
        <f t="shared" si="24"/>
        <v>-3.9999999999906777E-4</v>
      </c>
      <c r="M1578" t="s">
        <v>2678</v>
      </c>
      <c r="N1578" t="s">
        <v>19</v>
      </c>
    </row>
    <row r="1579" spans="1:14" x14ac:dyDescent="0.3">
      <c r="A1579">
        <v>1287</v>
      </c>
      <c r="B1579" t="s">
        <v>2424</v>
      </c>
      <c r="C1579" t="s">
        <v>2425</v>
      </c>
      <c r="D1579" t="s">
        <v>2424</v>
      </c>
      <c r="E1579" t="s">
        <v>23</v>
      </c>
      <c r="F1579" t="s">
        <v>3354</v>
      </c>
      <c r="G1579" s="3">
        <v>30</v>
      </c>
      <c r="H1579" s="3">
        <v>0</v>
      </c>
      <c r="I1579" s="3">
        <v>30</v>
      </c>
      <c r="J1579" s="3">
        <f>Table1[[#This Row],[قيمة الفاتورة]]*0.94-Table1[[#This Row],[قيمة المشاركة]]</f>
        <v>28.2</v>
      </c>
      <c r="K1579">
        <v>28.2</v>
      </c>
      <c r="L1579" s="3">
        <f t="shared" si="24"/>
        <v>0</v>
      </c>
      <c r="M1579" t="s">
        <v>2678</v>
      </c>
      <c r="N1579" t="s">
        <v>19</v>
      </c>
    </row>
    <row r="1580" spans="1:14" x14ac:dyDescent="0.3">
      <c r="A1580">
        <v>1289</v>
      </c>
      <c r="B1580" t="s">
        <v>3357</v>
      </c>
      <c r="C1580" t="s">
        <v>3358</v>
      </c>
      <c r="D1580" t="s">
        <v>3359</v>
      </c>
      <c r="E1580" t="s">
        <v>23</v>
      </c>
      <c r="F1580" t="s">
        <v>3354</v>
      </c>
      <c r="G1580" s="3">
        <v>39.840000000000003</v>
      </c>
      <c r="H1580" s="3">
        <v>7.968</v>
      </c>
      <c r="I1580" s="3">
        <v>31.872</v>
      </c>
      <c r="J1580" s="3">
        <f>Table1[[#This Row],[قيمة الفاتورة]]*0.94-Table1[[#This Row],[قيمة المشاركة]]</f>
        <v>29.481600000000004</v>
      </c>
      <c r="K1580">
        <v>29.481000000000002</v>
      </c>
      <c r="L1580" s="3">
        <f t="shared" si="24"/>
        <v>6.0000000000215437E-4</v>
      </c>
      <c r="M1580" t="s">
        <v>3155</v>
      </c>
      <c r="N1580" t="s">
        <v>328</v>
      </c>
    </row>
    <row r="1581" spans="1:14" x14ac:dyDescent="0.3">
      <c r="A1581">
        <v>1284</v>
      </c>
      <c r="B1581" t="s">
        <v>3360</v>
      </c>
      <c r="C1581" t="s">
        <v>3361</v>
      </c>
      <c r="D1581" t="s">
        <v>3362</v>
      </c>
      <c r="E1581" t="s">
        <v>23</v>
      </c>
      <c r="F1581" t="s">
        <v>3354</v>
      </c>
      <c r="G1581" s="3">
        <v>60.67</v>
      </c>
      <c r="H1581" s="3">
        <v>12.134</v>
      </c>
      <c r="I1581" s="3">
        <v>48.536000000000001</v>
      </c>
      <c r="J1581" s="3">
        <f>Table1[[#This Row],[قيمة الفاتورة]]*0.94-Table1[[#This Row],[قيمة المشاركة]]</f>
        <v>44.895800000000001</v>
      </c>
      <c r="K1581">
        <v>44.895000000000003</v>
      </c>
      <c r="L1581" s="3">
        <f t="shared" si="24"/>
        <v>7.9999999999813554E-4</v>
      </c>
      <c r="M1581" t="s">
        <v>3155</v>
      </c>
      <c r="N1581" t="s">
        <v>328</v>
      </c>
    </row>
    <row r="1582" spans="1:14" x14ac:dyDescent="0.3">
      <c r="A1582">
        <v>1292</v>
      </c>
      <c r="B1582" t="s">
        <v>2432</v>
      </c>
      <c r="C1582" t="s">
        <v>2433</v>
      </c>
      <c r="D1582" t="s">
        <v>3363</v>
      </c>
      <c r="E1582" t="s">
        <v>23</v>
      </c>
      <c r="F1582" t="s">
        <v>3354</v>
      </c>
      <c r="G1582" s="3">
        <v>37.299999999999997</v>
      </c>
      <c r="H1582" s="3">
        <v>0</v>
      </c>
      <c r="I1582" s="3">
        <v>37.299999999999997</v>
      </c>
      <c r="J1582" s="3">
        <f>Table1[[#This Row],[قيمة الفاتورة]]*0.94-Table1[[#This Row],[قيمة المشاركة]]</f>
        <v>35.061999999999998</v>
      </c>
      <c r="K1582">
        <v>35.061</v>
      </c>
      <c r="L1582" s="3">
        <f t="shared" si="24"/>
        <v>9.9999999999766942E-4</v>
      </c>
      <c r="M1582" t="s">
        <v>2678</v>
      </c>
      <c r="N1582" t="s">
        <v>19</v>
      </c>
    </row>
    <row r="1583" spans="1:14" x14ac:dyDescent="0.3">
      <c r="A1583">
        <v>1286</v>
      </c>
      <c r="B1583" t="s">
        <v>3364</v>
      </c>
      <c r="C1583" t="s">
        <v>3365</v>
      </c>
      <c r="D1583" t="s">
        <v>3366</v>
      </c>
      <c r="E1583" t="s">
        <v>23</v>
      </c>
      <c r="F1583" t="s">
        <v>3354</v>
      </c>
      <c r="G1583" s="3">
        <v>2.65</v>
      </c>
      <c r="H1583" s="3">
        <v>0</v>
      </c>
      <c r="I1583" s="3">
        <v>2.65</v>
      </c>
      <c r="J1583" s="3">
        <f>Table1[[#This Row],[قيمة الفاتورة]]*0.94-Table1[[#This Row],[قيمة المشاركة]]</f>
        <v>2.4909999999999997</v>
      </c>
      <c r="K1583">
        <v>0.97799999999999998</v>
      </c>
      <c r="L1583" s="3">
        <f t="shared" si="24"/>
        <v>1.5129999999999997</v>
      </c>
      <c r="M1583" t="s">
        <v>2678</v>
      </c>
      <c r="N1583" t="s">
        <v>19</v>
      </c>
    </row>
    <row r="1584" spans="1:14" x14ac:dyDescent="0.3">
      <c r="A1584">
        <v>1290</v>
      </c>
      <c r="B1584" t="s">
        <v>3367</v>
      </c>
      <c r="C1584" t="s">
        <v>3368</v>
      </c>
      <c r="D1584" t="s">
        <v>3369</v>
      </c>
      <c r="E1584" t="s">
        <v>17</v>
      </c>
      <c r="F1584" t="s">
        <v>3354</v>
      </c>
      <c r="G1584" s="3">
        <v>42</v>
      </c>
      <c r="H1584" s="3">
        <v>8.4</v>
      </c>
      <c r="I1584" s="3">
        <v>33.6</v>
      </c>
      <c r="J1584" s="3">
        <f>Table1[[#This Row],[قيمة الفاتورة]]*0.94-Table1[[#This Row],[قيمة المشاركة]]</f>
        <v>31.08</v>
      </c>
      <c r="K1584">
        <v>29.292999999999999</v>
      </c>
      <c r="L1584" s="3">
        <f t="shared" si="24"/>
        <v>1.786999999999999</v>
      </c>
      <c r="M1584" t="s">
        <v>3155</v>
      </c>
      <c r="N1584" t="s">
        <v>328</v>
      </c>
    </row>
    <row r="1585" spans="1:14" x14ac:dyDescent="0.3">
      <c r="A1585">
        <v>1298</v>
      </c>
      <c r="B1585" t="s">
        <v>3163</v>
      </c>
      <c r="C1585" t="s">
        <v>3164</v>
      </c>
      <c r="D1585" t="s">
        <v>3370</v>
      </c>
      <c r="E1585" t="s">
        <v>17</v>
      </c>
      <c r="F1585" t="s">
        <v>3371</v>
      </c>
      <c r="G1585" s="3">
        <v>40.6</v>
      </c>
      <c r="H1585" s="3">
        <v>8.1199999999999992</v>
      </c>
      <c r="I1585" s="3">
        <v>32.479999999999997</v>
      </c>
      <c r="J1585" s="3">
        <f>Table1[[#This Row],[قيمة الفاتورة]]*0.94-Table1[[#This Row],[قيمة المشاركة]]</f>
        <v>30.044000000000004</v>
      </c>
      <c r="K1585">
        <v>30.045000000000002</v>
      </c>
      <c r="L1585" s="3">
        <f t="shared" si="24"/>
        <v>-9.9999999999766942E-4</v>
      </c>
      <c r="M1585" t="s">
        <v>3155</v>
      </c>
      <c r="N1585" t="s">
        <v>328</v>
      </c>
    </row>
    <row r="1586" spans="1:14" x14ac:dyDescent="0.3">
      <c r="A1586">
        <v>1295</v>
      </c>
      <c r="B1586" t="s">
        <v>2957</v>
      </c>
      <c r="C1586" t="s">
        <v>3372</v>
      </c>
      <c r="D1586" t="s">
        <v>3373</v>
      </c>
      <c r="E1586" t="s">
        <v>23</v>
      </c>
      <c r="F1586" t="s">
        <v>3371</v>
      </c>
      <c r="G1586" s="3">
        <v>33.39</v>
      </c>
      <c r="H1586" s="3">
        <v>0</v>
      </c>
      <c r="I1586" s="3">
        <v>33.39</v>
      </c>
      <c r="J1586" s="3">
        <f>Table1[[#This Row],[قيمة الفاتورة]]*0.94-Table1[[#This Row],[قيمة المشاركة]]</f>
        <v>31.386599999999998</v>
      </c>
      <c r="K1586">
        <v>31.387</v>
      </c>
      <c r="L1586" s="3">
        <f t="shared" si="24"/>
        <v>-4.0000000000262048E-4</v>
      </c>
      <c r="M1586" t="s">
        <v>2678</v>
      </c>
      <c r="N1586" t="s">
        <v>19</v>
      </c>
    </row>
    <row r="1587" spans="1:14" x14ac:dyDescent="0.3">
      <c r="A1587">
        <v>1296</v>
      </c>
      <c r="B1587" t="s">
        <v>2828</v>
      </c>
      <c r="C1587" t="s">
        <v>2829</v>
      </c>
      <c r="D1587" t="s">
        <v>3374</v>
      </c>
      <c r="E1587" t="s">
        <v>23</v>
      </c>
      <c r="F1587" t="s">
        <v>3371</v>
      </c>
      <c r="G1587" s="3">
        <v>46.2</v>
      </c>
      <c r="H1587" s="3">
        <v>9.24</v>
      </c>
      <c r="I1587" s="3">
        <v>36.96</v>
      </c>
      <c r="J1587" s="3">
        <f>Table1[[#This Row],[قيمة الفاتورة]]*0.94-Table1[[#This Row],[قيمة المشاركة]]</f>
        <v>34.187999999999995</v>
      </c>
      <c r="K1587">
        <v>34.188000000000002</v>
      </c>
      <c r="L1587" s="3">
        <f t="shared" si="24"/>
        <v>-7.1054273576010019E-15</v>
      </c>
      <c r="M1587" t="s">
        <v>3155</v>
      </c>
      <c r="N1587" t="s">
        <v>328</v>
      </c>
    </row>
    <row r="1588" spans="1:14" x14ac:dyDescent="0.3">
      <c r="A1588">
        <v>1293</v>
      </c>
      <c r="B1588" t="s">
        <v>3375</v>
      </c>
      <c r="C1588" t="s">
        <v>3376</v>
      </c>
      <c r="D1588" t="s">
        <v>3377</v>
      </c>
      <c r="E1588" t="s">
        <v>17</v>
      </c>
      <c r="F1588" t="s">
        <v>3371</v>
      </c>
      <c r="G1588" s="3">
        <v>31.6</v>
      </c>
      <c r="H1588" s="3">
        <v>6.32</v>
      </c>
      <c r="I1588" s="3">
        <v>25.28</v>
      </c>
      <c r="J1588" s="3">
        <f>Table1[[#This Row],[قيمة الفاتورة]]*0.94-Table1[[#This Row],[قيمة المشاركة]]</f>
        <v>23.384</v>
      </c>
      <c r="K1588">
        <v>23.384</v>
      </c>
      <c r="L1588" s="3">
        <f t="shared" si="24"/>
        <v>0</v>
      </c>
      <c r="M1588" t="s">
        <v>3155</v>
      </c>
      <c r="N1588" t="s">
        <v>328</v>
      </c>
    </row>
    <row r="1589" spans="1:14" x14ac:dyDescent="0.3">
      <c r="A1589">
        <v>1297</v>
      </c>
      <c r="B1589" t="s">
        <v>3378</v>
      </c>
      <c r="C1589" t="s">
        <v>3379</v>
      </c>
      <c r="D1589" t="s">
        <v>3380</v>
      </c>
      <c r="E1589" t="s">
        <v>23</v>
      </c>
      <c r="F1589" t="s">
        <v>3371</v>
      </c>
      <c r="G1589" s="3">
        <v>38.979999999999997</v>
      </c>
      <c r="H1589" s="3">
        <v>7.7960000000000003</v>
      </c>
      <c r="I1589" s="3">
        <v>31.184000000000001</v>
      </c>
      <c r="J1589" s="3">
        <f>Table1[[#This Row],[قيمة الفاتورة]]*0.94-Table1[[#This Row],[قيمة المشاركة]]</f>
        <v>28.845199999999998</v>
      </c>
      <c r="K1589">
        <v>28.844999999999999</v>
      </c>
      <c r="L1589" s="3">
        <f t="shared" si="24"/>
        <v>1.9999999999953388E-4</v>
      </c>
      <c r="M1589" t="s">
        <v>3155</v>
      </c>
      <c r="N1589" t="s">
        <v>328</v>
      </c>
    </row>
    <row r="1590" spans="1:14" x14ac:dyDescent="0.3">
      <c r="A1590">
        <v>1294</v>
      </c>
      <c r="B1590" t="s">
        <v>3381</v>
      </c>
      <c r="C1590" t="s">
        <v>3382</v>
      </c>
      <c r="D1590" t="s">
        <v>3383</v>
      </c>
      <c r="E1590" t="s">
        <v>23</v>
      </c>
      <c r="F1590" t="s">
        <v>3371</v>
      </c>
      <c r="G1590" s="3">
        <v>52.61</v>
      </c>
      <c r="H1590" s="3">
        <v>10.522</v>
      </c>
      <c r="I1590" s="3">
        <v>42.088000000000001</v>
      </c>
      <c r="J1590" s="3">
        <f>Table1[[#This Row],[قيمة الفاتورة]]*0.94-Table1[[#This Row],[قيمة المشاركة]]</f>
        <v>38.931399999999996</v>
      </c>
      <c r="K1590">
        <v>38.930999999999997</v>
      </c>
      <c r="L1590" s="3">
        <f t="shared" si="24"/>
        <v>3.9999999999906777E-4</v>
      </c>
      <c r="M1590" t="s">
        <v>3155</v>
      </c>
      <c r="N1590" t="s">
        <v>328</v>
      </c>
    </row>
    <row r="1591" spans="1:14" x14ac:dyDescent="0.3">
      <c r="A1591">
        <v>292</v>
      </c>
      <c r="B1591" t="s">
        <v>809</v>
      </c>
      <c r="C1591" t="s">
        <v>810</v>
      </c>
      <c r="D1591" t="s">
        <v>3384</v>
      </c>
      <c r="E1591" t="s">
        <v>23</v>
      </c>
      <c r="F1591" t="s">
        <v>3371</v>
      </c>
      <c r="G1591" s="3">
        <v>13.41</v>
      </c>
      <c r="H1591" s="3">
        <v>0</v>
      </c>
      <c r="I1591" s="3">
        <v>13.41</v>
      </c>
      <c r="J1591" s="3">
        <f>Table1[[#This Row],[قيمة الفاتورة]]*0.94-Table1[[#This Row],[قيمة المشاركة]]</f>
        <v>12.605399999999999</v>
      </c>
      <c r="K1591">
        <v>12.06</v>
      </c>
      <c r="L1591" s="3">
        <f t="shared" si="24"/>
        <v>0.545399999999999</v>
      </c>
      <c r="M1591" t="s">
        <v>2678</v>
      </c>
      <c r="N1591" t="s">
        <v>19</v>
      </c>
    </row>
    <row r="1592" spans="1:14" x14ac:dyDescent="0.3">
      <c r="A1592">
        <v>1299</v>
      </c>
      <c r="B1592" t="s">
        <v>2778</v>
      </c>
      <c r="C1592" t="s">
        <v>2779</v>
      </c>
      <c r="D1592" t="s">
        <v>3385</v>
      </c>
      <c r="E1592" t="s">
        <v>23</v>
      </c>
      <c r="F1592" t="s">
        <v>3386</v>
      </c>
      <c r="G1592" s="3">
        <v>8.9600000000000009</v>
      </c>
      <c r="H1592" s="3">
        <v>0</v>
      </c>
      <c r="I1592" s="3">
        <v>8.9600000000000009</v>
      </c>
      <c r="J1592" s="3">
        <f>Table1[[#This Row],[قيمة الفاتورة]]*0.94-Table1[[#This Row],[قيمة المشاركة]]</f>
        <v>8.4223999999999997</v>
      </c>
      <c r="K1592">
        <v>8.423</v>
      </c>
      <c r="L1592" s="3">
        <f t="shared" si="24"/>
        <v>-6.0000000000037801E-4</v>
      </c>
      <c r="M1592" t="s">
        <v>2678</v>
      </c>
      <c r="N1592" t="s">
        <v>19</v>
      </c>
    </row>
    <row r="1593" spans="1:14" x14ac:dyDescent="0.3">
      <c r="A1593">
        <v>1307</v>
      </c>
      <c r="B1593" t="s">
        <v>3171</v>
      </c>
      <c r="C1593" t="s">
        <v>3172</v>
      </c>
      <c r="D1593" t="s">
        <v>3387</v>
      </c>
      <c r="E1593" t="s">
        <v>23</v>
      </c>
      <c r="F1593" t="s">
        <v>3388</v>
      </c>
      <c r="G1593" s="3">
        <v>46.17</v>
      </c>
      <c r="H1593" s="3">
        <v>9.234</v>
      </c>
      <c r="I1593" s="3">
        <v>36.936</v>
      </c>
      <c r="J1593" s="3">
        <f>Table1[[#This Row],[قيمة الفاتورة]]*0.94-Table1[[#This Row],[قيمة المشاركة]]</f>
        <v>34.165799999999997</v>
      </c>
      <c r="K1593">
        <v>34.255000000000003</v>
      </c>
      <c r="L1593" s="3">
        <f t="shared" si="24"/>
        <v>-8.9200000000005275E-2</v>
      </c>
      <c r="M1593" t="s">
        <v>3155</v>
      </c>
      <c r="N1593" t="s">
        <v>328</v>
      </c>
    </row>
    <row r="1594" spans="1:14" x14ac:dyDescent="0.3">
      <c r="A1594">
        <v>1312</v>
      </c>
      <c r="B1594" t="s">
        <v>3389</v>
      </c>
      <c r="C1594" t="s">
        <v>3390</v>
      </c>
      <c r="D1594" t="s">
        <v>3391</v>
      </c>
      <c r="E1594" t="s">
        <v>23</v>
      </c>
      <c r="F1594" t="s">
        <v>3388</v>
      </c>
      <c r="G1594" s="3">
        <v>28.07</v>
      </c>
      <c r="H1594" s="3">
        <v>0</v>
      </c>
      <c r="I1594" s="3">
        <v>28.07</v>
      </c>
      <c r="J1594" s="3">
        <f>Table1[[#This Row],[قيمة الفاتورة]]*0.94-Table1[[#This Row],[قيمة المشاركة]]</f>
        <v>26.3858</v>
      </c>
      <c r="K1594">
        <v>26.385999999999999</v>
      </c>
      <c r="L1594" s="3">
        <f t="shared" si="24"/>
        <v>-1.9999999999953388E-4</v>
      </c>
      <c r="M1594" t="s">
        <v>2678</v>
      </c>
      <c r="N1594" t="s">
        <v>19</v>
      </c>
    </row>
    <row r="1595" spans="1:14" x14ac:dyDescent="0.3">
      <c r="A1595">
        <v>293</v>
      </c>
      <c r="B1595" t="s">
        <v>596</v>
      </c>
      <c r="C1595" t="s">
        <v>173</v>
      </c>
      <c r="D1595" t="s">
        <v>3392</v>
      </c>
      <c r="E1595" t="s">
        <v>17</v>
      </c>
      <c r="F1595" t="s">
        <v>3388</v>
      </c>
      <c r="G1595" s="3">
        <v>19.5</v>
      </c>
      <c r="H1595" s="3">
        <v>0</v>
      </c>
      <c r="I1595" s="3">
        <v>19.5</v>
      </c>
      <c r="J1595" s="3">
        <f>Table1[[#This Row],[قيمة الفاتورة]]*0.94-Table1[[#This Row],[قيمة المشاركة]]</f>
        <v>18.329999999999998</v>
      </c>
      <c r="K1595">
        <v>18.329999999999998</v>
      </c>
      <c r="L1595" s="3">
        <f t="shared" si="24"/>
        <v>0</v>
      </c>
      <c r="M1595" t="s">
        <v>2678</v>
      </c>
      <c r="N1595" t="s">
        <v>19</v>
      </c>
    </row>
    <row r="1596" spans="1:14" x14ac:dyDescent="0.3">
      <c r="A1596">
        <v>1302</v>
      </c>
      <c r="B1596" t="s">
        <v>2350</v>
      </c>
      <c r="C1596" t="s">
        <v>2351</v>
      </c>
      <c r="D1596" t="s">
        <v>3393</v>
      </c>
      <c r="E1596" t="s">
        <v>17</v>
      </c>
      <c r="F1596" t="s">
        <v>3388</v>
      </c>
      <c r="G1596" s="3">
        <v>29.33</v>
      </c>
      <c r="H1596" s="3">
        <v>0</v>
      </c>
      <c r="I1596" s="3">
        <v>29.33</v>
      </c>
      <c r="J1596" s="3">
        <f>Table1[[#This Row],[قيمة الفاتورة]]*0.94-Table1[[#This Row],[قيمة المشاركة]]</f>
        <v>27.570199999999996</v>
      </c>
      <c r="K1596">
        <v>27.57</v>
      </c>
      <c r="L1596" s="3">
        <f t="shared" si="24"/>
        <v>1.9999999999598117E-4</v>
      </c>
      <c r="M1596" t="s">
        <v>2678</v>
      </c>
      <c r="N1596" t="s">
        <v>19</v>
      </c>
    </row>
    <row r="1597" spans="1:14" x14ac:dyDescent="0.3">
      <c r="A1597">
        <v>1313</v>
      </c>
      <c r="B1597" t="s">
        <v>3394</v>
      </c>
      <c r="C1597" t="s">
        <v>3395</v>
      </c>
      <c r="D1597" t="s">
        <v>3396</v>
      </c>
      <c r="E1597" t="s">
        <v>23</v>
      </c>
      <c r="F1597" t="s">
        <v>3388</v>
      </c>
      <c r="G1597" s="3">
        <v>32.78</v>
      </c>
      <c r="H1597" s="3">
        <v>0</v>
      </c>
      <c r="I1597" s="3">
        <v>32.78</v>
      </c>
      <c r="J1597" s="3">
        <f>Table1[[#This Row],[قيمة الفاتورة]]*0.94-Table1[[#This Row],[قيمة المشاركة]]</f>
        <v>30.813199999999998</v>
      </c>
      <c r="K1597">
        <v>30.812999999999999</v>
      </c>
      <c r="L1597" s="3">
        <f t="shared" si="24"/>
        <v>1.9999999999953388E-4</v>
      </c>
      <c r="M1597" t="s">
        <v>2678</v>
      </c>
      <c r="N1597" t="s">
        <v>19</v>
      </c>
    </row>
    <row r="1598" spans="1:14" x14ac:dyDescent="0.3">
      <c r="A1598">
        <v>1311</v>
      </c>
      <c r="B1598" t="s">
        <v>3397</v>
      </c>
      <c r="C1598" t="s">
        <v>3398</v>
      </c>
      <c r="D1598" t="s">
        <v>3399</v>
      </c>
      <c r="E1598" t="s">
        <v>23</v>
      </c>
      <c r="F1598" t="s">
        <v>3388</v>
      </c>
      <c r="G1598" s="3">
        <v>42.61</v>
      </c>
      <c r="H1598" s="3">
        <v>8.5220000000000002</v>
      </c>
      <c r="I1598" s="3">
        <v>34.088000000000001</v>
      </c>
      <c r="J1598" s="3">
        <f>Table1[[#This Row],[قيمة الفاتورة]]*0.94-Table1[[#This Row],[قيمة المشاركة]]</f>
        <v>31.531399999999998</v>
      </c>
      <c r="K1598">
        <v>31.530999999999999</v>
      </c>
      <c r="L1598" s="3">
        <f t="shared" si="24"/>
        <v>3.9999999999906777E-4</v>
      </c>
      <c r="M1598" t="s">
        <v>3155</v>
      </c>
      <c r="N1598" t="s">
        <v>328</v>
      </c>
    </row>
    <row r="1599" spans="1:14" x14ac:dyDescent="0.3">
      <c r="A1599">
        <v>1301</v>
      </c>
      <c r="B1599" t="s">
        <v>2957</v>
      </c>
      <c r="C1599" t="s">
        <v>3372</v>
      </c>
      <c r="D1599" t="s">
        <v>3400</v>
      </c>
      <c r="E1599" t="s">
        <v>17</v>
      </c>
      <c r="F1599" t="s">
        <v>3388</v>
      </c>
      <c r="G1599" s="3">
        <v>36.79</v>
      </c>
      <c r="H1599" s="3">
        <v>0</v>
      </c>
      <c r="I1599" s="3">
        <v>36.79</v>
      </c>
      <c r="J1599" s="3">
        <f>Table1[[#This Row],[قيمة الفاتورة]]*0.94-Table1[[#This Row],[قيمة المشاركة]]</f>
        <v>34.582599999999999</v>
      </c>
      <c r="K1599">
        <v>34.582000000000001</v>
      </c>
      <c r="L1599" s="3">
        <f t="shared" si="24"/>
        <v>5.9999999999860165E-4</v>
      </c>
      <c r="M1599" t="s">
        <v>2678</v>
      </c>
      <c r="N1599" t="s">
        <v>19</v>
      </c>
    </row>
    <row r="1600" spans="1:14" x14ac:dyDescent="0.3">
      <c r="A1600">
        <v>1300</v>
      </c>
      <c r="B1600" t="s">
        <v>882</v>
      </c>
      <c r="C1600" t="s">
        <v>523</v>
      </c>
      <c r="D1600" t="s">
        <v>3401</v>
      </c>
      <c r="E1600" t="s">
        <v>17</v>
      </c>
      <c r="F1600" t="s">
        <v>3388</v>
      </c>
      <c r="G1600" s="3">
        <v>11.99</v>
      </c>
      <c r="H1600" s="3">
        <v>0</v>
      </c>
      <c r="I1600" s="3">
        <v>11.99</v>
      </c>
      <c r="J1600" s="3">
        <f>Table1[[#This Row],[قيمة الفاتورة]]*0.94-Table1[[#This Row],[قيمة المشاركة]]</f>
        <v>11.2706</v>
      </c>
      <c r="K1600">
        <v>11.27</v>
      </c>
      <c r="L1600" s="3">
        <f t="shared" si="24"/>
        <v>6.0000000000037801E-4</v>
      </c>
      <c r="M1600" t="s">
        <v>2678</v>
      </c>
      <c r="N1600" t="s">
        <v>19</v>
      </c>
    </row>
    <row r="1601" spans="1:14" x14ac:dyDescent="0.3">
      <c r="A1601">
        <v>294</v>
      </c>
      <c r="B1601" t="s">
        <v>3402</v>
      </c>
      <c r="C1601" t="s">
        <v>3403</v>
      </c>
      <c r="D1601" t="s">
        <v>3404</v>
      </c>
      <c r="E1601" t="s">
        <v>17</v>
      </c>
      <c r="F1601" t="s">
        <v>3388</v>
      </c>
      <c r="G1601" s="3">
        <v>14.49</v>
      </c>
      <c r="H1601" s="3">
        <v>2.8980000000000001</v>
      </c>
      <c r="I1601" s="3">
        <v>11.592000000000001</v>
      </c>
      <c r="J1601" s="3">
        <f>Table1[[#This Row],[قيمة الفاتورة]]*0.94-Table1[[#This Row],[قيمة المشاركة]]</f>
        <v>10.7226</v>
      </c>
      <c r="K1601">
        <v>10.722</v>
      </c>
      <c r="L1601" s="3">
        <f t="shared" si="24"/>
        <v>6.0000000000037801E-4</v>
      </c>
      <c r="M1601" t="s">
        <v>3155</v>
      </c>
      <c r="N1601" t="s">
        <v>328</v>
      </c>
    </row>
    <row r="1602" spans="1:14" x14ac:dyDescent="0.3">
      <c r="A1602">
        <v>1305</v>
      </c>
      <c r="B1602" t="s">
        <v>3160</v>
      </c>
      <c r="C1602" t="s">
        <v>3405</v>
      </c>
      <c r="D1602" t="s">
        <v>3406</v>
      </c>
      <c r="E1602" t="s">
        <v>17</v>
      </c>
      <c r="F1602" t="s">
        <v>3388</v>
      </c>
      <c r="G1602" s="3">
        <v>54.45</v>
      </c>
      <c r="H1602" s="3">
        <v>10.89</v>
      </c>
      <c r="I1602" s="3">
        <v>43.56</v>
      </c>
      <c r="J1602" s="3">
        <f>Table1[[#This Row],[قيمة الفاتورة]]*0.94-Table1[[#This Row],[قيمة المشاركة]]</f>
        <v>40.292999999999999</v>
      </c>
      <c r="K1602">
        <v>40.292000000000002</v>
      </c>
      <c r="L1602" s="3">
        <f t="shared" ref="L1602:L1665" si="25">IF(ISNUMBER(K1602), J1602-K1602, "")</f>
        <v>9.9999999999766942E-4</v>
      </c>
      <c r="M1602" t="s">
        <v>3155</v>
      </c>
      <c r="N1602" t="s">
        <v>328</v>
      </c>
    </row>
    <row r="1603" spans="1:14" x14ac:dyDescent="0.3">
      <c r="A1603">
        <v>1304</v>
      </c>
      <c r="B1603" t="s">
        <v>974</v>
      </c>
      <c r="C1603" t="s">
        <v>975</v>
      </c>
      <c r="D1603" t="s">
        <v>3407</v>
      </c>
      <c r="E1603" t="s">
        <v>17</v>
      </c>
      <c r="F1603" t="s">
        <v>3388</v>
      </c>
      <c r="G1603" s="3">
        <v>16.57</v>
      </c>
      <c r="H1603" s="3">
        <v>0</v>
      </c>
      <c r="I1603" s="3">
        <v>16.57</v>
      </c>
      <c r="J1603" s="3">
        <f>Table1[[#This Row],[قيمة الفاتورة]]*0.94-Table1[[#This Row],[قيمة المشاركة]]</f>
        <v>15.575799999999999</v>
      </c>
      <c r="K1603">
        <v>15.557</v>
      </c>
      <c r="L1603" s="3">
        <f t="shared" si="25"/>
        <v>1.8799999999998818E-2</v>
      </c>
      <c r="M1603" t="s">
        <v>2678</v>
      </c>
      <c r="N1603" t="s">
        <v>19</v>
      </c>
    </row>
    <row r="1604" spans="1:14" x14ac:dyDescent="0.3">
      <c r="A1604">
        <v>1303</v>
      </c>
      <c r="B1604" t="s">
        <v>971</v>
      </c>
      <c r="C1604" t="s">
        <v>2408</v>
      </c>
      <c r="D1604" t="s">
        <v>3408</v>
      </c>
      <c r="E1604" t="s">
        <v>17</v>
      </c>
      <c r="F1604" t="s">
        <v>3388</v>
      </c>
      <c r="G1604" s="3">
        <v>11.45</v>
      </c>
      <c r="H1604" s="3">
        <v>0</v>
      </c>
      <c r="I1604" s="3">
        <v>11.45</v>
      </c>
      <c r="J1604" s="3">
        <f>Table1[[#This Row],[قيمة الفاتورة]]*0.94-Table1[[#This Row],[قيمة المشاركة]]</f>
        <v>10.762999999999998</v>
      </c>
      <c r="K1604">
        <v>10.198</v>
      </c>
      <c r="L1604" s="3">
        <f t="shared" si="25"/>
        <v>0.56499999999999773</v>
      </c>
      <c r="M1604" t="s">
        <v>2678</v>
      </c>
      <c r="N1604" t="s">
        <v>19</v>
      </c>
    </row>
    <row r="1605" spans="1:14" x14ac:dyDescent="0.3">
      <c r="A1605">
        <v>1309</v>
      </c>
      <c r="B1605" t="s">
        <v>3409</v>
      </c>
      <c r="C1605" t="s">
        <v>3410</v>
      </c>
      <c r="D1605" t="s">
        <v>3411</v>
      </c>
      <c r="E1605" t="s">
        <v>23</v>
      </c>
      <c r="F1605" t="s">
        <v>3388</v>
      </c>
      <c r="G1605" s="3">
        <v>38.54</v>
      </c>
      <c r="H1605" s="3">
        <v>0</v>
      </c>
      <c r="I1605" s="3">
        <v>38.54</v>
      </c>
      <c r="J1605" s="3">
        <f>Table1[[#This Row],[قيمة الفاتورة]]*0.94-Table1[[#This Row],[قيمة المشاركة]]</f>
        <v>36.227599999999995</v>
      </c>
      <c r="K1605">
        <v>34.347000000000001</v>
      </c>
      <c r="L1605" s="3">
        <f t="shared" si="25"/>
        <v>1.8805999999999941</v>
      </c>
      <c r="M1605" t="s">
        <v>2678</v>
      </c>
      <c r="N1605" t="s">
        <v>19</v>
      </c>
    </row>
    <row r="1606" spans="1:14" x14ac:dyDescent="0.3">
      <c r="A1606">
        <v>1306</v>
      </c>
      <c r="B1606" t="s">
        <v>3168</v>
      </c>
      <c r="C1606" t="s">
        <v>3169</v>
      </c>
      <c r="D1606" t="s">
        <v>3412</v>
      </c>
      <c r="E1606" t="s">
        <v>23</v>
      </c>
      <c r="F1606" t="s">
        <v>3388</v>
      </c>
      <c r="G1606" s="3">
        <v>44.01</v>
      </c>
      <c r="H1606" s="3">
        <v>8.8019999999999996</v>
      </c>
      <c r="I1606" s="3">
        <v>35.207999999999998</v>
      </c>
      <c r="J1606" s="3">
        <f>Table1[[#This Row],[قيمة الفاتورة]]*0.94-Table1[[#This Row],[قيمة المشاركة]]</f>
        <v>32.567399999999999</v>
      </c>
      <c r="K1606">
        <v>30.678000000000001</v>
      </c>
      <c r="L1606" s="3">
        <f t="shared" si="25"/>
        <v>1.8893999999999984</v>
      </c>
      <c r="M1606" t="s">
        <v>3155</v>
      </c>
      <c r="N1606" t="s">
        <v>328</v>
      </c>
    </row>
    <row r="1607" spans="1:14" x14ac:dyDescent="0.3">
      <c r="A1607">
        <v>1308</v>
      </c>
      <c r="B1607" t="s">
        <v>3174</v>
      </c>
      <c r="C1607" t="s">
        <v>3175</v>
      </c>
      <c r="D1607" t="s">
        <v>3413</v>
      </c>
      <c r="E1607" t="s">
        <v>23</v>
      </c>
      <c r="F1607" t="s">
        <v>3388</v>
      </c>
      <c r="G1607" s="3">
        <v>44.01</v>
      </c>
      <c r="H1607" s="3">
        <v>8.8019999999999996</v>
      </c>
      <c r="I1607" s="3">
        <v>35.207999999999998</v>
      </c>
      <c r="J1607" s="3">
        <f>Table1[[#This Row],[قيمة الفاتورة]]*0.94-Table1[[#This Row],[قيمة المشاركة]]</f>
        <v>32.567399999999999</v>
      </c>
      <c r="K1607">
        <v>30.678000000000001</v>
      </c>
      <c r="L1607" s="3">
        <f t="shared" si="25"/>
        <v>1.8893999999999984</v>
      </c>
      <c r="M1607" t="s">
        <v>3155</v>
      </c>
      <c r="N1607" t="s">
        <v>328</v>
      </c>
    </row>
    <row r="1608" spans="1:14" x14ac:dyDescent="0.3">
      <c r="A1608">
        <v>1310</v>
      </c>
      <c r="B1608" t="s">
        <v>1948</v>
      </c>
      <c r="C1608" t="s">
        <v>1949</v>
      </c>
      <c r="D1608" t="s">
        <v>3414</v>
      </c>
      <c r="E1608" t="s">
        <v>23</v>
      </c>
      <c r="F1608" t="s">
        <v>3388</v>
      </c>
      <c r="G1608" s="3">
        <v>22.86</v>
      </c>
      <c r="H1608" s="3">
        <v>0</v>
      </c>
      <c r="I1608" s="3">
        <v>22.86</v>
      </c>
      <c r="J1608" s="3">
        <f>Table1[[#This Row],[قيمة الفاتورة]]*0.94-Table1[[#This Row],[قيمة المشاركة]]</f>
        <v>21.488399999999999</v>
      </c>
      <c r="K1608">
        <v>18.969000000000001</v>
      </c>
      <c r="L1608" s="3">
        <f t="shared" si="25"/>
        <v>2.5193999999999974</v>
      </c>
      <c r="M1608" t="s">
        <v>2678</v>
      </c>
      <c r="N1608" t="s">
        <v>19</v>
      </c>
    </row>
    <row r="1609" spans="1:14" x14ac:dyDescent="0.3">
      <c r="A1609">
        <v>1318</v>
      </c>
      <c r="B1609" t="s">
        <v>222</v>
      </c>
      <c r="C1609" t="s">
        <v>3415</v>
      </c>
      <c r="D1609" t="s">
        <v>3416</v>
      </c>
      <c r="E1609" t="s">
        <v>23</v>
      </c>
      <c r="F1609" t="s">
        <v>3417</v>
      </c>
      <c r="G1609" s="3">
        <v>13.91</v>
      </c>
      <c r="H1609" s="3">
        <v>0</v>
      </c>
      <c r="I1609" s="3">
        <v>13.91</v>
      </c>
      <c r="J1609" s="3">
        <f>Table1[[#This Row],[قيمة الفاتورة]]*0.94-Table1[[#This Row],[قيمة المشاركة]]</f>
        <v>13.0754</v>
      </c>
      <c r="K1609">
        <v>13.076000000000001</v>
      </c>
      <c r="L1609" s="3">
        <f t="shared" si="25"/>
        <v>-6.0000000000037801E-4</v>
      </c>
      <c r="M1609" t="s">
        <v>2678</v>
      </c>
      <c r="N1609" t="s">
        <v>19</v>
      </c>
    </row>
    <row r="1610" spans="1:14" x14ac:dyDescent="0.3">
      <c r="A1610">
        <v>1319</v>
      </c>
      <c r="B1610" t="s">
        <v>576</v>
      </c>
      <c r="C1610" t="s">
        <v>3418</v>
      </c>
      <c r="D1610" t="s">
        <v>3419</v>
      </c>
      <c r="E1610" t="s">
        <v>23</v>
      </c>
      <c r="F1610" t="s">
        <v>3417</v>
      </c>
      <c r="G1610" s="3">
        <v>14.05</v>
      </c>
      <c r="H1610" s="3">
        <v>0</v>
      </c>
      <c r="I1610" s="3">
        <v>14.05</v>
      </c>
      <c r="J1610" s="3">
        <f>Table1[[#This Row],[قيمة الفاتورة]]*0.94-Table1[[#This Row],[قيمة المشاركة]]</f>
        <v>13.207000000000001</v>
      </c>
      <c r="K1610">
        <v>13.207000000000001</v>
      </c>
      <c r="L1610" s="3">
        <f t="shared" si="25"/>
        <v>0</v>
      </c>
      <c r="M1610" t="s">
        <v>2678</v>
      </c>
      <c r="N1610" t="s">
        <v>19</v>
      </c>
    </row>
    <row r="1611" spans="1:14" x14ac:dyDescent="0.3">
      <c r="A1611">
        <v>295</v>
      </c>
      <c r="B1611" t="s">
        <v>510</v>
      </c>
      <c r="C1611" t="s">
        <v>3420</v>
      </c>
      <c r="D1611" t="s">
        <v>3421</v>
      </c>
      <c r="E1611" t="s">
        <v>23</v>
      </c>
      <c r="F1611" t="s">
        <v>3417</v>
      </c>
      <c r="G1611" s="3">
        <v>6.48</v>
      </c>
      <c r="H1611" s="3">
        <v>0</v>
      </c>
      <c r="I1611" s="3">
        <v>6.48</v>
      </c>
      <c r="J1611" s="3">
        <f>Table1[[#This Row],[قيمة الفاتورة]]*0.94-Table1[[#This Row],[قيمة المشاركة]]</f>
        <v>6.0911999999999997</v>
      </c>
      <c r="K1611">
        <v>6.0910000000000002</v>
      </c>
      <c r="L1611" s="3">
        <f t="shared" si="25"/>
        <v>1.9999999999953388E-4</v>
      </c>
      <c r="M1611" t="s">
        <v>2678</v>
      </c>
      <c r="N1611" t="s">
        <v>19</v>
      </c>
    </row>
    <row r="1612" spans="1:14" x14ac:dyDescent="0.3">
      <c r="A1612">
        <v>1321</v>
      </c>
      <c r="B1612" t="s">
        <v>3422</v>
      </c>
      <c r="C1612" t="s">
        <v>3423</v>
      </c>
      <c r="D1612" t="s">
        <v>3424</v>
      </c>
      <c r="E1612" t="s">
        <v>23</v>
      </c>
      <c r="F1612" t="s">
        <v>3417</v>
      </c>
      <c r="G1612" s="3">
        <v>9.41</v>
      </c>
      <c r="H1612" s="3">
        <v>0</v>
      </c>
      <c r="I1612" s="3">
        <v>9.41</v>
      </c>
      <c r="J1612" s="3">
        <f>Table1[[#This Row],[قيمة الفاتورة]]*0.94-Table1[[#This Row],[قيمة المشاركة]]</f>
        <v>8.8453999999999997</v>
      </c>
      <c r="K1612">
        <v>8.8450000000000006</v>
      </c>
      <c r="L1612" s="3">
        <f t="shared" si="25"/>
        <v>3.9999999999906777E-4</v>
      </c>
      <c r="M1612" t="s">
        <v>2678</v>
      </c>
      <c r="N1612" t="s">
        <v>19</v>
      </c>
    </row>
    <row r="1613" spans="1:14" x14ac:dyDescent="0.3">
      <c r="A1613">
        <v>1314</v>
      </c>
      <c r="B1613" t="s">
        <v>3425</v>
      </c>
      <c r="C1613" t="s">
        <v>743</v>
      </c>
      <c r="D1613" t="s">
        <v>3426</v>
      </c>
      <c r="E1613" t="s">
        <v>17</v>
      </c>
      <c r="F1613" t="s">
        <v>3417</v>
      </c>
      <c r="G1613" s="3">
        <v>33.06</v>
      </c>
      <c r="H1613" s="3">
        <v>6.6120000000000001</v>
      </c>
      <c r="I1613" s="3">
        <v>26.448</v>
      </c>
      <c r="J1613" s="3">
        <f>Table1[[#This Row],[قيمة الفاتورة]]*0.94-Table1[[#This Row],[قيمة المشاركة]]</f>
        <v>24.464399999999998</v>
      </c>
      <c r="K1613">
        <v>24.463999999999999</v>
      </c>
      <c r="L1613" s="3">
        <f t="shared" si="25"/>
        <v>3.9999999999906777E-4</v>
      </c>
      <c r="M1613" t="s">
        <v>3155</v>
      </c>
      <c r="N1613" t="s">
        <v>328</v>
      </c>
    </row>
    <row r="1614" spans="1:14" x14ac:dyDescent="0.3">
      <c r="A1614">
        <v>1315</v>
      </c>
      <c r="B1614" t="s">
        <v>3427</v>
      </c>
      <c r="C1614" t="s">
        <v>3428</v>
      </c>
      <c r="D1614" t="s">
        <v>3429</v>
      </c>
      <c r="E1614" t="s">
        <v>23</v>
      </c>
      <c r="F1614" t="s">
        <v>3417</v>
      </c>
      <c r="G1614" s="3">
        <v>33.22</v>
      </c>
      <c r="H1614" s="3">
        <v>6.6440000000000001</v>
      </c>
      <c r="I1614" s="3">
        <v>26.576000000000001</v>
      </c>
      <c r="J1614" s="3">
        <f>Table1[[#This Row],[قيمة الفاتورة]]*0.94-Table1[[#This Row],[قيمة المشاركة]]</f>
        <v>24.582799999999999</v>
      </c>
      <c r="K1614">
        <v>24.582000000000001</v>
      </c>
      <c r="L1614" s="3">
        <f t="shared" si="25"/>
        <v>7.9999999999813554E-4</v>
      </c>
      <c r="M1614" t="s">
        <v>3155</v>
      </c>
      <c r="N1614" t="s">
        <v>328</v>
      </c>
    </row>
    <row r="1615" spans="1:14" x14ac:dyDescent="0.3">
      <c r="A1615">
        <v>1320</v>
      </c>
      <c r="B1615" t="s">
        <v>464</v>
      </c>
      <c r="C1615" t="s">
        <v>465</v>
      </c>
      <c r="D1615" t="s">
        <v>3430</v>
      </c>
      <c r="E1615" t="s">
        <v>17</v>
      </c>
      <c r="F1615" t="s">
        <v>3417</v>
      </c>
      <c r="G1615" s="3">
        <v>5.82</v>
      </c>
      <c r="H1615" s="3">
        <v>0</v>
      </c>
      <c r="I1615" s="3">
        <v>5.82</v>
      </c>
      <c r="J1615" s="3">
        <f>Table1[[#This Row],[قيمة الفاتورة]]*0.94-Table1[[#This Row],[قيمة المشاركة]]</f>
        <v>5.4707999999999997</v>
      </c>
      <c r="K1615">
        <v>5.4050000000000002</v>
      </c>
      <c r="L1615" s="3">
        <f t="shared" si="25"/>
        <v>6.5799999999999415E-2</v>
      </c>
      <c r="M1615" t="s">
        <v>2678</v>
      </c>
      <c r="N1615" t="s">
        <v>19</v>
      </c>
    </row>
    <row r="1616" spans="1:14" x14ac:dyDescent="0.3">
      <c r="A1616">
        <v>296</v>
      </c>
      <c r="B1616" t="s">
        <v>464</v>
      </c>
      <c r="C1616" t="s">
        <v>465</v>
      </c>
      <c r="D1616" t="s">
        <v>3430</v>
      </c>
      <c r="E1616" t="s">
        <v>23</v>
      </c>
      <c r="F1616" t="s">
        <v>3417</v>
      </c>
      <c r="G1616" s="3">
        <v>25.85</v>
      </c>
      <c r="H1616" s="3">
        <v>0</v>
      </c>
      <c r="I1616" s="3">
        <v>25.85</v>
      </c>
      <c r="J1616" s="3">
        <f>Table1[[#This Row],[قيمة الفاتورة]]*0.94-Table1[[#This Row],[قيمة المشاركة]]</f>
        <v>24.298999999999999</v>
      </c>
      <c r="K1616">
        <v>23.302</v>
      </c>
      <c r="L1616" s="3">
        <f t="shared" si="25"/>
        <v>0.99699999999999989</v>
      </c>
      <c r="M1616" t="s">
        <v>2678</v>
      </c>
      <c r="N1616" t="s">
        <v>19</v>
      </c>
    </row>
    <row r="1617" spans="1:14" x14ac:dyDescent="0.3">
      <c r="A1617" s="7">
        <v>1316</v>
      </c>
      <c r="B1617" s="7" t="s">
        <v>3431</v>
      </c>
      <c r="C1617" s="7" t="s">
        <v>3432</v>
      </c>
      <c r="D1617" s="7" t="s">
        <v>3416</v>
      </c>
      <c r="E1617" s="7" t="s">
        <v>17</v>
      </c>
      <c r="F1617" s="7" t="s">
        <v>3417</v>
      </c>
      <c r="G1617" s="8">
        <v>64.81</v>
      </c>
      <c r="H1617" s="8">
        <v>12.962</v>
      </c>
      <c r="I1617" s="8">
        <v>51.847999999999999</v>
      </c>
      <c r="J1617" s="8">
        <f>Table1[[#This Row],[قيمة الفاتورة]]*0.94-Table1[[#This Row],[قيمة المشاركة]]</f>
        <v>47.959400000000002</v>
      </c>
      <c r="L1617" s="3" t="str">
        <f t="shared" si="25"/>
        <v/>
      </c>
      <c r="N1617" t="s">
        <v>328</v>
      </c>
    </row>
    <row r="1618" spans="1:14" x14ac:dyDescent="0.3">
      <c r="A1618">
        <v>1317</v>
      </c>
      <c r="B1618" t="s">
        <v>2778</v>
      </c>
      <c r="C1618" t="s">
        <v>3433</v>
      </c>
      <c r="D1618" t="s">
        <v>3434</v>
      </c>
      <c r="E1618" t="s">
        <v>23</v>
      </c>
      <c r="F1618" t="s">
        <v>3417</v>
      </c>
      <c r="G1618" s="3">
        <v>22.12</v>
      </c>
      <c r="H1618" s="3">
        <v>0</v>
      </c>
      <c r="I1618" s="3">
        <v>22.12</v>
      </c>
      <c r="J1618" s="3">
        <f>Table1[[#This Row],[قيمة الفاتورة]]*0.94-Table1[[#This Row],[قيمة المشاركة]]</f>
        <v>20.7928</v>
      </c>
      <c r="K1618" s="3">
        <v>14.664</v>
      </c>
      <c r="L1618" s="3">
        <f t="shared" si="25"/>
        <v>6.1288</v>
      </c>
      <c r="M1618" s="6">
        <v>46183</v>
      </c>
      <c r="N1618" s="6" t="s">
        <v>19</v>
      </c>
    </row>
    <row r="1619" spans="1:14" x14ac:dyDescent="0.3">
      <c r="A1619">
        <v>1332</v>
      </c>
      <c r="B1619" t="s">
        <v>32</v>
      </c>
      <c r="C1619" t="s">
        <v>33</v>
      </c>
      <c r="D1619" t="s">
        <v>3435</v>
      </c>
      <c r="E1619" t="s">
        <v>17</v>
      </c>
      <c r="F1619" t="s">
        <v>3436</v>
      </c>
      <c r="G1619" s="3">
        <v>31.01</v>
      </c>
      <c r="H1619" s="3">
        <v>6.202</v>
      </c>
      <c r="I1619" s="3">
        <v>24.808</v>
      </c>
      <c r="J1619" s="3">
        <f>Table1[[#This Row],[قيمة الفاتورة]]*0.94-Table1[[#This Row],[قيمة المشاركة]]</f>
        <v>22.947400000000002</v>
      </c>
      <c r="K1619">
        <v>24.120999999999999</v>
      </c>
      <c r="L1619" s="3">
        <f t="shared" si="25"/>
        <v>-1.1735999999999969</v>
      </c>
      <c r="M1619" t="s">
        <v>2678</v>
      </c>
      <c r="N1619" t="s">
        <v>19</v>
      </c>
    </row>
    <row r="1620" spans="1:14" x14ac:dyDescent="0.3">
      <c r="A1620">
        <v>1331</v>
      </c>
      <c r="B1620" t="s">
        <v>1774</v>
      </c>
      <c r="C1620" t="s">
        <v>1775</v>
      </c>
      <c r="D1620" t="s">
        <v>3437</v>
      </c>
      <c r="E1620" t="s">
        <v>23</v>
      </c>
      <c r="F1620" t="s">
        <v>3436</v>
      </c>
      <c r="G1620" s="3">
        <v>31.01</v>
      </c>
      <c r="H1620" s="3">
        <v>6.202</v>
      </c>
      <c r="I1620" s="3">
        <v>24.808</v>
      </c>
      <c r="J1620" s="3">
        <f>Table1[[#This Row],[قيمة الفاتورة]]*0.94-Table1[[#This Row],[قيمة المشاركة]]</f>
        <v>22.947400000000002</v>
      </c>
      <c r="K1620">
        <v>24.076000000000001</v>
      </c>
      <c r="L1620" s="3">
        <f t="shared" si="25"/>
        <v>-1.1285999999999987</v>
      </c>
      <c r="M1620" t="s">
        <v>2678</v>
      </c>
      <c r="N1620" t="s">
        <v>19</v>
      </c>
    </row>
    <row r="1621" spans="1:14" x14ac:dyDescent="0.3">
      <c r="A1621">
        <v>1330</v>
      </c>
      <c r="B1621" t="s">
        <v>3438</v>
      </c>
      <c r="C1621" t="s">
        <v>3439</v>
      </c>
      <c r="D1621" t="s">
        <v>3440</v>
      </c>
      <c r="E1621" t="s">
        <v>23</v>
      </c>
      <c r="F1621" t="s">
        <v>3436</v>
      </c>
      <c r="G1621" s="3">
        <v>20.89</v>
      </c>
      <c r="H1621" s="3">
        <v>0</v>
      </c>
      <c r="I1621" s="3">
        <v>20.89</v>
      </c>
      <c r="J1621" s="3">
        <f>Table1[[#This Row],[قيمة الفاتورة]]*0.94-Table1[[#This Row],[قيمة المشاركة]]</f>
        <v>19.636599999999998</v>
      </c>
      <c r="K1621">
        <v>19.637</v>
      </c>
      <c r="L1621" s="3">
        <f t="shared" si="25"/>
        <v>-4.0000000000262048E-4</v>
      </c>
      <c r="M1621" t="s">
        <v>2678</v>
      </c>
      <c r="N1621" t="s">
        <v>19</v>
      </c>
    </row>
    <row r="1622" spans="1:14" x14ac:dyDescent="0.3">
      <c r="A1622">
        <v>1329</v>
      </c>
      <c r="B1622" t="s">
        <v>1831</v>
      </c>
      <c r="C1622" t="s">
        <v>1832</v>
      </c>
      <c r="D1622" t="s">
        <v>3441</v>
      </c>
      <c r="E1622" t="s">
        <v>23</v>
      </c>
      <c r="F1622" t="s">
        <v>3436</v>
      </c>
      <c r="G1622" s="3">
        <v>3.97</v>
      </c>
      <c r="H1622" s="3">
        <v>0</v>
      </c>
      <c r="I1622" s="3">
        <v>3.97</v>
      </c>
      <c r="J1622" s="3">
        <f>Table1[[#This Row],[قيمة الفاتورة]]*0.94-Table1[[#This Row],[قيمة المشاركة]]</f>
        <v>3.7317999999999998</v>
      </c>
      <c r="K1622">
        <v>3.7320000000000002</v>
      </c>
      <c r="L1622" s="3">
        <f t="shared" si="25"/>
        <v>-2.0000000000042206E-4</v>
      </c>
      <c r="M1622" t="s">
        <v>2678</v>
      </c>
      <c r="N1622" t="s">
        <v>19</v>
      </c>
    </row>
    <row r="1623" spans="1:14" x14ac:dyDescent="0.3">
      <c r="A1623">
        <v>1327</v>
      </c>
      <c r="B1623" t="s">
        <v>3186</v>
      </c>
      <c r="C1623" t="s">
        <v>3187</v>
      </c>
      <c r="D1623" t="s">
        <v>3442</v>
      </c>
      <c r="E1623" t="s">
        <v>23</v>
      </c>
      <c r="F1623" t="s">
        <v>3436</v>
      </c>
      <c r="G1623" s="3">
        <v>29.37</v>
      </c>
      <c r="H1623" s="3">
        <v>5.8739999999999997</v>
      </c>
      <c r="I1623" s="3">
        <v>23.495999999999999</v>
      </c>
      <c r="J1623" s="3">
        <f>Table1[[#This Row],[قيمة الفاتورة]]*0.94-Table1[[#This Row],[قيمة المشاركة]]</f>
        <v>21.733800000000002</v>
      </c>
      <c r="K1623">
        <v>21.734000000000002</v>
      </c>
      <c r="L1623" s="3">
        <f t="shared" si="25"/>
        <v>-1.9999999999953388E-4</v>
      </c>
      <c r="M1623" t="s">
        <v>3155</v>
      </c>
      <c r="N1623" t="s">
        <v>328</v>
      </c>
    </row>
    <row r="1624" spans="1:14" x14ac:dyDescent="0.3">
      <c r="A1624">
        <v>1328</v>
      </c>
      <c r="B1624" t="s">
        <v>3443</v>
      </c>
      <c r="C1624" t="s">
        <v>3444</v>
      </c>
      <c r="D1624" t="s">
        <v>3445</v>
      </c>
      <c r="E1624" t="s">
        <v>17</v>
      </c>
      <c r="F1624" t="s">
        <v>3436</v>
      </c>
      <c r="G1624" s="3">
        <v>46.53</v>
      </c>
      <c r="H1624" s="3">
        <v>9.3059999999999992</v>
      </c>
      <c r="I1624" s="3">
        <v>37.223999999999997</v>
      </c>
      <c r="J1624" s="3">
        <f>Table1[[#This Row],[قيمة الفاتورة]]*0.94-Table1[[#This Row],[قيمة المشاركة]]</f>
        <v>34.432200000000002</v>
      </c>
      <c r="K1624">
        <v>34.432000000000002</v>
      </c>
      <c r="L1624" s="3">
        <f t="shared" si="25"/>
        <v>1.9999999999953388E-4</v>
      </c>
      <c r="M1624" t="s">
        <v>3155</v>
      </c>
      <c r="N1624" t="s">
        <v>328</v>
      </c>
    </row>
    <row r="1625" spans="1:14" x14ac:dyDescent="0.3">
      <c r="A1625">
        <v>1325</v>
      </c>
      <c r="B1625" t="s">
        <v>3446</v>
      </c>
      <c r="C1625" t="s">
        <v>173</v>
      </c>
      <c r="D1625" t="s">
        <v>3447</v>
      </c>
      <c r="E1625" t="s">
        <v>17</v>
      </c>
      <c r="F1625" t="s">
        <v>3436</v>
      </c>
      <c r="G1625" s="3">
        <v>20.059999999999999</v>
      </c>
      <c r="H1625" s="3">
        <v>0</v>
      </c>
      <c r="I1625" s="3">
        <v>20.059999999999999</v>
      </c>
      <c r="J1625" s="3">
        <f>Table1[[#This Row],[قيمة الفاتورة]]*0.94-Table1[[#This Row],[قيمة المشاركة]]</f>
        <v>18.856399999999997</v>
      </c>
      <c r="K1625">
        <v>18.856000000000002</v>
      </c>
      <c r="L1625" s="3">
        <f t="shared" si="25"/>
        <v>3.9999999999551505E-4</v>
      </c>
      <c r="M1625" t="s">
        <v>2678</v>
      </c>
      <c r="N1625" t="s">
        <v>19</v>
      </c>
    </row>
    <row r="1626" spans="1:14" x14ac:dyDescent="0.3">
      <c r="A1626">
        <v>1323</v>
      </c>
      <c r="B1626" t="s">
        <v>3448</v>
      </c>
      <c r="C1626" t="s">
        <v>3449</v>
      </c>
      <c r="D1626" t="s">
        <v>3450</v>
      </c>
      <c r="E1626" t="s">
        <v>17</v>
      </c>
      <c r="F1626" t="s">
        <v>3436</v>
      </c>
      <c r="G1626" s="3">
        <v>35.11</v>
      </c>
      <c r="H1626" s="3">
        <v>7.0220000000000002</v>
      </c>
      <c r="I1626" s="3">
        <v>28.088000000000001</v>
      </c>
      <c r="J1626" s="3">
        <f>Table1[[#This Row],[قيمة الفاتورة]]*0.94-Table1[[#This Row],[قيمة المشاركة]]</f>
        <v>25.981400000000001</v>
      </c>
      <c r="K1626">
        <v>25.981000000000002</v>
      </c>
      <c r="L1626" s="3">
        <f t="shared" si="25"/>
        <v>3.9999999999906777E-4</v>
      </c>
      <c r="M1626" t="s">
        <v>3155</v>
      </c>
      <c r="N1626" t="s">
        <v>328</v>
      </c>
    </row>
    <row r="1627" spans="1:14" x14ac:dyDescent="0.3">
      <c r="A1627">
        <v>1322</v>
      </c>
      <c r="B1627" t="s">
        <v>3451</v>
      </c>
      <c r="C1627" t="s">
        <v>3452</v>
      </c>
      <c r="D1627" t="s">
        <v>3453</v>
      </c>
      <c r="E1627" t="s">
        <v>23</v>
      </c>
      <c r="F1627" t="s">
        <v>3436</v>
      </c>
      <c r="G1627" s="3">
        <v>48.97</v>
      </c>
      <c r="H1627" s="3">
        <v>9.7940000000000005</v>
      </c>
      <c r="I1627" s="3">
        <v>39.176000000000002</v>
      </c>
      <c r="J1627" s="3">
        <f>Table1[[#This Row],[قيمة الفاتورة]]*0.94-Table1[[#This Row],[قيمة المشاركة]]</f>
        <v>36.237799999999993</v>
      </c>
      <c r="K1627">
        <v>36.237000000000002</v>
      </c>
      <c r="L1627" s="3">
        <f t="shared" si="25"/>
        <v>7.9999999999103011E-4</v>
      </c>
      <c r="M1627" t="s">
        <v>3155</v>
      </c>
      <c r="N1627" t="s">
        <v>328</v>
      </c>
    </row>
    <row r="1628" spans="1:14" x14ac:dyDescent="0.3">
      <c r="A1628">
        <v>1324</v>
      </c>
      <c r="B1628" t="s">
        <v>1831</v>
      </c>
      <c r="C1628" t="s">
        <v>1832</v>
      </c>
      <c r="D1628" t="s">
        <v>3454</v>
      </c>
      <c r="E1628" t="s">
        <v>23</v>
      </c>
      <c r="F1628" t="s">
        <v>3436</v>
      </c>
      <c r="G1628" s="3">
        <v>21.12</v>
      </c>
      <c r="H1628" s="3">
        <v>0</v>
      </c>
      <c r="I1628" s="3">
        <v>21.12</v>
      </c>
      <c r="J1628" s="3">
        <f>Table1[[#This Row],[قيمة الفاتورة]]*0.94-Table1[[#This Row],[قيمة المشاركة]]</f>
        <v>19.852799999999998</v>
      </c>
      <c r="K1628">
        <v>19.852</v>
      </c>
      <c r="L1628" s="3">
        <f t="shared" si="25"/>
        <v>7.9999999999813554E-4</v>
      </c>
      <c r="M1628" t="s">
        <v>2678</v>
      </c>
      <c r="N1628" t="s">
        <v>19</v>
      </c>
    </row>
    <row r="1629" spans="1:14" x14ac:dyDescent="0.3">
      <c r="A1629">
        <v>1326</v>
      </c>
      <c r="B1629" t="s">
        <v>2616</v>
      </c>
      <c r="C1629" t="s">
        <v>2617</v>
      </c>
      <c r="D1629" t="s">
        <v>3455</v>
      </c>
      <c r="E1629" t="s">
        <v>23</v>
      </c>
      <c r="F1629" t="s">
        <v>3436</v>
      </c>
      <c r="G1629" s="3">
        <v>8.23</v>
      </c>
      <c r="H1629" s="3">
        <v>0</v>
      </c>
      <c r="I1629" s="3">
        <v>8.23</v>
      </c>
      <c r="J1629" s="3">
        <f>Table1[[#This Row],[قيمة الفاتورة]]*0.94-Table1[[#This Row],[قيمة المشاركة]]</f>
        <v>7.7362000000000002</v>
      </c>
      <c r="K1629">
        <v>7.548</v>
      </c>
      <c r="L1629" s="3">
        <f t="shared" si="25"/>
        <v>0.18820000000000014</v>
      </c>
      <c r="M1629" t="s">
        <v>2678</v>
      </c>
      <c r="N1629" t="s">
        <v>19</v>
      </c>
    </row>
    <row r="1630" spans="1:14" x14ac:dyDescent="0.3">
      <c r="A1630">
        <v>1333</v>
      </c>
      <c r="B1630" t="s">
        <v>3456</v>
      </c>
      <c r="C1630" t="s">
        <v>3457</v>
      </c>
      <c r="D1630" t="s">
        <v>3458</v>
      </c>
      <c r="E1630" t="s">
        <v>23</v>
      </c>
      <c r="F1630" t="s">
        <v>3436</v>
      </c>
      <c r="G1630" s="3">
        <v>53.74</v>
      </c>
      <c r="H1630" s="3">
        <v>10.747999999999999</v>
      </c>
      <c r="I1630" s="3">
        <v>42.991999999999997</v>
      </c>
      <c r="J1630" s="3">
        <f>Table1[[#This Row],[قيمة الفاتورة]]*0.94-Table1[[#This Row],[قيمة المشاركة]]</f>
        <v>39.767600000000002</v>
      </c>
      <c r="K1630" s="3">
        <v>37.738</v>
      </c>
      <c r="L1630" s="3">
        <f t="shared" si="25"/>
        <v>2.0296000000000021</v>
      </c>
      <c r="M1630" s="6">
        <v>46175</v>
      </c>
      <c r="N1630" s="6" t="s">
        <v>328</v>
      </c>
    </row>
    <row r="1631" spans="1:14" x14ac:dyDescent="0.3">
      <c r="A1631">
        <v>1335</v>
      </c>
      <c r="B1631" t="s">
        <v>3459</v>
      </c>
      <c r="C1631" t="s">
        <v>3460</v>
      </c>
      <c r="D1631" t="s">
        <v>3461</v>
      </c>
      <c r="E1631" t="s">
        <v>17</v>
      </c>
      <c r="F1631" t="s">
        <v>3462</v>
      </c>
      <c r="G1631" s="3">
        <v>82.24</v>
      </c>
      <c r="H1631" s="3">
        <v>16.448</v>
      </c>
      <c r="I1631" s="3">
        <v>65.792000000000002</v>
      </c>
      <c r="J1631" s="3">
        <f>Table1[[#This Row],[قيمة الفاتورة]]*0.94-Table1[[#This Row],[قيمة المشاركة]]</f>
        <v>60.857599999999984</v>
      </c>
      <c r="K1631">
        <v>60.857999999999997</v>
      </c>
      <c r="L1631" s="3">
        <f t="shared" si="25"/>
        <v>-4.0000000001327862E-4</v>
      </c>
      <c r="M1631" t="s">
        <v>3155</v>
      </c>
      <c r="N1631" t="s">
        <v>328</v>
      </c>
    </row>
    <row r="1632" spans="1:14" x14ac:dyDescent="0.3">
      <c r="A1632">
        <v>1336</v>
      </c>
      <c r="B1632" t="s">
        <v>1376</v>
      </c>
      <c r="C1632" t="s">
        <v>167</v>
      </c>
      <c r="D1632" t="s">
        <v>3463</v>
      </c>
      <c r="E1632" t="s">
        <v>23</v>
      </c>
      <c r="F1632" t="s">
        <v>3462</v>
      </c>
      <c r="G1632" s="3">
        <v>12.99</v>
      </c>
      <c r="H1632" s="3">
        <v>0</v>
      </c>
      <c r="I1632" s="3">
        <v>12.99</v>
      </c>
      <c r="J1632" s="3">
        <f>Table1[[#This Row],[قيمة الفاتورة]]*0.94-Table1[[#This Row],[قيمة المشاركة]]</f>
        <v>12.210599999999999</v>
      </c>
      <c r="K1632">
        <v>12.21</v>
      </c>
      <c r="L1632" s="3">
        <f t="shared" si="25"/>
        <v>5.9999999999860165E-4</v>
      </c>
      <c r="M1632" t="s">
        <v>2678</v>
      </c>
      <c r="N1632" t="s">
        <v>19</v>
      </c>
    </row>
    <row r="1633" spans="1:14" x14ac:dyDescent="0.3">
      <c r="A1633">
        <v>1337</v>
      </c>
      <c r="B1633" t="s">
        <v>3464</v>
      </c>
      <c r="C1633" t="s">
        <v>3465</v>
      </c>
      <c r="D1633" t="s">
        <v>3466</v>
      </c>
      <c r="E1633" t="s">
        <v>17</v>
      </c>
      <c r="F1633" t="s">
        <v>3462</v>
      </c>
      <c r="G1633" s="3">
        <v>29.37</v>
      </c>
      <c r="H1633" s="3">
        <v>5.8739999999999997</v>
      </c>
      <c r="I1633" s="3">
        <v>23.495999999999999</v>
      </c>
      <c r="J1633" s="3">
        <f>Table1[[#This Row],[قيمة الفاتورة]]*0.94-Table1[[#This Row],[قيمة المشاركة]]</f>
        <v>21.733800000000002</v>
      </c>
      <c r="K1633">
        <v>21.733000000000001</v>
      </c>
      <c r="L1633" s="3">
        <f t="shared" si="25"/>
        <v>8.0000000000168825E-4</v>
      </c>
      <c r="M1633" t="s">
        <v>3155</v>
      </c>
      <c r="N1633" t="s">
        <v>328</v>
      </c>
    </row>
    <row r="1634" spans="1:14" x14ac:dyDescent="0.3">
      <c r="A1634">
        <v>1334</v>
      </c>
      <c r="B1634" t="s">
        <v>3467</v>
      </c>
      <c r="C1634" t="s">
        <v>3468</v>
      </c>
      <c r="D1634" t="s">
        <v>3469</v>
      </c>
      <c r="E1634" t="s">
        <v>23</v>
      </c>
      <c r="F1634" t="s">
        <v>3462</v>
      </c>
      <c r="G1634" s="3">
        <v>0.7</v>
      </c>
      <c r="H1634" s="3">
        <v>0.14000000000000001</v>
      </c>
      <c r="I1634" s="3">
        <v>0.56000000000000005</v>
      </c>
      <c r="J1634" s="3">
        <f>Table1[[#This Row],[قيمة الفاتورة]]*0.94-Table1[[#This Row],[قيمة المشاركة]]</f>
        <v>0.5179999999999999</v>
      </c>
      <c r="K1634">
        <v>0.45300000000000001</v>
      </c>
      <c r="L1634" s="3">
        <f t="shared" si="25"/>
        <v>6.4999999999999891E-2</v>
      </c>
      <c r="M1634" t="s">
        <v>3155</v>
      </c>
      <c r="N1634" t="s">
        <v>328</v>
      </c>
    </row>
    <row r="1635" spans="1:14" x14ac:dyDescent="0.3">
      <c r="A1635">
        <v>297</v>
      </c>
      <c r="B1635" t="s">
        <v>3470</v>
      </c>
      <c r="C1635" t="s">
        <v>325</v>
      </c>
      <c r="D1635" t="s">
        <v>3471</v>
      </c>
      <c r="E1635" t="s">
        <v>17</v>
      </c>
      <c r="F1635" t="s">
        <v>3462</v>
      </c>
      <c r="G1635" s="3">
        <v>18.66</v>
      </c>
      <c r="H1635" s="3">
        <v>3.7320000000000002</v>
      </c>
      <c r="I1635" s="3">
        <v>14.928000000000001</v>
      </c>
      <c r="J1635" s="3">
        <f>Table1[[#This Row],[قيمة الفاتورة]]*0.94-Table1[[#This Row],[قيمة المشاركة]]</f>
        <v>13.808399999999999</v>
      </c>
      <c r="K1635" s="3">
        <v>13.808999999999999</v>
      </c>
      <c r="L1635" s="3">
        <f t="shared" si="25"/>
        <v>-6.0000000000037801E-4</v>
      </c>
      <c r="M1635" s="6">
        <v>46175</v>
      </c>
      <c r="N1635" s="6" t="s">
        <v>328</v>
      </c>
    </row>
    <row r="1636" spans="1:14" x14ac:dyDescent="0.3">
      <c r="A1636">
        <v>1</v>
      </c>
      <c r="B1636" t="s">
        <v>3005</v>
      </c>
      <c r="C1636" t="s">
        <v>2715</v>
      </c>
      <c r="D1636" t="s">
        <v>3472</v>
      </c>
      <c r="E1636" t="s">
        <v>17</v>
      </c>
      <c r="F1636" t="s">
        <v>3473</v>
      </c>
      <c r="G1636" s="3">
        <v>41.13</v>
      </c>
      <c r="H1636" s="3">
        <v>8.2260000000000009</v>
      </c>
      <c r="I1636" s="3">
        <v>32.904000000000003</v>
      </c>
      <c r="J1636" s="3">
        <f>Table1[[#This Row],[قيمة الفاتورة]]*0.94-Table1[[#This Row],[قيمة المشاركة]]</f>
        <v>30.436199999999999</v>
      </c>
      <c r="K1636">
        <v>30.437000000000001</v>
      </c>
      <c r="L1636" s="3">
        <f t="shared" si="25"/>
        <v>-8.0000000000168825E-4</v>
      </c>
      <c r="M1636" t="s">
        <v>3474</v>
      </c>
      <c r="N1636" t="s">
        <v>328</v>
      </c>
    </row>
    <row r="1637" spans="1:14" x14ac:dyDescent="0.3">
      <c r="A1637">
        <v>4</v>
      </c>
      <c r="B1637" t="s">
        <v>3007</v>
      </c>
      <c r="C1637" t="s">
        <v>1519</v>
      </c>
      <c r="D1637" t="s">
        <v>3475</v>
      </c>
      <c r="E1637" t="s">
        <v>23</v>
      </c>
      <c r="F1637" t="s">
        <v>3473</v>
      </c>
      <c r="G1637" s="3">
        <v>36.07</v>
      </c>
      <c r="H1637" s="3">
        <v>7.2140000000000004</v>
      </c>
      <c r="I1637" s="3">
        <v>28.856000000000002</v>
      </c>
      <c r="J1637" s="3">
        <f>Table1[[#This Row],[قيمة الفاتورة]]*0.94-Table1[[#This Row],[قيمة المشاركة]]</f>
        <v>26.691800000000001</v>
      </c>
      <c r="K1637">
        <v>26.692</v>
      </c>
      <c r="L1637" s="3">
        <f t="shared" si="25"/>
        <v>-1.9999999999953388E-4</v>
      </c>
      <c r="M1637" t="s">
        <v>3474</v>
      </c>
      <c r="N1637" t="s">
        <v>328</v>
      </c>
    </row>
    <row r="1638" spans="1:14" x14ac:dyDescent="0.3">
      <c r="A1638">
        <v>2</v>
      </c>
      <c r="B1638" t="s">
        <v>3476</v>
      </c>
      <c r="C1638" t="s">
        <v>3477</v>
      </c>
      <c r="D1638" t="s">
        <v>3478</v>
      </c>
      <c r="E1638" t="s">
        <v>23</v>
      </c>
      <c r="F1638" t="s">
        <v>3473</v>
      </c>
      <c r="G1638" s="3">
        <v>48.6</v>
      </c>
      <c r="H1638" s="3">
        <v>9.7200000000000006</v>
      </c>
      <c r="I1638" s="3">
        <v>38.880000000000003</v>
      </c>
      <c r="J1638" s="3">
        <f>Table1[[#This Row],[قيمة الفاتورة]]*0.94-Table1[[#This Row],[قيمة المشاركة]]</f>
        <v>35.963999999999999</v>
      </c>
      <c r="K1638">
        <v>35.963999999999999</v>
      </c>
      <c r="L1638" s="3">
        <f t="shared" si="25"/>
        <v>0</v>
      </c>
      <c r="M1638" t="s">
        <v>3474</v>
      </c>
      <c r="N1638" t="s">
        <v>328</v>
      </c>
    </row>
    <row r="1639" spans="1:14" x14ac:dyDescent="0.3">
      <c r="A1639">
        <v>298</v>
      </c>
      <c r="B1639" t="s">
        <v>3479</v>
      </c>
      <c r="C1639" t="s">
        <v>3480</v>
      </c>
      <c r="D1639" t="s">
        <v>3481</v>
      </c>
      <c r="E1639" t="s">
        <v>23</v>
      </c>
      <c r="F1639" t="s">
        <v>3473</v>
      </c>
      <c r="G1639" s="3">
        <v>8.58</v>
      </c>
      <c r="H1639" s="3">
        <v>1.716</v>
      </c>
      <c r="I1639" s="3">
        <v>6.8639999999999999</v>
      </c>
      <c r="J1639" s="3">
        <f>Table1[[#This Row],[قيمة الفاتورة]]*0.94-Table1[[#This Row],[قيمة المشاركة]]</f>
        <v>6.3491999999999988</v>
      </c>
      <c r="K1639">
        <v>6.3490000000000002</v>
      </c>
      <c r="L1639" s="3">
        <f t="shared" si="25"/>
        <v>1.9999999999864571E-4</v>
      </c>
      <c r="M1639" t="s">
        <v>3474</v>
      </c>
      <c r="N1639" t="s">
        <v>328</v>
      </c>
    </row>
    <row r="1640" spans="1:14" x14ac:dyDescent="0.3">
      <c r="A1640">
        <v>3</v>
      </c>
      <c r="B1640" t="s">
        <v>3009</v>
      </c>
      <c r="C1640" t="s">
        <v>3010</v>
      </c>
      <c r="D1640" t="s">
        <v>3482</v>
      </c>
      <c r="E1640" t="s">
        <v>23</v>
      </c>
      <c r="F1640" t="s">
        <v>3473</v>
      </c>
      <c r="G1640" s="3">
        <v>48.93</v>
      </c>
      <c r="H1640" s="3">
        <v>9.7859999999999996</v>
      </c>
      <c r="I1640" s="3">
        <v>39.143999999999998</v>
      </c>
      <c r="J1640" s="3">
        <f>Table1[[#This Row],[قيمة الفاتورة]]*0.94-Table1[[#This Row],[قيمة المشاركة]]</f>
        <v>36.208199999999998</v>
      </c>
      <c r="K1640">
        <v>36.200000000000003</v>
      </c>
      <c r="L1640" s="3">
        <f t="shared" si="25"/>
        <v>8.1999999999951001E-3</v>
      </c>
      <c r="M1640" t="s">
        <v>3474</v>
      </c>
      <c r="N1640" t="s">
        <v>328</v>
      </c>
    </row>
    <row r="1641" spans="1:14" x14ac:dyDescent="0.3">
      <c r="A1641">
        <v>5</v>
      </c>
      <c r="B1641" t="s">
        <v>748</v>
      </c>
      <c r="C1641" t="s">
        <v>749</v>
      </c>
      <c r="D1641" t="s">
        <v>3483</v>
      </c>
      <c r="E1641" t="s">
        <v>17</v>
      </c>
      <c r="F1641" t="s">
        <v>3473</v>
      </c>
      <c r="G1641" s="3">
        <v>21.58</v>
      </c>
      <c r="H1641" s="3">
        <v>0</v>
      </c>
      <c r="I1641" s="3">
        <v>21.58</v>
      </c>
      <c r="J1641" s="3">
        <f>Table1[[#This Row],[قيمة الفاتورة]]*0.94-Table1[[#This Row],[قيمة المشاركة]]</f>
        <v>20.285199999999996</v>
      </c>
      <c r="L1641" s="3" t="str">
        <f t="shared" si="25"/>
        <v/>
      </c>
      <c r="N1641" t="s">
        <v>19</v>
      </c>
    </row>
    <row r="1642" spans="1:14" x14ac:dyDescent="0.3">
      <c r="A1642">
        <v>6</v>
      </c>
      <c r="B1642" t="s">
        <v>2912</v>
      </c>
      <c r="C1642" t="s">
        <v>2698</v>
      </c>
      <c r="D1642" t="s">
        <v>3484</v>
      </c>
      <c r="E1642" t="s">
        <v>17</v>
      </c>
      <c r="F1642" t="s">
        <v>3485</v>
      </c>
      <c r="G1642" s="3">
        <v>7.08</v>
      </c>
      <c r="H1642" s="3">
        <v>1.4159999999999999</v>
      </c>
      <c r="I1642" s="3">
        <v>5.6639999999999997</v>
      </c>
      <c r="J1642" s="3">
        <f>Table1[[#This Row],[قيمة الفاتورة]]*0.94-Table1[[#This Row],[قيمة المشاركة]]</f>
        <v>5.2392000000000003</v>
      </c>
      <c r="K1642" s="3">
        <v>5.2389999999999999</v>
      </c>
      <c r="L1642" s="3">
        <f t="shared" si="25"/>
        <v>2.0000000000042206E-4</v>
      </c>
      <c r="M1642" s="6">
        <v>46175</v>
      </c>
      <c r="N1642" s="6" t="s">
        <v>328</v>
      </c>
    </row>
    <row r="1643" spans="1:14" x14ac:dyDescent="0.3">
      <c r="A1643">
        <v>8</v>
      </c>
      <c r="B1643" t="s">
        <v>3486</v>
      </c>
      <c r="C1643" t="s">
        <v>3487</v>
      </c>
      <c r="D1643" t="s">
        <v>3488</v>
      </c>
      <c r="E1643" t="s">
        <v>17</v>
      </c>
      <c r="F1643" t="s">
        <v>3489</v>
      </c>
      <c r="G1643" s="3">
        <v>20.36</v>
      </c>
      <c r="H1643" s="3">
        <v>4.0720000000000001</v>
      </c>
      <c r="I1643" s="3">
        <v>16.288</v>
      </c>
      <c r="J1643" s="3">
        <f>Table1[[#This Row],[قيمة الفاتورة]]*0.94-Table1[[#This Row],[قيمة المشاركة]]</f>
        <v>15.066399999999998</v>
      </c>
      <c r="K1643">
        <v>15.025</v>
      </c>
      <c r="L1643" s="3">
        <f t="shared" si="25"/>
        <v>4.1399999999997661E-2</v>
      </c>
      <c r="M1643" t="s">
        <v>3474</v>
      </c>
      <c r="N1643" t="s">
        <v>328</v>
      </c>
    </row>
    <row r="1644" spans="1:14" x14ac:dyDescent="0.3">
      <c r="A1644">
        <v>7</v>
      </c>
      <c r="B1644" t="s">
        <v>3490</v>
      </c>
      <c r="C1644" t="s">
        <v>3491</v>
      </c>
      <c r="D1644" t="s">
        <v>3492</v>
      </c>
      <c r="E1644" t="s">
        <v>23</v>
      </c>
      <c r="F1644" t="s">
        <v>3489</v>
      </c>
      <c r="G1644" s="3">
        <v>19.95</v>
      </c>
      <c r="H1644" s="3">
        <v>3.99</v>
      </c>
      <c r="I1644" s="3">
        <v>15.96</v>
      </c>
      <c r="J1644" s="3">
        <f>Table1[[#This Row],[قيمة الفاتورة]]*0.94-Table1[[#This Row],[قيمة المشاركة]]</f>
        <v>14.762999999999996</v>
      </c>
      <c r="K1644">
        <v>14.331</v>
      </c>
      <c r="L1644" s="3">
        <f t="shared" si="25"/>
        <v>0.43199999999999683</v>
      </c>
      <c r="M1644" t="s">
        <v>3474</v>
      </c>
      <c r="N1644" t="s">
        <v>328</v>
      </c>
    </row>
    <row r="1645" spans="1:14" x14ac:dyDescent="0.3">
      <c r="A1645">
        <v>9</v>
      </c>
      <c r="B1645" t="s">
        <v>3493</v>
      </c>
      <c r="C1645" t="s">
        <v>3494</v>
      </c>
      <c r="D1645" t="s">
        <v>3495</v>
      </c>
      <c r="E1645" t="s">
        <v>17</v>
      </c>
      <c r="F1645" t="s">
        <v>3489</v>
      </c>
      <c r="G1645" s="3">
        <v>53.77</v>
      </c>
      <c r="H1645" s="3">
        <v>10.754</v>
      </c>
      <c r="I1645" s="3">
        <v>43.015999999999998</v>
      </c>
      <c r="J1645" s="3">
        <f>Table1[[#This Row],[قيمة الفاتورة]]*0.94-Table1[[#This Row],[قيمة المشاركة]]</f>
        <v>39.7898</v>
      </c>
      <c r="L1645" s="3" t="str">
        <f t="shared" si="25"/>
        <v/>
      </c>
      <c r="N1645" t="s">
        <v>328</v>
      </c>
    </row>
    <row r="1646" spans="1:14" x14ac:dyDescent="0.3">
      <c r="A1646">
        <v>299</v>
      </c>
      <c r="B1646" t="s">
        <v>3486</v>
      </c>
      <c r="C1646" t="s">
        <v>3487</v>
      </c>
      <c r="D1646" t="s">
        <v>3496</v>
      </c>
      <c r="E1646" t="s">
        <v>23</v>
      </c>
      <c r="F1646" t="s">
        <v>3497</v>
      </c>
      <c r="G1646" s="3">
        <v>8.19</v>
      </c>
      <c r="H1646" s="3">
        <v>1.6379999999999999</v>
      </c>
      <c r="I1646" s="3">
        <v>6.5519999999999996</v>
      </c>
      <c r="J1646" s="3">
        <f>Table1[[#This Row],[قيمة الفاتورة]]*0.94-Table1[[#This Row],[قيمة المشاركة]]</f>
        <v>6.0605999999999991</v>
      </c>
      <c r="K1646">
        <v>6.06</v>
      </c>
      <c r="L1646" s="3">
        <f t="shared" si="25"/>
        <v>5.9999999999948983E-4</v>
      </c>
      <c r="M1646" t="s">
        <v>3474</v>
      </c>
      <c r="N1646" t="s">
        <v>328</v>
      </c>
    </row>
    <row r="1647" spans="1:14" x14ac:dyDescent="0.3">
      <c r="A1647">
        <v>19</v>
      </c>
      <c r="B1647" t="s">
        <v>3182</v>
      </c>
      <c r="C1647" t="s">
        <v>3183</v>
      </c>
      <c r="D1647" t="s">
        <v>3498</v>
      </c>
      <c r="E1647" t="s">
        <v>23</v>
      </c>
      <c r="F1647" t="s">
        <v>3497</v>
      </c>
      <c r="G1647" s="3">
        <v>34.67</v>
      </c>
      <c r="H1647" s="3">
        <v>6.9340000000000002</v>
      </c>
      <c r="I1647" s="3">
        <v>27.736000000000001</v>
      </c>
      <c r="J1647" s="3">
        <f>Table1[[#This Row],[قيمة الفاتورة]]*0.94-Table1[[#This Row],[قيمة المشاركة]]</f>
        <v>25.655799999999996</v>
      </c>
      <c r="K1647">
        <v>25.279</v>
      </c>
      <c r="L1647" s="3">
        <f t="shared" si="25"/>
        <v>0.3767999999999958</v>
      </c>
      <c r="M1647" t="s">
        <v>3474</v>
      </c>
      <c r="N1647" t="s">
        <v>328</v>
      </c>
    </row>
    <row r="1648" spans="1:14" x14ac:dyDescent="0.3">
      <c r="A1648">
        <v>300</v>
      </c>
      <c r="B1648" t="s">
        <v>3499</v>
      </c>
      <c r="C1648" t="s">
        <v>325</v>
      </c>
      <c r="D1648" t="s">
        <v>3500</v>
      </c>
      <c r="E1648" t="s">
        <v>17</v>
      </c>
      <c r="F1648" t="s">
        <v>3497</v>
      </c>
      <c r="G1648" s="3">
        <v>5.72</v>
      </c>
      <c r="H1648" s="3">
        <v>1.1439999999999999</v>
      </c>
      <c r="I1648" s="3">
        <v>4.5759999999999996</v>
      </c>
      <c r="J1648" s="3">
        <f>Table1[[#This Row],[قيمة الفاتورة]]*0.94-Table1[[#This Row],[قيمة المشاركة]]</f>
        <v>4.2327999999999992</v>
      </c>
      <c r="K1648">
        <v>2.919</v>
      </c>
      <c r="L1648" s="3">
        <f t="shared" si="25"/>
        <v>1.3137999999999992</v>
      </c>
      <c r="M1648" t="s">
        <v>3474</v>
      </c>
      <c r="N1648" t="s">
        <v>328</v>
      </c>
    </row>
    <row r="1649" spans="1:14" x14ac:dyDescent="0.3">
      <c r="A1649">
        <v>12</v>
      </c>
      <c r="B1649" t="s">
        <v>1965</v>
      </c>
      <c r="C1649" t="s">
        <v>1966</v>
      </c>
      <c r="D1649" t="s">
        <v>3501</v>
      </c>
      <c r="E1649" t="s">
        <v>23</v>
      </c>
      <c r="F1649" t="s">
        <v>3497</v>
      </c>
      <c r="G1649" s="3">
        <v>26.8</v>
      </c>
      <c r="H1649" s="3">
        <v>0</v>
      </c>
      <c r="I1649" s="3">
        <v>26.8</v>
      </c>
      <c r="J1649" s="3">
        <f>Table1[[#This Row],[قيمة الفاتورة]]*0.94-Table1[[#This Row],[قيمة المشاركة]]</f>
        <v>25.192</v>
      </c>
      <c r="L1649" s="3" t="str">
        <f t="shared" si="25"/>
        <v/>
      </c>
      <c r="N1649" t="s">
        <v>19</v>
      </c>
    </row>
    <row r="1650" spans="1:14" x14ac:dyDescent="0.3">
      <c r="A1650">
        <v>11</v>
      </c>
      <c r="B1650" t="s">
        <v>1315</v>
      </c>
      <c r="C1650" t="s">
        <v>1316</v>
      </c>
      <c r="D1650" t="s">
        <v>3502</v>
      </c>
      <c r="E1650" t="s">
        <v>23</v>
      </c>
      <c r="F1650" t="s">
        <v>3497</v>
      </c>
      <c r="G1650" s="3">
        <v>53.744999999999997</v>
      </c>
      <c r="H1650" s="3">
        <v>0</v>
      </c>
      <c r="I1650" s="3">
        <v>53.744999999999997</v>
      </c>
      <c r="J1650" s="3">
        <f>Table1[[#This Row],[قيمة الفاتورة]]*0.94-Table1[[#This Row],[قيمة المشاركة]]</f>
        <v>50.520299999999992</v>
      </c>
      <c r="L1650" s="3" t="str">
        <f t="shared" si="25"/>
        <v/>
      </c>
      <c r="N1650" t="s">
        <v>19</v>
      </c>
    </row>
    <row r="1651" spans="1:14" x14ac:dyDescent="0.3">
      <c r="A1651">
        <v>14</v>
      </c>
      <c r="B1651" t="s">
        <v>3503</v>
      </c>
      <c r="C1651" t="s">
        <v>3504</v>
      </c>
      <c r="D1651" t="s">
        <v>3505</v>
      </c>
      <c r="E1651" t="s">
        <v>23</v>
      </c>
      <c r="F1651" t="s">
        <v>3497</v>
      </c>
      <c r="G1651" s="3">
        <v>11.05</v>
      </c>
      <c r="H1651" s="3">
        <v>0</v>
      </c>
      <c r="I1651" s="3">
        <v>11.05</v>
      </c>
      <c r="J1651" s="3">
        <f>Table1[[#This Row],[قيمة الفاتورة]]*0.94-Table1[[#This Row],[قيمة المشاركة]]</f>
        <v>10.387</v>
      </c>
      <c r="L1651" s="3" t="str">
        <f t="shared" si="25"/>
        <v/>
      </c>
      <c r="N1651" t="s">
        <v>19</v>
      </c>
    </row>
    <row r="1652" spans="1:14" x14ac:dyDescent="0.3">
      <c r="A1652">
        <v>16</v>
      </c>
      <c r="B1652" t="s">
        <v>52</v>
      </c>
      <c r="C1652" t="s">
        <v>53</v>
      </c>
      <c r="D1652" t="s">
        <v>3506</v>
      </c>
      <c r="E1652" t="s">
        <v>17</v>
      </c>
      <c r="F1652" t="s">
        <v>3497</v>
      </c>
      <c r="G1652" s="3">
        <v>53.28</v>
      </c>
      <c r="H1652" s="3">
        <v>0</v>
      </c>
      <c r="I1652" s="3">
        <v>53.28</v>
      </c>
      <c r="J1652" s="3">
        <f>Table1[[#This Row],[قيمة الفاتورة]]*0.94-Table1[[#This Row],[قيمة المشاركة]]</f>
        <v>50.083199999999998</v>
      </c>
      <c r="L1652" s="3" t="str">
        <f t="shared" si="25"/>
        <v/>
      </c>
      <c r="N1652" t="s">
        <v>19</v>
      </c>
    </row>
    <row r="1653" spans="1:14" x14ac:dyDescent="0.3">
      <c r="A1653">
        <v>17</v>
      </c>
      <c r="B1653" t="s">
        <v>1680</v>
      </c>
      <c r="C1653" t="s">
        <v>1681</v>
      </c>
      <c r="D1653" t="s">
        <v>3507</v>
      </c>
      <c r="E1653" t="s">
        <v>17</v>
      </c>
      <c r="F1653" t="s">
        <v>3497</v>
      </c>
      <c r="G1653" s="3">
        <v>30.22</v>
      </c>
      <c r="H1653" s="3">
        <v>0</v>
      </c>
      <c r="I1653" s="3">
        <v>30.22</v>
      </c>
      <c r="J1653" s="3">
        <f>Table1[[#This Row],[قيمة الفاتورة]]*0.94-Table1[[#This Row],[قيمة المشاركة]]</f>
        <v>28.406799999999997</v>
      </c>
      <c r="L1653" s="3" t="str">
        <f t="shared" si="25"/>
        <v/>
      </c>
      <c r="N1653" t="s">
        <v>19</v>
      </c>
    </row>
    <row r="1654" spans="1:14" x14ac:dyDescent="0.3">
      <c r="A1654">
        <v>18</v>
      </c>
      <c r="B1654" t="s">
        <v>2883</v>
      </c>
      <c r="C1654" t="s">
        <v>2884</v>
      </c>
      <c r="D1654" t="s">
        <v>3508</v>
      </c>
      <c r="E1654" t="s">
        <v>23</v>
      </c>
      <c r="F1654" t="s">
        <v>3497</v>
      </c>
      <c r="G1654" s="3">
        <v>35.9</v>
      </c>
      <c r="H1654" s="3">
        <v>0</v>
      </c>
      <c r="I1654" s="3">
        <v>35.9</v>
      </c>
      <c r="J1654" s="3">
        <f>Table1[[#This Row],[قيمة الفاتورة]]*0.94-Table1[[#This Row],[قيمة المشاركة]]</f>
        <v>33.745999999999995</v>
      </c>
      <c r="L1654" s="3" t="str">
        <f t="shared" si="25"/>
        <v/>
      </c>
      <c r="N1654" t="s">
        <v>19</v>
      </c>
    </row>
    <row r="1655" spans="1:14" x14ac:dyDescent="0.3">
      <c r="A1655">
        <v>13</v>
      </c>
      <c r="B1655" t="s">
        <v>930</v>
      </c>
      <c r="C1655" t="s">
        <v>2378</v>
      </c>
      <c r="D1655" t="s">
        <v>3509</v>
      </c>
      <c r="E1655" t="s">
        <v>23</v>
      </c>
      <c r="F1655" t="s">
        <v>3497</v>
      </c>
      <c r="G1655" s="3">
        <v>17.11</v>
      </c>
      <c r="H1655" s="3">
        <v>0</v>
      </c>
      <c r="I1655" s="3">
        <v>17.11</v>
      </c>
      <c r="J1655" s="3">
        <f>Table1[[#This Row],[قيمة الفاتورة]]*0.94-Table1[[#This Row],[قيمة المشاركة]]</f>
        <v>16.083399999999997</v>
      </c>
      <c r="L1655" s="3" t="str">
        <f t="shared" si="25"/>
        <v/>
      </c>
      <c r="N1655" t="s">
        <v>19</v>
      </c>
    </row>
    <row r="1656" spans="1:14" x14ac:dyDescent="0.3">
      <c r="A1656">
        <v>15</v>
      </c>
      <c r="B1656" t="s">
        <v>3124</v>
      </c>
      <c r="C1656" t="s">
        <v>3510</v>
      </c>
      <c r="D1656" t="s">
        <v>3511</v>
      </c>
      <c r="E1656" t="s">
        <v>23</v>
      </c>
      <c r="F1656" t="s">
        <v>3497</v>
      </c>
      <c r="G1656" s="3">
        <v>19</v>
      </c>
      <c r="H1656" s="3">
        <v>0</v>
      </c>
      <c r="I1656" s="3">
        <v>19</v>
      </c>
      <c r="J1656" s="3">
        <f>Table1[[#This Row],[قيمة الفاتورة]]*0.94-Table1[[#This Row],[قيمة المشاركة]]</f>
        <v>17.86</v>
      </c>
      <c r="L1656" s="3" t="str">
        <f t="shared" si="25"/>
        <v/>
      </c>
      <c r="N1656" t="s">
        <v>19</v>
      </c>
    </row>
    <row r="1657" spans="1:14" x14ac:dyDescent="0.3">
      <c r="A1657">
        <v>10</v>
      </c>
      <c r="B1657" t="s">
        <v>3512</v>
      </c>
      <c r="C1657" t="s">
        <v>3513</v>
      </c>
      <c r="D1657" t="s">
        <v>3514</v>
      </c>
      <c r="E1657" t="s">
        <v>17</v>
      </c>
      <c r="F1657" t="s">
        <v>3497</v>
      </c>
      <c r="G1657" s="3">
        <v>29.75</v>
      </c>
      <c r="H1657" s="3">
        <v>5.95</v>
      </c>
      <c r="I1657" s="3">
        <v>23.8</v>
      </c>
      <c r="J1657" s="3">
        <f>Table1[[#This Row],[قيمة الفاتورة]]*0.94-Table1[[#This Row],[قيمة المشاركة]]</f>
        <v>22.015000000000001</v>
      </c>
      <c r="K1657" s="3">
        <v>22.015000000000001</v>
      </c>
      <c r="L1657" s="3">
        <f t="shared" si="25"/>
        <v>0</v>
      </c>
      <c r="M1657" s="6">
        <v>46188</v>
      </c>
      <c r="N1657" s="6" t="s">
        <v>328</v>
      </c>
    </row>
    <row r="1658" spans="1:14" x14ac:dyDescent="0.3">
      <c r="A1658">
        <v>21</v>
      </c>
      <c r="B1658" t="s">
        <v>3255</v>
      </c>
      <c r="C1658" t="s">
        <v>3256</v>
      </c>
      <c r="D1658" t="s">
        <v>3515</v>
      </c>
      <c r="E1658" t="s">
        <v>17</v>
      </c>
      <c r="F1658" t="s">
        <v>3516</v>
      </c>
      <c r="G1658" s="3">
        <v>42.27</v>
      </c>
      <c r="H1658" s="3">
        <v>8.4540000000000006</v>
      </c>
      <c r="I1658" s="3">
        <v>33.816000000000003</v>
      </c>
      <c r="J1658" s="3">
        <f>Table1[[#This Row],[قيمة الفاتورة]]*0.94-Table1[[#This Row],[قيمة المشاركة]]</f>
        <v>31.279800000000002</v>
      </c>
      <c r="K1658">
        <v>31.28</v>
      </c>
      <c r="L1658" s="3">
        <f t="shared" si="25"/>
        <v>-1.9999999999953388E-4</v>
      </c>
      <c r="M1658" t="s">
        <v>3474</v>
      </c>
      <c r="N1658" t="s">
        <v>328</v>
      </c>
    </row>
    <row r="1659" spans="1:14" x14ac:dyDescent="0.3">
      <c r="A1659">
        <v>20</v>
      </c>
      <c r="B1659" t="s">
        <v>3036</v>
      </c>
      <c r="C1659" t="s">
        <v>3517</v>
      </c>
      <c r="D1659" t="s">
        <v>3518</v>
      </c>
      <c r="E1659" t="s">
        <v>17</v>
      </c>
      <c r="F1659" t="s">
        <v>3516</v>
      </c>
      <c r="G1659" s="3">
        <v>49.81</v>
      </c>
      <c r="H1659" s="3">
        <v>9.9619999999999997</v>
      </c>
      <c r="I1659" s="3">
        <v>39.847999999999999</v>
      </c>
      <c r="J1659" s="3">
        <f>Table1[[#This Row],[قيمة الفاتورة]]*0.94-Table1[[#This Row],[قيمة المشاركة]]</f>
        <v>36.859399999999994</v>
      </c>
      <c r="K1659">
        <v>36.859000000000002</v>
      </c>
      <c r="L1659" s="3">
        <f t="shared" si="25"/>
        <v>3.9999999999196234E-4</v>
      </c>
      <c r="M1659" t="s">
        <v>3474</v>
      </c>
      <c r="N1659" t="s">
        <v>328</v>
      </c>
    </row>
    <row r="1660" spans="1:14" x14ac:dyDescent="0.3">
      <c r="A1660">
        <v>26</v>
      </c>
      <c r="B1660" t="s">
        <v>3293</v>
      </c>
      <c r="C1660" t="s">
        <v>2991</v>
      </c>
      <c r="D1660" t="s">
        <v>3519</v>
      </c>
      <c r="E1660" t="s">
        <v>23</v>
      </c>
      <c r="F1660" t="s">
        <v>3516</v>
      </c>
      <c r="G1660" s="3">
        <v>78.23</v>
      </c>
      <c r="H1660" s="3">
        <v>15.646000000000001</v>
      </c>
      <c r="I1660" s="3">
        <v>62.584000000000003</v>
      </c>
      <c r="J1660" s="3">
        <f>Table1[[#This Row],[قيمة الفاتورة]]*0.94-Table1[[#This Row],[قيمة المشاركة]]</f>
        <v>57.890199999999993</v>
      </c>
      <c r="K1660">
        <v>57.881</v>
      </c>
      <c r="L1660" s="3">
        <f t="shared" si="25"/>
        <v>9.1999999999927695E-3</v>
      </c>
      <c r="M1660" t="s">
        <v>3474</v>
      </c>
      <c r="N1660" t="s">
        <v>328</v>
      </c>
    </row>
    <row r="1661" spans="1:14" x14ac:dyDescent="0.3">
      <c r="A1661">
        <v>25</v>
      </c>
      <c r="B1661" t="s">
        <v>3297</v>
      </c>
      <c r="C1661" t="s">
        <v>3520</v>
      </c>
      <c r="D1661" t="s">
        <v>3521</v>
      </c>
      <c r="E1661" t="s">
        <v>17</v>
      </c>
      <c r="F1661" t="s">
        <v>3516</v>
      </c>
      <c r="G1661" s="3">
        <v>76.239999999999995</v>
      </c>
      <c r="H1661" s="3">
        <v>15.247999999999999</v>
      </c>
      <c r="I1661" s="3">
        <v>60.991999999999997</v>
      </c>
      <c r="J1661" s="3">
        <f>Table1[[#This Row],[قيمة الفاتورة]]*0.94-Table1[[#This Row],[قيمة المشاركة]]</f>
        <v>56.4176</v>
      </c>
      <c r="K1661">
        <v>56.408000000000001</v>
      </c>
      <c r="L1661" s="3">
        <f t="shared" si="25"/>
        <v>9.5999999999989427E-3</v>
      </c>
      <c r="M1661" t="s">
        <v>3474</v>
      </c>
      <c r="N1661" t="s">
        <v>328</v>
      </c>
    </row>
    <row r="1662" spans="1:14" x14ac:dyDescent="0.3">
      <c r="A1662">
        <v>301</v>
      </c>
      <c r="B1662" t="s">
        <v>2125</v>
      </c>
      <c r="C1662" t="s">
        <v>2332</v>
      </c>
      <c r="D1662" t="s">
        <v>3522</v>
      </c>
      <c r="E1662" t="s">
        <v>17</v>
      </c>
      <c r="F1662" t="s">
        <v>3516</v>
      </c>
      <c r="G1662" s="3">
        <v>29.98</v>
      </c>
      <c r="H1662" s="3">
        <v>0</v>
      </c>
      <c r="I1662" s="3">
        <v>29.98</v>
      </c>
      <c r="J1662" s="3">
        <f>Table1[[#This Row],[قيمة الفاتورة]]*0.94-Table1[[#This Row],[قيمة المشاركة]]</f>
        <v>28.1812</v>
      </c>
      <c r="L1662" s="3" t="str">
        <f t="shared" si="25"/>
        <v/>
      </c>
      <c r="N1662" t="s">
        <v>19</v>
      </c>
    </row>
    <row r="1663" spans="1:14" x14ac:dyDescent="0.3">
      <c r="A1663">
        <v>22</v>
      </c>
      <c r="B1663" t="s">
        <v>1072</v>
      </c>
      <c r="C1663" t="s">
        <v>1073</v>
      </c>
      <c r="D1663" t="s">
        <v>3523</v>
      </c>
      <c r="E1663" t="s">
        <v>17</v>
      </c>
      <c r="F1663" t="s">
        <v>3516</v>
      </c>
      <c r="G1663" s="3">
        <v>23.52</v>
      </c>
      <c r="H1663" s="3">
        <v>3.528</v>
      </c>
      <c r="I1663" s="3">
        <v>19.992000000000001</v>
      </c>
      <c r="J1663" s="3">
        <f>Table1[[#This Row],[قيمة الفاتورة]]*0.94-Table1[[#This Row],[قيمة المشاركة]]</f>
        <v>18.5808</v>
      </c>
      <c r="L1663" s="3" t="str">
        <f t="shared" si="25"/>
        <v/>
      </c>
      <c r="N1663" t="s">
        <v>19</v>
      </c>
    </row>
    <row r="1664" spans="1:14" x14ac:dyDescent="0.3">
      <c r="A1664">
        <v>24</v>
      </c>
      <c r="B1664" t="s">
        <v>3524</v>
      </c>
      <c r="C1664" t="s">
        <v>3525</v>
      </c>
      <c r="D1664" t="s">
        <v>3526</v>
      </c>
      <c r="E1664" t="s">
        <v>23</v>
      </c>
      <c r="F1664" t="s">
        <v>3516</v>
      </c>
      <c r="G1664" s="3">
        <v>26.13</v>
      </c>
      <c r="H1664" s="3">
        <v>0</v>
      </c>
      <c r="I1664" s="3">
        <v>26.13</v>
      </c>
      <c r="J1664" s="3">
        <f>Table1[[#This Row],[قيمة الفاتورة]]*0.94-Table1[[#This Row],[قيمة المشاركة]]</f>
        <v>24.562199999999997</v>
      </c>
      <c r="L1664" s="3" t="str">
        <f t="shared" si="25"/>
        <v/>
      </c>
      <c r="N1664" t="s">
        <v>19</v>
      </c>
    </row>
    <row r="1665" spans="1:14" x14ac:dyDescent="0.3">
      <c r="A1665">
        <v>23</v>
      </c>
      <c r="B1665" t="s">
        <v>3527</v>
      </c>
      <c r="C1665" t="s">
        <v>354</v>
      </c>
      <c r="D1665" t="s">
        <v>3528</v>
      </c>
      <c r="E1665" t="s">
        <v>23</v>
      </c>
      <c r="F1665" t="s">
        <v>3516</v>
      </c>
      <c r="G1665" s="3">
        <v>21.26</v>
      </c>
      <c r="H1665" s="3">
        <v>0</v>
      </c>
      <c r="I1665" s="3">
        <v>21.26</v>
      </c>
      <c r="J1665" s="3">
        <f>Table1[[#This Row],[قيمة الفاتورة]]*0.94-Table1[[#This Row],[قيمة المشاركة]]</f>
        <v>19.984400000000001</v>
      </c>
      <c r="L1665" s="3" t="str">
        <f t="shared" si="25"/>
        <v/>
      </c>
      <c r="N1665" t="s">
        <v>19</v>
      </c>
    </row>
    <row r="1666" spans="1:14" x14ac:dyDescent="0.3">
      <c r="A1666">
        <v>27</v>
      </c>
      <c r="B1666" t="s">
        <v>1218</v>
      </c>
      <c r="C1666" t="s">
        <v>1219</v>
      </c>
      <c r="D1666" t="s">
        <v>3529</v>
      </c>
      <c r="E1666" t="s">
        <v>23</v>
      </c>
      <c r="F1666" t="s">
        <v>3516</v>
      </c>
      <c r="G1666" s="3">
        <v>3.43</v>
      </c>
      <c r="H1666" s="3">
        <v>0</v>
      </c>
      <c r="I1666" s="3">
        <v>3.43</v>
      </c>
      <c r="J1666" s="3">
        <f>Table1[[#This Row],[قيمة الفاتورة]]*0.94-Table1[[#This Row],[قيمة المشاركة]]</f>
        <v>3.2242000000000002</v>
      </c>
      <c r="L1666" s="3" t="str">
        <f t="shared" ref="L1666:L1729" si="26">IF(ISNUMBER(K1666), J1666-K1666, "")</f>
        <v/>
      </c>
      <c r="N1666" t="s">
        <v>19</v>
      </c>
    </row>
    <row r="1667" spans="1:14" x14ac:dyDescent="0.3">
      <c r="A1667">
        <v>29</v>
      </c>
      <c r="B1667" t="s">
        <v>2726</v>
      </c>
      <c r="C1667" t="s">
        <v>3530</v>
      </c>
      <c r="D1667" t="s">
        <v>3531</v>
      </c>
      <c r="E1667" t="s">
        <v>23</v>
      </c>
      <c r="F1667" t="s">
        <v>3532</v>
      </c>
      <c r="G1667" s="3">
        <v>48.85</v>
      </c>
      <c r="H1667" s="3">
        <v>9.77</v>
      </c>
      <c r="I1667" s="3">
        <v>39.08</v>
      </c>
      <c r="J1667" s="3">
        <f>Table1[[#This Row],[قيمة الفاتورة]]*0.94-Table1[[#This Row],[قيمة المشاركة]]</f>
        <v>36.149000000000001</v>
      </c>
      <c r="K1667">
        <v>36.149000000000001</v>
      </c>
      <c r="L1667" s="3">
        <f t="shared" si="26"/>
        <v>0</v>
      </c>
      <c r="M1667" t="s">
        <v>3474</v>
      </c>
      <c r="N1667" t="s">
        <v>328</v>
      </c>
    </row>
    <row r="1668" spans="1:14" x14ac:dyDescent="0.3">
      <c r="A1668">
        <v>28</v>
      </c>
      <c r="B1668" t="s">
        <v>2706</v>
      </c>
      <c r="C1668" t="s">
        <v>3533</v>
      </c>
      <c r="D1668" t="s">
        <v>3534</v>
      </c>
      <c r="E1668" t="s">
        <v>23</v>
      </c>
      <c r="F1668" t="s">
        <v>3532</v>
      </c>
      <c r="G1668" s="3">
        <v>23.43</v>
      </c>
      <c r="H1668" s="3">
        <v>4.6859999999999999</v>
      </c>
      <c r="I1668" s="3">
        <v>18.744</v>
      </c>
      <c r="J1668" s="3">
        <f>Table1[[#This Row],[قيمة الفاتورة]]*0.94-Table1[[#This Row],[قيمة المشاركة]]</f>
        <v>17.338199999999997</v>
      </c>
      <c r="K1668">
        <v>17.338000000000001</v>
      </c>
      <c r="L1668" s="3">
        <f t="shared" si="26"/>
        <v>1.9999999999598117E-4</v>
      </c>
      <c r="M1668" t="s">
        <v>3474</v>
      </c>
      <c r="N1668" t="s">
        <v>328</v>
      </c>
    </row>
    <row r="1669" spans="1:14" x14ac:dyDescent="0.3">
      <c r="A1669">
        <v>304</v>
      </c>
      <c r="B1669" t="s">
        <v>2800</v>
      </c>
      <c r="C1669" t="s">
        <v>2801</v>
      </c>
      <c r="D1669" t="s">
        <v>3535</v>
      </c>
      <c r="E1669" t="s">
        <v>23</v>
      </c>
      <c r="F1669" t="s">
        <v>3532</v>
      </c>
      <c r="G1669" s="3">
        <v>23.95</v>
      </c>
      <c r="H1669" s="3">
        <v>0</v>
      </c>
      <c r="I1669" s="3">
        <v>23.95</v>
      </c>
      <c r="J1669" s="3">
        <f>Table1[[#This Row],[قيمة الفاتورة]]*0.94-Table1[[#This Row],[قيمة المشاركة]]</f>
        <v>22.512999999999998</v>
      </c>
      <c r="L1669" s="3" t="str">
        <f t="shared" si="26"/>
        <v/>
      </c>
      <c r="N1669" t="s">
        <v>19</v>
      </c>
    </row>
    <row r="1670" spans="1:14" x14ac:dyDescent="0.3">
      <c r="A1670">
        <v>303</v>
      </c>
      <c r="B1670" t="s">
        <v>373</v>
      </c>
      <c r="C1670" t="s">
        <v>374</v>
      </c>
      <c r="D1670" t="s">
        <v>3536</v>
      </c>
      <c r="E1670" t="s">
        <v>23</v>
      </c>
      <c r="F1670" t="s">
        <v>3532</v>
      </c>
      <c r="G1670" s="3">
        <v>22.74</v>
      </c>
      <c r="H1670" s="3">
        <v>0</v>
      </c>
      <c r="I1670" s="3">
        <v>22.74</v>
      </c>
      <c r="J1670" s="3">
        <f>Table1[[#This Row],[قيمة الفاتورة]]*0.94-Table1[[#This Row],[قيمة المشاركة]]</f>
        <v>21.375599999999999</v>
      </c>
      <c r="L1670" s="3" t="str">
        <f t="shared" si="26"/>
        <v/>
      </c>
      <c r="N1670" t="s">
        <v>19</v>
      </c>
    </row>
    <row r="1671" spans="1:14" x14ac:dyDescent="0.3">
      <c r="A1671">
        <v>302</v>
      </c>
      <c r="B1671" t="s">
        <v>1559</v>
      </c>
      <c r="C1671" t="s">
        <v>1560</v>
      </c>
      <c r="D1671" t="s">
        <v>3537</v>
      </c>
      <c r="E1671" t="s">
        <v>23</v>
      </c>
      <c r="F1671" t="s">
        <v>3532</v>
      </c>
      <c r="G1671" s="3">
        <v>2.46</v>
      </c>
      <c r="H1671" s="3">
        <v>0</v>
      </c>
      <c r="I1671" s="3">
        <v>2.46</v>
      </c>
      <c r="J1671" s="3">
        <f>Table1[[#This Row],[قيمة الفاتورة]]*0.94-Table1[[#This Row],[قيمة المشاركة]]</f>
        <v>2.3123999999999998</v>
      </c>
      <c r="L1671" s="3" t="str">
        <f t="shared" si="26"/>
        <v/>
      </c>
      <c r="N1671" t="s">
        <v>19</v>
      </c>
    </row>
    <row r="1672" spans="1:14" x14ac:dyDescent="0.3">
      <c r="A1672">
        <v>31</v>
      </c>
      <c r="B1672" t="s">
        <v>1846</v>
      </c>
      <c r="C1672" t="s">
        <v>1867</v>
      </c>
      <c r="D1672" t="s">
        <v>3538</v>
      </c>
      <c r="E1672" t="s">
        <v>17</v>
      </c>
      <c r="F1672" t="s">
        <v>3532</v>
      </c>
      <c r="G1672" s="3">
        <v>89.57</v>
      </c>
      <c r="H1672" s="3">
        <v>0</v>
      </c>
      <c r="I1672" s="3">
        <v>89.57</v>
      </c>
      <c r="J1672" s="3">
        <f>Table1[[#This Row],[قيمة الفاتورة]]*0.94-Table1[[#This Row],[قيمة المشاركة]]</f>
        <v>84.195799999999991</v>
      </c>
      <c r="L1672" s="3" t="str">
        <f t="shared" si="26"/>
        <v/>
      </c>
      <c r="N1672" t="s">
        <v>19</v>
      </c>
    </row>
    <row r="1673" spans="1:14" x14ac:dyDescent="0.3">
      <c r="A1673">
        <v>30</v>
      </c>
      <c r="B1673" t="s">
        <v>1146</v>
      </c>
      <c r="C1673" t="s">
        <v>433</v>
      </c>
      <c r="D1673" t="s">
        <v>3539</v>
      </c>
      <c r="E1673" t="s">
        <v>23</v>
      </c>
      <c r="F1673" t="s">
        <v>3532</v>
      </c>
      <c r="G1673" s="3">
        <v>36.5</v>
      </c>
      <c r="H1673" s="3">
        <v>0</v>
      </c>
      <c r="I1673" s="3">
        <v>36.5</v>
      </c>
      <c r="J1673" s="3">
        <f>Table1[[#This Row],[قيمة الفاتورة]]*0.94-Table1[[#This Row],[قيمة المشاركة]]</f>
        <v>34.309999999999995</v>
      </c>
      <c r="L1673" s="3" t="str">
        <f t="shared" si="26"/>
        <v/>
      </c>
      <c r="N1673" t="s">
        <v>19</v>
      </c>
    </row>
    <row r="1674" spans="1:14" x14ac:dyDescent="0.3">
      <c r="A1674">
        <v>33</v>
      </c>
      <c r="B1674" t="s">
        <v>3540</v>
      </c>
      <c r="C1674" t="s">
        <v>3541</v>
      </c>
      <c r="D1674" t="s">
        <v>3542</v>
      </c>
      <c r="E1674" t="s">
        <v>23</v>
      </c>
      <c r="F1674" t="s">
        <v>3543</v>
      </c>
      <c r="G1674" s="3">
        <v>54.38</v>
      </c>
      <c r="H1674" s="3">
        <v>10.875999999999999</v>
      </c>
      <c r="I1674" s="3">
        <v>43.503999999999998</v>
      </c>
      <c r="J1674" s="3">
        <f>Table1[[#This Row],[قيمة الفاتورة]]*0.94-Table1[[#This Row],[قيمة المشاركة]]</f>
        <v>40.241199999999999</v>
      </c>
      <c r="K1674">
        <v>40.24</v>
      </c>
      <c r="L1674" s="3">
        <f t="shared" si="26"/>
        <v>1.1999999999972033E-3</v>
      </c>
      <c r="M1674" t="s">
        <v>3474</v>
      </c>
      <c r="N1674" t="s">
        <v>328</v>
      </c>
    </row>
    <row r="1675" spans="1:14" x14ac:dyDescent="0.3">
      <c r="A1675">
        <v>305</v>
      </c>
      <c r="B1675" t="s">
        <v>234</v>
      </c>
      <c r="C1675" t="s">
        <v>235</v>
      </c>
      <c r="D1675" t="s">
        <v>3544</v>
      </c>
      <c r="E1675" t="s">
        <v>17</v>
      </c>
      <c r="F1675" t="s">
        <v>3543</v>
      </c>
      <c r="G1675" s="3">
        <v>20.071999999999999</v>
      </c>
      <c r="H1675" s="3">
        <v>0</v>
      </c>
      <c r="I1675" s="3">
        <v>20.071999999999999</v>
      </c>
      <c r="J1675" s="3">
        <f>Table1[[#This Row],[قيمة الفاتورة]]*0.94-Table1[[#This Row],[قيمة المشاركة]]</f>
        <v>18.867679999999996</v>
      </c>
      <c r="K1675" s="3">
        <v>18.876000000000001</v>
      </c>
      <c r="L1675" s="3">
        <f t="shared" si="26"/>
        <v>-8.320000000004768E-3</v>
      </c>
      <c r="M1675" s="6">
        <v>46183</v>
      </c>
      <c r="N1675" s="6" t="s">
        <v>19</v>
      </c>
    </row>
    <row r="1676" spans="1:14" x14ac:dyDescent="0.3">
      <c r="A1676">
        <v>35</v>
      </c>
      <c r="B1676" t="s">
        <v>3527</v>
      </c>
      <c r="C1676" t="s">
        <v>354</v>
      </c>
      <c r="D1676" t="s">
        <v>3545</v>
      </c>
      <c r="E1676" t="s">
        <v>23</v>
      </c>
      <c r="F1676" t="s">
        <v>3543</v>
      </c>
      <c r="G1676" s="3">
        <v>12.52</v>
      </c>
      <c r="H1676" s="3">
        <v>0</v>
      </c>
      <c r="I1676" s="3">
        <v>12.52</v>
      </c>
      <c r="J1676" s="3">
        <f>Table1[[#This Row],[قيمة الفاتورة]]*0.94-Table1[[#This Row],[قيمة المشاركة]]</f>
        <v>11.768799999999999</v>
      </c>
      <c r="L1676" s="3" t="str">
        <f t="shared" si="26"/>
        <v/>
      </c>
      <c r="N1676" t="s">
        <v>19</v>
      </c>
    </row>
    <row r="1677" spans="1:14" x14ac:dyDescent="0.3">
      <c r="A1677">
        <v>34</v>
      </c>
      <c r="B1677" t="s">
        <v>3546</v>
      </c>
      <c r="C1677" t="s">
        <v>3547</v>
      </c>
      <c r="D1677" t="s">
        <v>3548</v>
      </c>
      <c r="E1677" t="s">
        <v>17</v>
      </c>
      <c r="F1677" t="s">
        <v>3543</v>
      </c>
      <c r="G1677" s="3">
        <v>4.8</v>
      </c>
      <c r="H1677" s="3">
        <v>0.96</v>
      </c>
      <c r="I1677" s="3">
        <v>3.84</v>
      </c>
      <c r="J1677" s="3">
        <f>Table1[[#This Row],[قيمة الفاتورة]]*0.94-Table1[[#This Row],[قيمة المشاركة]]</f>
        <v>3.5519999999999996</v>
      </c>
      <c r="K1677" s="3">
        <v>3.552</v>
      </c>
      <c r="L1677" s="3">
        <f t="shared" si="26"/>
        <v>-4.4408920985006262E-16</v>
      </c>
      <c r="M1677" s="6">
        <v>46188</v>
      </c>
      <c r="N1677" s="6" t="s">
        <v>328</v>
      </c>
    </row>
    <row r="1678" spans="1:14" x14ac:dyDescent="0.3">
      <c r="A1678">
        <v>32</v>
      </c>
      <c r="B1678" t="s">
        <v>3549</v>
      </c>
      <c r="C1678" t="s">
        <v>312</v>
      </c>
      <c r="D1678" t="s">
        <v>3550</v>
      </c>
      <c r="E1678" t="s">
        <v>17</v>
      </c>
      <c r="F1678" t="s">
        <v>3543</v>
      </c>
      <c r="G1678" s="3">
        <v>50.85</v>
      </c>
      <c r="H1678" s="3">
        <v>10.17</v>
      </c>
      <c r="I1678" s="3">
        <v>40.68</v>
      </c>
      <c r="J1678" s="3">
        <f>Table1[[#This Row],[قيمة الفاتورة]]*0.94-Table1[[#This Row],[قيمة المشاركة]]</f>
        <v>37.628999999999998</v>
      </c>
      <c r="L1678" s="3" t="str">
        <f t="shared" si="26"/>
        <v/>
      </c>
      <c r="N1678" t="s">
        <v>328</v>
      </c>
    </row>
    <row r="1679" spans="1:14" x14ac:dyDescent="0.3">
      <c r="A1679">
        <v>41</v>
      </c>
      <c r="B1679" t="s">
        <v>3367</v>
      </c>
      <c r="C1679" t="s">
        <v>3368</v>
      </c>
      <c r="D1679" t="s">
        <v>3551</v>
      </c>
      <c r="E1679" t="s">
        <v>17</v>
      </c>
      <c r="F1679" t="s">
        <v>3552</v>
      </c>
      <c r="G1679" s="3">
        <v>37.159999999999997</v>
      </c>
      <c r="H1679" s="3">
        <v>7.4320000000000004</v>
      </c>
      <c r="I1679" s="3">
        <v>29.728000000000002</v>
      </c>
      <c r="J1679" s="3">
        <f>Table1[[#This Row],[قيمة الفاتورة]]*0.94-Table1[[#This Row],[قيمة المشاركة]]</f>
        <v>27.49839999999999</v>
      </c>
      <c r="K1679">
        <v>27.498999999999999</v>
      </c>
      <c r="L1679" s="3">
        <f t="shared" si="26"/>
        <v>-6.0000000000925979E-4</v>
      </c>
      <c r="M1679" t="s">
        <v>3474</v>
      </c>
      <c r="N1679" t="s">
        <v>328</v>
      </c>
    </row>
    <row r="1680" spans="1:14" x14ac:dyDescent="0.3">
      <c r="A1680">
        <v>37</v>
      </c>
      <c r="B1680" t="s">
        <v>3553</v>
      </c>
      <c r="C1680" t="s">
        <v>3554</v>
      </c>
      <c r="D1680" t="s">
        <v>3555</v>
      </c>
      <c r="E1680" t="s">
        <v>17</v>
      </c>
      <c r="F1680" t="s">
        <v>3552</v>
      </c>
      <c r="G1680" s="3">
        <v>49.9</v>
      </c>
      <c r="H1680" s="3">
        <v>9.98</v>
      </c>
      <c r="I1680" s="3">
        <v>39.92</v>
      </c>
      <c r="J1680" s="3">
        <f>Table1[[#This Row],[قيمة الفاتورة]]*0.94-Table1[[#This Row],[قيمة المشاركة]]</f>
        <v>36.926000000000002</v>
      </c>
      <c r="K1680">
        <v>36.924999999999997</v>
      </c>
      <c r="L1680" s="3">
        <f t="shared" si="26"/>
        <v>1.0000000000047748E-3</v>
      </c>
      <c r="M1680" t="s">
        <v>3474</v>
      </c>
      <c r="N1680" t="s">
        <v>328</v>
      </c>
    </row>
    <row r="1681" spans="1:14" x14ac:dyDescent="0.3">
      <c r="A1681">
        <v>40</v>
      </c>
      <c r="B1681" t="s">
        <v>3357</v>
      </c>
      <c r="C1681" t="s">
        <v>3358</v>
      </c>
      <c r="D1681" t="s">
        <v>3556</v>
      </c>
      <c r="E1681" t="s">
        <v>23</v>
      </c>
      <c r="F1681" t="s">
        <v>3552</v>
      </c>
      <c r="G1681" s="3">
        <v>28.86</v>
      </c>
      <c r="H1681" s="3">
        <v>5.7720000000000002</v>
      </c>
      <c r="I1681" s="3">
        <v>23.088000000000001</v>
      </c>
      <c r="J1681" s="3">
        <f>Table1[[#This Row],[قيمة الفاتورة]]*0.94-Table1[[#This Row],[قيمة المشاركة]]</f>
        <v>21.356400000000001</v>
      </c>
      <c r="K1681">
        <v>20.847999999999999</v>
      </c>
      <c r="L1681" s="3">
        <f t="shared" si="26"/>
        <v>0.50840000000000174</v>
      </c>
      <c r="M1681" t="s">
        <v>3474</v>
      </c>
      <c r="N1681" t="s">
        <v>328</v>
      </c>
    </row>
    <row r="1682" spans="1:14" x14ac:dyDescent="0.3">
      <c r="A1682">
        <v>39</v>
      </c>
      <c r="B1682" t="s">
        <v>720</v>
      </c>
      <c r="C1682" t="s">
        <v>2741</v>
      </c>
      <c r="D1682" t="s">
        <v>3557</v>
      </c>
      <c r="E1682" t="s">
        <v>17</v>
      </c>
      <c r="F1682" t="s">
        <v>3552</v>
      </c>
      <c r="G1682" s="3">
        <v>11.88</v>
      </c>
      <c r="H1682" s="3">
        <v>0</v>
      </c>
      <c r="I1682" s="3">
        <v>11.88</v>
      </c>
      <c r="J1682" s="3">
        <f>Table1[[#This Row],[قيمة الفاتورة]]*0.94-Table1[[#This Row],[قيمة المشاركة]]</f>
        <v>11.167199999999999</v>
      </c>
      <c r="L1682" s="3" t="str">
        <f t="shared" si="26"/>
        <v/>
      </c>
      <c r="N1682" t="s">
        <v>19</v>
      </c>
    </row>
    <row r="1683" spans="1:14" x14ac:dyDescent="0.3">
      <c r="A1683">
        <v>307</v>
      </c>
      <c r="B1683" t="s">
        <v>507</v>
      </c>
      <c r="C1683" t="s">
        <v>2110</v>
      </c>
      <c r="D1683" t="s">
        <v>3558</v>
      </c>
      <c r="E1683" t="s">
        <v>23</v>
      </c>
      <c r="F1683" t="s">
        <v>3552</v>
      </c>
      <c r="G1683" s="3">
        <v>1.99</v>
      </c>
      <c r="H1683" s="3">
        <v>0</v>
      </c>
      <c r="I1683" s="3">
        <v>1.99</v>
      </c>
      <c r="J1683" s="3">
        <f>Table1[[#This Row],[قيمة الفاتورة]]*0.94-Table1[[#This Row],[قيمة المشاركة]]</f>
        <v>1.8705999999999998</v>
      </c>
      <c r="L1683" s="3" t="str">
        <f t="shared" si="26"/>
        <v/>
      </c>
      <c r="N1683" t="s">
        <v>19</v>
      </c>
    </row>
    <row r="1684" spans="1:14" x14ac:dyDescent="0.3">
      <c r="A1684">
        <v>309</v>
      </c>
      <c r="B1684" t="s">
        <v>3559</v>
      </c>
      <c r="C1684" t="s">
        <v>3560</v>
      </c>
      <c r="D1684" t="s">
        <v>3561</v>
      </c>
      <c r="E1684" t="s">
        <v>17</v>
      </c>
      <c r="F1684" t="s">
        <v>3552</v>
      </c>
      <c r="G1684" s="3">
        <v>19.489999999999998</v>
      </c>
      <c r="H1684" s="3">
        <v>0</v>
      </c>
      <c r="I1684" s="3">
        <v>19.489999999999998</v>
      </c>
      <c r="J1684" s="3">
        <f>Table1[[#This Row],[قيمة الفاتورة]]*0.94-Table1[[#This Row],[قيمة المشاركة]]</f>
        <v>18.320599999999999</v>
      </c>
      <c r="L1684" s="3" t="str">
        <f t="shared" si="26"/>
        <v/>
      </c>
      <c r="N1684" t="s">
        <v>19</v>
      </c>
    </row>
    <row r="1685" spans="1:14" x14ac:dyDescent="0.3">
      <c r="A1685">
        <v>306</v>
      </c>
      <c r="B1685" t="s">
        <v>1721</v>
      </c>
      <c r="C1685" t="s">
        <v>1722</v>
      </c>
      <c r="D1685" t="s">
        <v>3562</v>
      </c>
      <c r="E1685" t="s">
        <v>17</v>
      </c>
      <c r="F1685" t="s">
        <v>3552</v>
      </c>
      <c r="G1685" s="3">
        <v>26.55</v>
      </c>
      <c r="H1685" s="3">
        <v>0</v>
      </c>
      <c r="I1685" s="3">
        <v>26.55</v>
      </c>
      <c r="J1685" s="3">
        <f>Table1[[#This Row],[قيمة الفاتورة]]*0.94-Table1[[#This Row],[قيمة المشاركة]]</f>
        <v>24.957000000000001</v>
      </c>
      <c r="L1685" s="3" t="str">
        <f t="shared" si="26"/>
        <v/>
      </c>
      <c r="N1685" t="s">
        <v>19</v>
      </c>
    </row>
    <row r="1686" spans="1:14" x14ac:dyDescent="0.3">
      <c r="A1686">
        <v>38</v>
      </c>
      <c r="B1686" t="s">
        <v>3091</v>
      </c>
      <c r="C1686" t="s">
        <v>3563</v>
      </c>
      <c r="D1686" t="s">
        <v>3564</v>
      </c>
      <c r="E1686" t="s">
        <v>17</v>
      </c>
      <c r="F1686" t="s">
        <v>3552</v>
      </c>
      <c r="G1686" s="3">
        <v>30.57</v>
      </c>
      <c r="H1686" s="3">
        <v>0</v>
      </c>
      <c r="I1686" s="3">
        <v>30.57</v>
      </c>
      <c r="J1686" s="3">
        <f>Table1[[#This Row],[قيمة الفاتورة]]*0.94-Table1[[#This Row],[قيمة المشاركة]]</f>
        <v>28.735799999999998</v>
      </c>
      <c r="L1686" s="3" t="str">
        <f t="shared" si="26"/>
        <v/>
      </c>
      <c r="N1686" t="s">
        <v>19</v>
      </c>
    </row>
    <row r="1687" spans="1:14" x14ac:dyDescent="0.3">
      <c r="A1687">
        <v>308</v>
      </c>
      <c r="B1687" t="s">
        <v>3565</v>
      </c>
      <c r="C1687" t="s">
        <v>3566</v>
      </c>
      <c r="D1687" t="s">
        <v>3567</v>
      </c>
      <c r="E1687" t="s">
        <v>23</v>
      </c>
      <c r="F1687" t="s">
        <v>3552</v>
      </c>
      <c r="G1687" s="3">
        <v>9.11</v>
      </c>
      <c r="H1687" s="3">
        <v>0</v>
      </c>
      <c r="I1687" s="3">
        <v>9.11</v>
      </c>
      <c r="J1687" s="3">
        <f>Table1[[#This Row],[قيمة الفاتورة]]*0.94-Table1[[#This Row],[قيمة المشاركة]]</f>
        <v>8.5633999999999997</v>
      </c>
      <c r="L1687" s="3" t="str">
        <f t="shared" si="26"/>
        <v/>
      </c>
      <c r="N1687" t="s">
        <v>19</v>
      </c>
    </row>
    <row r="1688" spans="1:14" x14ac:dyDescent="0.3">
      <c r="A1688">
        <v>36</v>
      </c>
      <c r="B1688" t="s">
        <v>3568</v>
      </c>
      <c r="C1688" t="s">
        <v>3569</v>
      </c>
      <c r="D1688" t="s">
        <v>3570</v>
      </c>
      <c r="E1688" t="s">
        <v>17</v>
      </c>
      <c r="F1688" t="s">
        <v>3552</v>
      </c>
      <c r="G1688" s="3">
        <v>10.42</v>
      </c>
      <c r="H1688" s="3">
        <v>1.042</v>
      </c>
      <c r="I1688" s="3">
        <v>9.3780000000000001</v>
      </c>
      <c r="J1688" s="3">
        <f>Table1[[#This Row],[قيمة الفاتورة]]*0.94-Table1[[#This Row],[قيمة المشاركة]]</f>
        <v>8.7527999999999988</v>
      </c>
      <c r="L1688" s="3" t="str">
        <f t="shared" si="26"/>
        <v/>
      </c>
      <c r="N1688" t="s">
        <v>328</v>
      </c>
    </row>
    <row r="1689" spans="1:14" x14ac:dyDescent="0.3">
      <c r="A1689">
        <v>48</v>
      </c>
      <c r="B1689" t="s">
        <v>3097</v>
      </c>
      <c r="C1689" t="s">
        <v>3571</v>
      </c>
      <c r="D1689" t="s">
        <v>3572</v>
      </c>
      <c r="E1689" t="s">
        <v>23</v>
      </c>
      <c r="F1689" t="s">
        <v>3573</v>
      </c>
      <c r="G1689" s="3">
        <v>34.99</v>
      </c>
      <c r="H1689" s="3">
        <v>6.9980000000000002</v>
      </c>
      <c r="I1689" s="3">
        <v>27.992000000000001</v>
      </c>
      <c r="J1689" s="3">
        <f>Table1[[#This Row],[قيمة الفاتورة]]*0.94-Table1[[#This Row],[قيمة المشاركة]]</f>
        <v>25.892599999999998</v>
      </c>
      <c r="K1689">
        <v>25.893999999999998</v>
      </c>
      <c r="L1689" s="3">
        <f t="shared" si="26"/>
        <v>-1.4000000000002899E-3</v>
      </c>
      <c r="M1689" t="s">
        <v>3474</v>
      </c>
      <c r="N1689" t="s">
        <v>328</v>
      </c>
    </row>
    <row r="1690" spans="1:14" x14ac:dyDescent="0.3">
      <c r="A1690">
        <v>49</v>
      </c>
      <c r="B1690" t="s">
        <v>2714</v>
      </c>
      <c r="C1690" t="s">
        <v>2715</v>
      </c>
      <c r="D1690" t="s">
        <v>3574</v>
      </c>
      <c r="E1690" t="s">
        <v>17</v>
      </c>
      <c r="F1690" t="s">
        <v>3573</v>
      </c>
      <c r="G1690" s="3">
        <v>98.46</v>
      </c>
      <c r="H1690" s="3">
        <v>19.692</v>
      </c>
      <c r="I1690" s="3">
        <v>78.768000000000001</v>
      </c>
      <c r="J1690" s="3">
        <f>Table1[[#This Row],[قيمة الفاتورة]]*0.94-Table1[[#This Row],[قيمة المشاركة]]</f>
        <v>72.860399999999998</v>
      </c>
      <c r="K1690">
        <v>72.861000000000004</v>
      </c>
      <c r="L1690" s="3">
        <f t="shared" si="26"/>
        <v>-6.0000000000570708E-4</v>
      </c>
      <c r="M1690" t="s">
        <v>3474</v>
      </c>
      <c r="N1690" t="s">
        <v>328</v>
      </c>
    </row>
    <row r="1691" spans="1:14" x14ac:dyDescent="0.3">
      <c r="A1691">
        <v>47</v>
      </c>
      <c r="B1691" t="s">
        <v>3087</v>
      </c>
      <c r="C1691" t="s">
        <v>682</v>
      </c>
      <c r="D1691" t="s">
        <v>3575</v>
      </c>
      <c r="E1691" t="s">
        <v>17</v>
      </c>
      <c r="F1691" t="s">
        <v>3573</v>
      </c>
      <c r="G1691" s="3">
        <v>73.22</v>
      </c>
      <c r="H1691" s="3">
        <v>14.644</v>
      </c>
      <c r="I1691" s="3">
        <v>58.576000000000001</v>
      </c>
      <c r="J1691" s="3">
        <f>Table1[[#This Row],[قيمة الفاتورة]]*0.94-Table1[[#This Row],[قيمة المشاركة]]</f>
        <v>54.182799999999993</v>
      </c>
      <c r="K1691">
        <v>54.183</v>
      </c>
      <c r="L1691" s="3">
        <f t="shared" si="26"/>
        <v>-2.0000000000663931E-4</v>
      </c>
      <c r="M1691" t="s">
        <v>3474</v>
      </c>
      <c r="N1691" t="s">
        <v>328</v>
      </c>
    </row>
    <row r="1692" spans="1:14" x14ac:dyDescent="0.3">
      <c r="A1692">
        <v>310</v>
      </c>
      <c r="B1692" t="s">
        <v>3576</v>
      </c>
      <c r="C1692" t="s">
        <v>3577</v>
      </c>
      <c r="D1692" t="s">
        <v>3578</v>
      </c>
      <c r="E1692" t="s">
        <v>23</v>
      </c>
      <c r="F1692" t="s">
        <v>3573</v>
      </c>
      <c r="G1692" s="3">
        <v>43.63</v>
      </c>
      <c r="H1692" s="3">
        <v>8.7260000000000009</v>
      </c>
      <c r="I1692" s="3">
        <v>34.904000000000003</v>
      </c>
      <c r="J1692" s="3">
        <f>Table1[[#This Row],[قيمة الفاتورة]]*0.94-Table1[[#This Row],[قيمة المشاركة]]</f>
        <v>32.286200000000001</v>
      </c>
      <c r="K1692">
        <v>32.25</v>
      </c>
      <c r="L1692" s="3">
        <f t="shared" si="26"/>
        <v>3.6200000000000898E-2</v>
      </c>
      <c r="M1692" t="s">
        <v>3474</v>
      </c>
      <c r="N1692" t="s">
        <v>328</v>
      </c>
    </row>
    <row r="1693" spans="1:14" x14ac:dyDescent="0.3">
      <c r="A1693">
        <v>46</v>
      </c>
      <c r="B1693" t="s">
        <v>675</v>
      </c>
      <c r="C1693" t="s">
        <v>676</v>
      </c>
      <c r="D1693" t="s">
        <v>3579</v>
      </c>
      <c r="E1693" t="s">
        <v>23</v>
      </c>
      <c r="F1693" t="s">
        <v>3573</v>
      </c>
      <c r="G1693" s="3">
        <v>6.18</v>
      </c>
      <c r="H1693" s="3">
        <v>0</v>
      </c>
      <c r="I1693" s="3">
        <v>6.18</v>
      </c>
      <c r="J1693" s="3">
        <f>Table1[[#This Row],[قيمة الفاتورة]]*0.94-Table1[[#This Row],[قيمة المشاركة]]</f>
        <v>5.8091999999999997</v>
      </c>
      <c r="L1693" s="3" t="str">
        <f t="shared" si="26"/>
        <v/>
      </c>
      <c r="N1693" t="s">
        <v>19</v>
      </c>
    </row>
    <row r="1694" spans="1:14" x14ac:dyDescent="0.3">
      <c r="A1694">
        <v>45</v>
      </c>
      <c r="B1694" t="s">
        <v>958</v>
      </c>
      <c r="C1694" t="s">
        <v>2265</v>
      </c>
      <c r="D1694" t="s">
        <v>3580</v>
      </c>
      <c r="E1694" t="s">
        <v>23</v>
      </c>
      <c r="F1694" t="s">
        <v>3573</v>
      </c>
      <c r="G1694" s="3">
        <v>22.91</v>
      </c>
      <c r="H1694" s="3">
        <v>0</v>
      </c>
      <c r="I1694" s="3">
        <v>22.91</v>
      </c>
      <c r="J1694" s="3">
        <f>Table1[[#This Row],[قيمة الفاتورة]]*0.94-Table1[[#This Row],[قيمة المشاركة]]</f>
        <v>21.535399999999999</v>
      </c>
      <c r="L1694" s="3" t="str">
        <f t="shared" si="26"/>
        <v/>
      </c>
      <c r="N1694" t="s">
        <v>19</v>
      </c>
    </row>
    <row r="1695" spans="1:14" x14ac:dyDescent="0.3">
      <c r="A1695">
        <v>44</v>
      </c>
      <c r="B1695" t="s">
        <v>3581</v>
      </c>
      <c r="C1695" t="s">
        <v>3582</v>
      </c>
      <c r="D1695" t="s">
        <v>3583</v>
      </c>
      <c r="E1695" t="s">
        <v>23</v>
      </c>
      <c r="F1695" t="s">
        <v>3573</v>
      </c>
      <c r="G1695" s="3">
        <v>6.86</v>
      </c>
      <c r="H1695" s="3">
        <v>0</v>
      </c>
      <c r="I1695" s="3">
        <v>6.86</v>
      </c>
      <c r="J1695" s="3">
        <f>Table1[[#This Row],[قيمة الفاتورة]]*0.94-Table1[[#This Row],[قيمة المشاركة]]</f>
        <v>6.4484000000000004</v>
      </c>
      <c r="L1695" s="3" t="str">
        <f t="shared" si="26"/>
        <v/>
      </c>
      <c r="N1695" t="s">
        <v>19</v>
      </c>
    </row>
    <row r="1696" spans="1:14" x14ac:dyDescent="0.3">
      <c r="A1696">
        <v>42</v>
      </c>
      <c r="B1696" t="s">
        <v>1559</v>
      </c>
      <c r="C1696" t="s">
        <v>1560</v>
      </c>
      <c r="D1696" t="s">
        <v>3537</v>
      </c>
      <c r="E1696" t="s">
        <v>23</v>
      </c>
      <c r="F1696" t="s">
        <v>3573</v>
      </c>
      <c r="G1696" s="3">
        <v>13.23</v>
      </c>
      <c r="H1696" s="3">
        <v>0</v>
      </c>
      <c r="I1696" s="3">
        <v>13.23</v>
      </c>
      <c r="J1696" s="3">
        <f>Table1[[#This Row],[قيمة الفاتورة]]*0.94-Table1[[#This Row],[قيمة المشاركة]]</f>
        <v>12.436199999999999</v>
      </c>
      <c r="L1696" s="3" t="str">
        <f t="shared" si="26"/>
        <v/>
      </c>
      <c r="N1696" t="s">
        <v>19</v>
      </c>
    </row>
    <row r="1697" spans="1:14" x14ac:dyDescent="0.3">
      <c r="A1697">
        <v>311</v>
      </c>
      <c r="B1697" t="s">
        <v>3584</v>
      </c>
      <c r="C1697" t="s">
        <v>1233</v>
      </c>
      <c r="D1697" t="s">
        <v>3585</v>
      </c>
      <c r="E1697" t="s">
        <v>17</v>
      </c>
      <c r="F1697" t="s">
        <v>3573</v>
      </c>
      <c r="G1697" s="3">
        <v>32.380000000000003</v>
      </c>
      <c r="H1697" s="3">
        <v>0</v>
      </c>
      <c r="I1697" s="3">
        <v>32.380000000000003</v>
      </c>
      <c r="J1697" s="3">
        <f>Table1[[#This Row],[قيمة الفاتورة]]*0.94-Table1[[#This Row],[قيمة المشاركة]]</f>
        <v>30.437200000000001</v>
      </c>
      <c r="L1697" s="3" t="str">
        <f t="shared" si="26"/>
        <v/>
      </c>
      <c r="N1697" t="s">
        <v>19</v>
      </c>
    </row>
    <row r="1698" spans="1:14" x14ac:dyDescent="0.3">
      <c r="A1698">
        <v>43</v>
      </c>
      <c r="B1698" t="s">
        <v>1562</v>
      </c>
      <c r="C1698" t="s">
        <v>1563</v>
      </c>
      <c r="D1698" t="s">
        <v>3586</v>
      </c>
      <c r="E1698" t="s">
        <v>23</v>
      </c>
      <c r="F1698" t="s">
        <v>3573</v>
      </c>
      <c r="G1698" s="3">
        <v>13.81</v>
      </c>
      <c r="H1698" s="3">
        <v>0</v>
      </c>
      <c r="I1698" s="3">
        <v>13.81</v>
      </c>
      <c r="J1698" s="3">
        <f>Table1[[#This Row],[قيمة الفاتورة]]*0.94-Table1[[#This Row],[قيمة المشاركة]]</f>
        <v>12.981399999999999</v>
      </c>
      <c r="L1698" s="3" t="str">
        <f t="shared" si="26"/>
        <v/>
      </c>
      <c r="N1698" t="s">
        <v>19</v>
      </c>
    </row>
    <row r="1699" spans="1:14" x14ac:dyDescent="0.3">
      <c r="A1699">
        <v>51</v>
      </c>
      <c r="B1699" t="s">
        <v>2007</v>
      </c>
      <c r="C1699" t="s">
        <v>1893</v>
      </c>
      <c r="D1699" t="s">
        <v>3587</v>
      </c>
      <c r="E1699" t="s">
        <v>23</v>
      </c>
      <c r="F1699" t="s">
        <v>3588</v>
      </c>
      <c r="G1699" s="3">
        <v>31.61</v>
      </c>
      <c r="H1699" s="3">
        <v>6.3220000000000001</v>
      </c>
      <c r="I1699" s="3">
        <v>25.288</v>
      </c>
      <c r="J1699" s="3">
        <f>Table1[[#This Row],[قيمة الفاتورة]]*0.94-Table1[[#This Row],[قيمة المشاركة]]</f>
        <v>23.391399999999997</v>
      </c>
      <c r="K1699">
        <v>23.390999999999998</v>
      </c>
      <c r="L1699" s="3">
        <f t="shared" si="26"/>
        <v>3.9999999999906777E-4</v>
      </c>
      <c r="M1699" t="s">
        <v>3474</v>
      </c>
      <c r="N1699" t="s">
        <v>328</v>
      </c>
    </row>
    <row r="1700" spans="1:14" x14ac:dyDescent="0.3">
      <c r="A1700">
        <v>53</v>
      </c>
      <c r="B1700" t="s">
        <v>995</v>
      </c>
      <c r="C1700" t="s">
        <v>996</v>
      </c>
      <c r="D1700" t="s">
        <v>3589</v>
      </c>
      <c r="E1700" t="s">
        <v>23</v>
      </c>
      <c r="F1700" t="s">
        <v>3588</v>
      </c>
      <c r="G1700" s="3">
        <v>32.99</v>
      </c>
      <c r="H1700" s="3">
        <v>0</v>
      </c>
      <c r="I1700" s="3">
        <v>32.99</v>
      </c>
      <c r="J1700" s="3">
        <f>Table1[[#This Row],[قيمة الفاتورة]]*0.94-Table1[[#This Row],[قيمة المشاركة]]</f>
        <v>31.0106</v>
      </c>
      <c r="L1700" s="3" t="str">
        <f t="shared" si="26"/>
        <v/>
      </c>
      <c r="N1700" t="s">
        <v>19</v>
      </c>
    </row>
    <row r="1701" spans="1:14" x14ac:dyDescent="0.3">
      <c r="A1701">
        <v>50</v>
      </c>
      <c r="B1701" t="s">
        <v>82</v>
      </c>
      <c r="C1701" t="s">
        <v>83</v>
      </c>
      <c r="D1701" t="s">
        <v>3590</v>
      </c>
      <c r="E1701" t="s">
        <v>17</v>
      </c>
      <c r="F1701" t="s">
        <v>3588</v>
      </c>
      <c r="G1701" s="3">
        <v>14.52</v>
      </c>
      <c r="H1701" s="3">
        <v>0</v>
      </c>
      <c r="I1701" s="3">
        <v>14.52</v>
      </c>
      <c r="J1701" s="3">
        <f>Table1[[#This Row],[قيمة الفاتورة]]*0.94-Table1[[#This Row],[قيمة المشاركة]]</f>
        <v>13.6488</v>
      </c>
      <c r="L1701" s="3" t="str">
        <f t="shared" si="26"/>
        <v/>
      </c>
      <c r="N1701" t="s">
        <v>19</v>
      </c>
    </row>
    <row r="1702" spans="1:14" x14ac:dyDescent="0.3">
      <c r="A1702">
        <v>52</v>
      </c>
      <c r="B1702" t="s">
        <v>2864</v>
      </c>
      <c r="C1702" t="s">
        <v>2865</v>
      </c>
      <c r="D1702" t="s">
        <v>3591</v>
      </c>
      <c r="E1702" t="s">
        <v>23</v>
      </c>
      <c r="F1702" t="s">
        <v>3588</v>
      </c>
      <c r="G1702" s="3">
        <v>17.12</v>
      </c>
      <c r="H1702" s="3">
        <v>0</v>
      </c>
      <c r="I1702" s="3">
        <v>17.12</v>
      </c>
      <c r="J1702" s="3">
        <f>Table1[[#This Row],[قيمة الفاتورة]]*0.94-Table1[[#This Row],[قيمة المشاركة]]</f>
        <v>16.0928</v>
      </c>
      <c r="L1702" s="3" t="str">
        <f t="shared" si="26"/>
        <v/>
      </c>
      <c r="N1702" t="s">
        <v>19</v>
      </c>
    </row>
    <row r="1703" spans="1:14" x14ac:dyDescent="0.3">
      <c r="A1703">
        <v>313</v>
      </c>
      <c r="B1703" t="s">
        <v>2470</v>
      </c>
      <c r="C1703" t="s">
        <v>3592</v>
      </c>
      <c r="D1703" t="s">
        <v>3593</v>
      </c>
      <c r="E1703" t="s">
        <v>23</v>
      </c>
      <c r="F1703" t="s">
        <v>3588</v>
      </c>
      <c r="G1703" s="3">
        <v>25.32</v>
      </c>
      <c r="H1703" s="3">
        <v>0</v>
      </c>
      <c r="I1703" s="3">
        <v>25.32</v>
      </c>
      <c r="J1703" s="3">
        <f>Table1[[#This Row],[قيمة الفاتورة]]*0.94-Table1[[#This Row],[قيمة المشاركة]]</f>
        <v>23.800799999999999</v>
      </c>
      <c r="L1703" s="3" t="str">
        <f t="shared" si="26"/>
        <v/>
      </c>
      <c r="N1703" t="s">
        <v>19</v>
      </c>
    </row>
    <row r="1704" spans="1:14" x14ac:dyDescent="0.3">
      <c r="A1704">
        <v>312</v>
      </c>
      <c r="B1704" t="s">
        <v>1389</v>
      </c>
      <c r="C1704" t="s">
        <v>1390</v>
      </c>
      <c r="D1704" t="s">
        <v>3594</v>
      </c>
      <c r="E1704" t="s">
        <v>23</v>
      </c>
      <c r="F1704" t="s">
        <v>3588</v>
      </c>
      <c r="G1704" s="3">
        <v>10.51</v>
      </c>
      <c r="H1704" s="3">
        <v>0</v>
      </c>
      <c r="I1704" s="3">
        <v>10.51</v>
      </c>
      <c r="J1704" s="3">
        <f>Table1[[#This Row],[قيمة الفاتورة]]*0.94-Table1[[#This Row],[قيمة المشاركة]]</f>
        <v>9.8793999999999986</v>
      </c>
      <c r="L1704" s="3" t="str">
        <f t="shared" si="26"/>
        <v/>
      </c>
      <c r="N1704" t="s">
        <v>19</v>
      </c>
    </row>
    <row r="1705" spans="1:14" x14ac:dyDescent="0.3">
      <c r="A1705">
        <v>314</v>
      </c>
      <c r="B1705" t="s">
        <v>3595</v>
      </c>
      <c r="C1705" t="s">
        <v>3596</v>
      </c>
      <c r="D1705" t="s">
        <v>3597</v>
      </c>
      <c r="E1705" t="s">
        <v>17</v>
      </c>
      <c r="F1705" t="s">
        <v>3598</v>
      </c>
      <c r="G1705" s="3">
        <v>19.57</v>
      </c>
      <c r="H1705" s="3">
        <v>3.9140000000000001</v>
      </c>
      <c r="I1705" s="3">
        <v>15.656000000000001</v>
      </c>
      <c r="J1705" s="3">
        <f>Table1[[#This Row],[قيمة الفاتورة]]*0.94-Table1[[#This Row],[قيمة المشاركة]]</f>
        <v>14.481799999999998</v>
      </c>
      <c r="K1705">
        <v>14.481999999999999</v>
      </c>
      <c r="L1705" s="3">
        <f t="shared" si="26"/>
        <v>-2.0000000000131024E-4</v>
      </c>
      <c r="M1705" t="s">
        <v>3474</v>
      </c>
      <c r="N1705" t="s">
        <v>328</v>
      </c>
    </row>
    <row r="1706" spans="1:14" x14ac:dyDescent="0.3">
      <c r="A1706">
        <v>62</v>
      </c>
      <c r="B1706" t="s">
        <v>3599</v>
      </c>
      <c r="C1706" t="s">
        <v>501</v>
      </c>
      <c r="D1706" t="s">
        <v>3600</v>
      </c>
      <c r="E1706" t="s">
        <v>23</v>
      </c>
      <c r="F1706" t="s">
        <v>3598</v>
      </c>
      <c r="G1706" s="3">
        <v>19.149999999999999</v>
      </c>
      <c r="H1706" s="3">
        <v>3.83</v>
      </c>
      <c r="I1706" s="3">
        <v>15.32</v>
      </c>
      <c r="J1706" s="3">
        <f>Table1[[#This Row],[قيمة الفاتورة]]*0.94-Table1[[#This Row],[قيمة المشاركة]]</f>
        <v>14.170999999999998</v>
      </c>
      <c r="K1706">
        <v>14.170999999999999</v>
      </c>
      <c r="L1706" s="3">
        <f t="shared" si="26"/>
        <v>-1.7763568394002505E-15</v>
      </c>
      <c r="M1706" t="s">
        <v>3474</v>
      </c>
      <c r="N1706" t="s">
        <v>328</v>
      </c>
    </row>
    <row r="1707" spans="1:14" x14ac:dyDescent="0.3">
      <c r="A1707">
        <v>63</v>
      </c>
      <c r="B1707" t="s">
        <v>3601</v>
      </c>
      <c r="C1707" t="s">
        <v>3602</v>
      </c>
      <c r="D1707" t="s">
        <v>3603</v>
      </c>
      <c r="E1707" t="s">
        <v>23</v>
      </c>
      <c r="F1707" t="s">
        <v>3598</v>
      </c>
      <c r="G1707" s="3">
        <v>12.48</v>
      </c>
      <c r="H1707" s="3">
        <v>2.496</v>
      </c>
      <c r="I1707" s="3">
        <v>9.984</v>
      </c>
      <c r="J1707" s="3">
        <f>Table1[[#This Row],[قيمة الفاتورة]]*0.94-Table1[[#This Row],[قيمة المشاركة]]</f>
        <v>9.235199999999999</v>
      </c>
      <c r="K1707">
        <v>9.2349999999999994</v>
      </c>
      <c r="L1707" s="3">
        <f t="shared" si="26"/>
        <v>1.9999999999953388E-4</v>
      </c>
      <c r="M1707" t="s">
        <v>3474</v>
      </c>
      <c r="N1707" t="s">
        <v>328</v>
      </c>
    </row>
    <row r="1708" spans="1:14" x14ac:dyDescent="0.3">
      <c r="A1708">
        <v>58</v>
      </c>
      <c r="B1708" t="s">
        <v>3604</v>
      </c>
      <c r="C1708" t="s">
        <v>3605</v>
      </c>
      <c r="D1708" t="s">
        <v>3606</v>
      </c>
      <c r="E1708" t="s">
        <v>17</v>
      </c>
      <c r="F1708" t="s">
        <v>3598</v>
      </c>
      <c r="G1708" s="3">
        <v>63.8</v>
      </c>
      <c r="H1708" s="3">
        <v>12.76</v>
      </c>
      <c r="I1708" s="3">
        <v>51.04</v>
      </c>
      <c r="J1708" s="3">
        <f>Table1[[#This Row],[قيمة الفاتورة]]*0.94-Table1[[#This Row],[قيمة المشاركة]]</f>
        <v>47.211999999999996</v>
      </c>
      <c r="K1708">
        <v>47.210999999999999</v>
      </c>
      <c r="L1708" s="3">
        <f t="shared" si="26"/>
        <v>9.9999999999766942E-4</v>
      </c>
      <c r="M1708" t="s">
        <v>3474</v>
      </c>
      <c r="N1708" t="s">
        <v>328</v>
      </c>
    </row>
    <row r="1709" spans="1:14" x14ac:dyDescent="0.3">
      <c r="A1709">
        <v>54</v>
      </c>
      <c r="B1709" t="s">
        <v>3607</v>
      </c>
      <c r="C1709" t="s">
        <v>3608</v>
      </c>
      <c r="D1709" t="s">
        <v>3609</v>
      </c>
      <c r="E1709" t="s">
        <v>17</v>
      </c>
      <c r="F1709" t="s">
        <v>3598</v>
      </c>
      <c r="G1709" s="3">
        <v>18.71</v>
      </c>
      <c r="H1709" s="3">
        <v>3.742</v>
      </c>
      <c r="I1709" s="3">
        <v>14.968</v>
      </c>
      <c r="J1709" s="3">
        <f>Table1[[#This Row],[قيمة الفاتورة]]*0.94-Table1[[#This Row],[قيمة المشاركة]]</f>
        <v>13.845399999999998</v>
      </c>
      <c r="K1709">
        <v>13.843999999999999</v>
      </c>
      <c r="L1709" s="3">
        <f t="shared" si="26"/>
        <v>1.3999999999985135E-3</v>
      </c>
      <c r="M1709" t="s">
        <v>3474</v>
      </c>
      <c r="N1709" t="s">
        <v>328</v>
      </c>
    </row>
    <row r="1710" spans="1:14" x14ac:dyDescent="0.3">
      <c r="A1710">
        <v>59</v>
      </c>
      <c r="B1710" t="s">
        <v>3222</v>
      </c>
      <c r="C1710" t="s">
        <v>3223</v>
      </c>
      <c r="D1710" t="s">
        <v>3610</v>
      </c>
      <c r="E1710" t="s">
        <v>23</v>
      </c>
      <c r="F1710" t="s">
        <v>3598</v>
      </c>
      <c r="G1710" s="3">
        <v>14.09</v>
      </c>
      <c r="H1710" s="3">
        <v>2.8180000000000001</v>
      </c>
      <c r="I1710" s="3">
        <v>11.272</v>
      </c>
      <c r="J1710" s="3">
        <f>Table1[[#This Row],[قيمة الفاتورة]]*0.94-Table1[[#This Row],[قيمة المشاركة]]</f>
        <v>10.426599999999999</v>
      </c>
      <c r="K1710">
        <v>10.388999999999999</v>
      </c>
      <c r="L1710" s="3">
        <f t="shared" si="26"/>
        <v>3.7599999999999412E-2</v>
      </c>
      <c r="M1710" t="s">
        <v>3474</v>
      </c>
      <c r="N1710" t="s">
        <v>328</v>
      </c>
    </row>
    <row r="1711" spans="1:14" x14ac:dyDescent="0.3">
      <c r="A1711">
        <v>60</v>
      </c>
      <c r="B1711" t="s">
        <v>305</v>
      </c>
      <c r="C1711" t="s">
        <v>306</v>
      </c>
      <c r="D1711" t="s">
        <v>3611</v>
      </c>
      <c r="E1711" t="s">
        <v>23</v>
      </c>
      <c r="F1711" t="s">
        <v>3598</v>
      </c>
      <c r="G1711" s="3">
        <v>30.65</v>
      </c>
      <c r="H1711" s="3">
        <v>0</v>
      </c>
      <c r="I1711" s="3">
        <v>30.65</v>
      </c>
      <c r="J1711" s="3">
        <f>Table1[[#This Row],[قيمة الفاتورة]]*0.94-Table1[[#This Row],[قيمة المشاركة]]</f>
        <v>28.810999999999996</v>
      </c>
      <c r="L1711" s="3" t="str">
        <f t="shared" si="26"/>
        <v/>
      </c>
      <c r="N1711" t="s">
        <v>19</v>
      </c>
    </row>
    <row r="1712" spans="1:14" x14ac:dyDescent="0.3">
      <c r="A1712">
        <v>61</v>
      </c>
      <c r="B1712" t="s">
        <v>2180</v>
      </c>
      <c r="C1712" t="s">
        <v>2181</v>
      </c>
      <c r="D1712" t="s">
        <v>3612</v>
      </c>
      <c r="E1712" t="s">
        <v>23</v>
      </c>
      <c r="F1712" t="s">
        <v>3598</v>
      </c>
      <c r="G1712" s="3">
        <v>33</v>
      </c>
      <c r="H1712" s="3">
        <v>0</v>
      </c>
      <c r="I1712" s="3">
        <v>33</v>
      </c>
      <c r="J1712" s="3">
        <f>Table1[[#This Row],[قيمة الفاتورة]]*0.94-Table1[[#This Row],[قيمة المشاركة]]</f>
        <v>31.02</v>
      </c>
      <c r="L1712" s="3" t="str">
        <f t="shared" si="26"/>
        <v/>
      </c>
      <c r="N1712" t="s">
        <v>19</v>
      </c>
    </row>
    <row r="1713" spans="1:14" x14ac:dyDescent="0.3">
      <c r="A1713">
        <v>56</v>
      </c>
      <c r="B1713" t="s">
        <v>3512</v>
      </c>
      <c r="C1713" t="s">
        <v>3513</v>
      </c>
      <c r="D1713" t="s">
        <v>3613</v>
      </c>
      <c r="E1713" t="s">
        <v>17</v>
      </c>
      <c r="F1713" t="s">
        <v>3598</v>
      </c>
      <c r="G1713" s="3">
        <v>1.76</v>
      </c>
      <c r="H1713" s="3">
        <v>0.35199999999999998</v>
      </c>
      <c r="I1713" s="3">
        <v>1.4079999999999999</v>
      </c>
      <c r="J1713" s="3">
        <f>Table1[[#This Row],[قيمة الفاتورة]]*0.94-Table1[[#This Row],[قيمة المشاركة]]</f>
        <v>1.3024</v>
      </c>
      <c r="K1713" s="3">
        <v>1.302</v>
      </c>
      <c r="L1713" s="3">
        <f t="shared" si="26"/>
        <v>3.9999999999995595E-4</v>
      </c>
      <c r="M1713" s="6">
        <v>46188</v>
      </c>
      <c r="N1713" s="6" t="s">
        <v>328</v>
      </c>
    </row>
    <row r="1714" spans="1:14" x14ac:dyDescent="0.3">
      <c r="A1714">
        <v>55</v>
      </c>
      <c r="B1714" t="s">
        <v>3614</v>
      </c>
      <c r="C1714" t="s">
        <v>377</v>
      </c>
      <c r="D1714" t="s">
        <v>3615</v>
      </c>
      <c r="E1714" t="s">
        <v>23</v>
      </c>
      <c r="F1714" t="s">
        <v>3598</v>
      </c>
      <c r="G1714" s="3">
        <v>27.73</v>
      </c>
      <c r="H1714" s="3">
        <v>5.5460000000000003</v>
      </c>
      <c r="I1714" s="3">
        <v>22.184000000000001</v>
      </c>
      <c r="J1714" s="3">
        <f>Table1[[#This Row],[قيمة الفاتورة]]*0.94-Table1[[#This Row],[قيمة المشاركة]]</f>
        <v>20.520199999999999</v>
      </c>
      <c r="K1714" s="3">
        <v>20.303999999999998</v>
      </c>
      <c r="L1714" s="3">
        <f t="shared" si="26"/>
        <v>0.21620000000000061</v>
      </c>
      <c r="M1714" s="6">
        <v>46188</v>
      </c>
      <c r="N1714" s="6" t="s">
        <v>328</v>
      </c>
    </row>
    <row r="1715" spans="1:14" x14ac:dyDescent="0.3">
      <c r="A1715">
        <v>57</v>
      </c>
      <c r="B1715" t="s">
        <v>3616</v>
      </c>
      <c r="C1715" t="s">
        <v>620</v>
      </c>
      <c r="D1715" t="s">
        <v>3617</v>
      </c>
      <c r="E1715" t="s">
        <v>23</v>
      </c>
      <c r="F1715" t="s">
        <v>3598</v>
      </c>
      <c r="G1715" s="3">
        <v>41.18</v>
      </c>
      <c r="H1715" s="3">
        <v>8.2360000000000007</v>
      </c>
      <c r="I1715" s="3">
        <v>32.944000000000003</v>
      </c>
      <c r="J1715" s="3">
        <f>Table1[[#This Row],[قيمة الفاتورة]]*0.94-Table1[[#This Row],[قيمة المشاركة]]</f>
        <v>30.473199999999995</v>
      </c>
      <c r="K1715" s="3">
        <v>30.472999999999999</v>
      </c>
      <c r="L1715" s="3">
        <f t="shared" si="26"/>
        <v>1.9999999999598117E-4</v>
      </c>
      <c r="M1715" s="6">
        <v>46188</v>
      </c>
      <c r="N1715" s="6" t="s">
        <v>328</v>
      </c>
    </row>
    <row r="1716" spans="1:14" x14ac:dyDescent="0.3">
      <c r="A1716">
        <v>316</v>
      </c>
      <c r="B1716" t="s">
        <v>3618</v>
      </c>
      <c r="C1716" t="s">
        <v>3619</v>
      </c>
      <c r="D1716" t="s">
        <v>3620</v>
      </c>
      <c r="E1716" t="s">
        <v>17</v>
      </c>
      <c r="F1716" t="s">
        <v>3621</v>
      </c>
      <c r="G1716" s="3">
        <v>12.02</v>
      </c>
      <c r="H1716" s="3">
        <v>2.4039999999999999</v>
      </c>
      <c r="I1716" s="3">
        <v>9.6159999999999997</v>
      </c>
      <c r="J1716" s="3">
        <f>Table1[[#This Row],[قيمة الفاتورة]]*0.94-Table1[[#This Row],[قيمة المشاركة]]</f>
        <v>8.8947999999999983</v>
      </c>
      <c r="K1716">
        <v>8.8960000000000008</v>
      </c>
      <c r="L1716" s="3">
        <f t="shared" si="26"/>
        <v>-1.2000000000025324E-3</v>
      </c>
      <c r="M1716" t="s">
        <v>3474</v>
      </c>
      <c r="N1716" t="s">
        <v>328</v>
      </c>
    </row>
    <row r="1717" spans="1:14" x14ac:dyDescent="0.3">
      <c r="A1717">
        <v>315</v>
      </c>
      <c r="B1717" t="s">
        <v>3618</v>
      </c>
      <c r="C1717" t="s">
        <v>3619</v>
      </c>
      <c r="D1717" t="s">
        <v>3622</v>
      </c>
      <c r="E1717" t="s">
        <v>17</v>
      </c>
      <c r="F1717" t="s">
        <v>3621</v>
      </c>
      <c r="G1717" s="3">
        <v>20.54</v>
      </c>
      <c r="H1717" s="3">
        <v>4.1079999999999997</v>
      </c>
      <c r="I1717" s="3">
        <v>16.431999999999999</v>
      </c>
      <c r="J1717" s="3">
        <f>Table1[[#This Row],[قيمة الفاتورة]]*0.94-Table1[[#This Row],[قيمة المشاركة]]</f>
        <v>15.199599999999997</v>
      </c>
      <c r="K1717">
        <v>15.2</v>
      </c>
      <c r="L1717" s="3">
        <f t="shared" si="26"/>
        <v>-4.0000000000262048E-4</v>
      </c>
      <c r="M1717" t="s">
        <v>3474</v>
      </c>
      <c r="N1717" t="s">
        <v>328</v>
      </c>
    </row>
    <row r="1718" spans="1:14" x14ac:dyDescent="0.3">
      <c r="A1718">
        <v>318</v>
      </c>
      <c r="B1718" t="s">
        <v>3623</v>
      </c>
      <c r="C1718" t="s">
        <v>3624</v>
      </c>
      <c r="D1718" t="s">
        <v>3625</v>
      </c>
      <c r="E1718" t="s">
        <v>17</v>
      </c>
      <c r="F1718" t="s">
        <v>3621</v>
      </c>
      <c r="G1718" s="3">
        <v>1.75</v>
      </c>
      <c r="H1718" s="3">
        <v>0.35</v>
      </c>
      <c r="I1718" s="3">
        <v>1.4</v>
      </c>
      <c r="J1718" s="3">
        <f>Table1[[#This Row],[قيمة الفاتورة]]*0.94-Table1[[#This Row],[قيمة المشاركة]]</f>
        <v>1.2949999999999999</v>
      </c>
      <c r="K1718">
        <v>1.2949999999999999</v>
      </c>
      <c r="L1718" s="3">
        <f t="shared" si="26"/>
        <v>0</v>
      </c>
      <c r="M1718" t="s">
        <v>3474</v>
      </c>
      <c r="N1718" t="s">
        <v>328</v>
      </c>
    </row>
    <row r="1719" spans="1:14" x14ac:dyDescent="0.3">
      <c r="A1719">
        <v>64</v>
      </c>
      <c r="B1719" t="s">
        <v>203</v>
      </c>
      <c r="C1719" t="s">
        <v>204</v>
      </c>
      <c r="D1719" t="s">
        <v>3626</v>
      </c>
      <c r="E1719" t="s">
        <v>17</v>
      </c>
      <c r="F1719" t="s">
        <v>3621</v>
      </c>
      <c r="G1719" s="3">
        <v>54.38</v>
      </c>
      <c r="H1719" s="3">
        <v>0</v>
      </c>
      <c r="I1719" s="3">
        <v>54.38</v>
      </c>
      <c r="J1719" s="3">
        <f>Table1[[#This Row],[قيمة الفاتورة]]*0.94-Table1[[#This Row],[قيمة المشاركة]]</f>
        <v>51.117199999999997</v>
      </c>
      <c r="L1719" s="3" t="str">
        <f t="shared" si="26"/>
        <v/>
      </c>
      <c r="N1719" t="s">
        <v>19</v>
      </c>
    </row>
    <row r="1720" spans="1:14" x14ac:dyDescent="0.3">
      <c r="A1720">
        <v>67</v>
      </c>
      <c r="B1720" t="s">
        <v>139</v>
      </c>
      <c r="C1720" t="s">
        <v>2572</v>
      </c>
      <c r="D1720" t="s">
        <v>3627</v>
      </c>
      <c r="E1720" t="s">
        <v>17</v>
      </c>
      <c r="F1720" t="s">
        <v>3621</v>
      </c>
      <c r="G1720" s="3">
        <v>7.68</v>
      </c>
      <c r="H1720" s="3">
        <v>0</v>
      </c>
      <c r="I1720" s="3">
        <v>7.68</v>
      </c>
      <c r="J1720" s="3">
        <f>Table1[[#This Row],[قيمة الفاتورة]]*0.94-Table1[[#This Row],[قيمة المشاركة]]</f>
        <v>7.219199999999999</v>
      </c>
      <c r="L1720" s="3" t="str">
        <f t="shared" si="26"/>
        <v/>
      </c>
      <c r="N1720" t="s">
        <v>19</v>
      </c>
    </row>
    <row r="1721" spans="1:14" x14ac:dyDescent="0.3">
      <c r="A1721">
        <v>317</v>
      </c>
      <c r="B1721" t="s">
        <v>2864</v>
      </c>
      <c r="C1721" t="s">
        <v>2865</v>
      </c>
      <c r="D1721" t="s">
        <v>3628</v>
      </c>
      <c r="E1721" t="s">
        <v>23</v>
      </c>
      <c r="F1721" t="s">
        <v>3621</v>
      </c>
      <c r="G1721" s="3">
        <v>4.18</v>
      </c>
      <c r="H1721" s="3">
        <v>0</v>
      </c>
      <c r="I1721" s="3">
        <v>4.18</v>
      </c>
      <c r="J1721" s="3">
        <f>Table1[[#This Row],[قيمة الفاتورة]]*0.94-Table1[[#This Row],[قيمة المشاركة]]</f>
        <v>3.9291999999999994</v>
      </c>
      <c r="L1721" s="3" t="str">
        <f t="shared" si="26"/>
        <v/>
      </c>
      <c r="N1721" t="s">
        <v>19</v>
      </c>
    </row>
    <row r="1722" spans="1:14" x14ac:dyDescent="0.3">
      <c r="A1722">
        <v>65</v>
      </c>
      <c r="B1722" t="s">
        <v>3629</v>
      </c>
      <c r="C1722" t="s">
        <v>653</v>
      </c>
      <c r="D1722" t="s">
        <v>3630</v>
      </c>
      <c r="E1722" t="s">
        <v>17</v>
      </c>
      <c r="F1722" t="s">
        <v>3621</v>
      </c>
      <c r="G1722" s="3">
        <v>35.869999999999997</v>
      </c>
      <c r="H1722" s="3">
        <v>5.38</v>
      </c>
      <c r="I1722" s="3">
        <v>30.49</v>
      </c>
      <c r="J1722" s="3">
        <f>Table1[[#This Row],[قيمة الفاتورة]]*0.94-Table1[[#This Row],[قيمة المشاركة]]</f>
        <v>28.337799999999998</v>
      </c>
      <c r="L1722" s="3" t="str">
        <f t="shared" si="26"/>
        <v/>
      </c>
      <c r="N1722" t="s">
        <v>19</v>
      </c>
    </row>
    <row r="1723" spans="1:14" x14ac:dyDescent="0.3">
      <c r="A1723">
        <v>66</v>
      </c>
      <c r="B1723" t="s">
        <v>3631</v>
      </c>
      <c r="C1723" t="s">
        <v>902</v>
      </c>
      <c r="D1723" t="s">
        <v>3632</v>
      </c>
      <c r="E1723" t="s">
        <v>23</v>
      </c>
      <c r="F1723" t="s">
        <v>3621</v>
      </c>
      <c r="G1723" s="3">
        <v>36.270000000000003</v>
      </c>
      <c r="H1723" s="3">
        <v>5.44</v>
      </c>
      <c r="I1723" s="3">
        <v>30.83</v>
      </c>
      <c r="J1723" s="3">
        <f>Table1[[#This Row],[قيمة الفاتورة]]*0.94-Table1[[#This Row],[قيمة المشاركة]]</f>
        <v>28.6538</v>
      </c>
      <c r="L1723" s="3" t="str">
        <f t="shared" si="26"/>
        <v/>
      </c>
      <c r="N1723" t="s">
        <v>328</v>
      </c>
    </row>
    <row r="1724" spans="1:14" x14ac:dyDescent="0.3">
      <c r="A1724">
        <v>319</v>
      </c>
      <c r="B1724" t="s">
        <v>3633</v>
      </c>
      <c r="C1724" t="s">
        <v>3634</v>
      </c>
      <c r="D1724" t="s">
        <v>3635</v>
      </c>
      <c r="E1724" t="s">
        <v>23</v>
      </c>
      <c r="F1724" t="s">
        <v>3636</v>
      </c>
      <c r="G1724" s="3">
        <v>31.86</v>
      </c>
      <c r="H1724" s="3">
        <v>6.3719999999999999</v>
      </c>
      <c r="I1724" s="3">
        <v>25.488</v>
      </c>
      <c r="J1724" s="3">
        <f>Table1[[#This Row],[قيمة الفاتورة]]*0.94-Table1[[#This Row],[قيمة المشاركة]]</f>
        <v>23.5764</v>
      </c>
      <c r="K1724">
        <v>25.774000000000001</v>
      </c>
      <c r="L1724" s="3">
        <f t="shared" si="26"/>
        <v>-2.1976000000000013</v>
      </c>
      <c r="M1724" t="s">
        <v>3474</v>
      </c>
      <c r="N1724" t="s">
        <v>328</v>
      </c>
    </row>
    <row r="1725" spans="1:14" x14ac:dyDescent="0.3">
      <c r="A1725">
        <v>320</v>
      </c>
      <c r="B1725" t="s">
        <v>920</v>
      </c>
      <c r="C1725" t="s">
        <v>3637</v>
      </c>
      <c r="D1725" t="s">
        <v>3638</v>
      </c>
      <c r="E1725" t="s">
        <v>23</v>
      </c>
      <c r="F1725" t="s">
        <v>3636</v>
      </c>
      <c r="G1725" s="3">
        <v>10.67</v>
      </c>
      <c r="H1725" s="3">
        <v>0</v>
      </c>
      <c r="I1725" s="3">
        <v>10.67</v>
      </c>
      <c r="J1725" s="3">
        <f>Table1[[#This Row],[قيمة الفاتورة]]*0.94-Table1[[#This Row],[قيمة المشاركة]]</f>
        <v>10.0298</v>
      </c>
      <c r="L1725" s="3" t="str">
        <f t="shared" si="26"/>
        <v/>
      </c>
      <c r="N1725" t="s">
        <v>19</v>
      </c>
    </row>
    <row r="1726" spans="1:14" x14ac:dyDescent="0.3">
      <c r="A1726">
        <v>79</v>
      </c>
      <c r="B1726" t="s">
        <v>3639</v>
      </c>
      <c r="C1726" t="s">
        <v>3640</v>
      </c>
      <c r="D1726" t="s">
        <v>3641</v>
      </c>
      <c r="E1726" t="s">
        <v>23</v>
      </c>
      <c r="F1726" t="s">
        <v>3642</v>
      </c>
      <c r="G1726" s="3">
        <v>63.55</v>
      </c>
      <c r="H1726" s="3">
        <v>12.71</v>
      </c>
      <c r="I1726" s="3">
        <v>50.84</v>
      </c>
      <c r="J1726" s="3">
        <f>Table1[[#This Row],[قيمة الفاتورة]]*0.94-Table1[[#This Row],[قيمة المشاركة]]</f>
        <v>47.026999999999994</v>
      </c>
      <c r="K1726">
        <v>47.027000000000001</v>
      </c>
      <c r="L1726" s="3">
        <f t="shared" si="26"/>
        <v>-7.1054273576010019E-15</v>
      </c>
      <c r="M1726" t="s">
        <v>3474</v>
      </c>
      <c r="N1726" t="s">
        <v>328</v>
      </c>
    </row>
    <row r="1727" spans="1:14" x14ac:dyDescent="0.3">
      <c r="A1727">
        <v>71</v>
      </c>
      <c r="B1727" t="s">
        <v>3643</v>
      </c>
      <c r="C1727" t="s">
        <v>3644</v>
      </c>
      <c r="D1727" t="s">
        <v>3645</v>
      </c>
      <c r="E1727" t="s">
        <v>23</v>
      </c>
      <c r="F1727" t="s">
        <v>3642</v>
      </c>
      <c r="G1727" s="3">
        <v>29.1</v>
      </c>
      <c r="H1727" s="3">
        <v>5.82</v>
      </c>
      <c r="I1727" s="3">
        <v>23.28</v>
      </c>
      <c r="J1727" s="3">
        <f>Table1[[#This Row],[قيمة الفاتورة]]*0.94-Table1[[#This Row],[قيمة المشاركة]]</f>
        <v>21.533999999999999</v>
      </c>
      <c r="K1727">
        <v>21.533999999999999</v>
      </c>
      <c r="L1727" s="3">
        <f t="shared" si="26"/>
        <v>0</v>
      </c>
      <c r="M1727" t="s">
        <v>3474</v>
      </c>
      <c r="N1727" t="s">
        <v>328</v>
      </c>
    </row>
    <row r="1728" spans="1:14" x14ac:dyDescent="0.3">
      <c r="A1728">
        <v>76</v>
      </c>
      <c r="B1728" t="s">
        <v>2789</v>
      </c>
      <c r="C1728" t="s">
        <v>2790</v>
      </c>
      <c r="D1728" t="s">
        <v>3646</v>
      </c>
      <c r="E1728" t="s">
        <v>17</v>
      </c>
      <c r="F1728" t="s">
        <v>3642</v>
      </c>
      <c r="G1728" s="3">
        <v>63.88</v>
      </c>
      <c r="H1728" s="3">
        <v>12.776</v>
      </c>
      <c r="I1728" s="3">
        <v>51.103999999999999</v>
      </c>
      <c r="J1728" s="3">
        <f>Table1[[#This Row],[قيمة الفاتورة]]*0.94-Table1[[#This Row],[قيمة المشاركة]]</f>
        <v>47.271199999999993</v>
      </c>
      <c r="K1728">
        <v>47.271000000000001</v>
      </c>
      <c r="L1728" s="3">
        <f t="shared" si="26"/>
        <v>1.9999999999242846E-4</v>
      </c>
      <c r="M1728" t="s">
        <v>3474</v>
      </c>
      <c r="N1728" t="s">
        <v>328</v>
      </c>
    </row>
    <row r="1729" spans="1:14" x14ac:dyDescent="0.3">
      <c r="A1729">
        <v>72</v>
      </c>
      <c r="B1729" t="s">
        <v>3647</v>
      </c>
      <c r="C1729" t="s">
        <v>3648</v>
      </c>
      <c r="D1729" t="s">
        <v>3649</v>
      </c>
      <c r="E1729" t="s">
        <v>23</v>
      </c>
      <c r="F1729" t="s">
        <v>3642</v>
      </c>
      <c r="G1729" s="3">
        <v>15.78</v>
      </c>
      <c r="H1729" s="3">
        <v>3.1560000000000001</v>
      </c>
      <c r="I1729" s="3">
        <v>12.624000000000001</v>
      </c>
      <c r="J1729" s="3">
        <f>Table1[[#This Row],[قيمة الفاتورة]]*0.94-Table1[[#This Row],[قيمة المشاركة]]</f>
        <v>11.677199999999997</v>
      </c>
      <c r="K1729">
        <v>11.677</v>
      </c>
      <c r="L1729" s="3">
        <f t="shared" si="26"/>
        <v>1.9999999999775753E-4</v>
      </c>
      <c r="M1729" t="s">
        <v>3474</v>
      </c>
      <c r="N1729" t="s">
        <v>328</v>
      </c>
    </row>
    <row r="1730" spans="1:14" x14ac:dyDescent="0.3">
      <c r="A1730">
        <v>80</v>
      </c>
      <c r="B1730" t="s">
        <v>3319</v>
      </c>
      <c r="C1730" t="s">
        <v>3320</v>
      </c>
      <c r="D1730" t="s">
        <v>3650</v>
      </c>
      <c r="E1730" t="s">
        <v>17</v>
      </c>
      <c r="F1730" t="s">
        <v>3642</v>
      </c>
      <c r="G1730" s="3">
        <v>52.84</v>
      </c>
      <c r="H1730" s="3">
        <v>10.568</v>
      </c>
      <c r="I1730" s="3">
        <v>42.271999999999998</v>
      </c>
      <c r="J1730" s="3">
        <f>Table1[[#This Row],[قيمة الفاتورة]]*0.94-Table1[[#This Row],[قيمة المشاركة]]</f>
        <v>39.101600000000005</v>
      </c>
      <c r="K1730">
        <v>39.100999999999999</v>
      </c>
      <c r="L1730" s="3">
        <f t="shared" ref="L1730:L1793" si="27">IF(ISNUMBER(K1730), J1730-K1730, "")</f>
        <v>6.0000000000570708E-4</v>
      </c>
      <c r="M1730" t="s">
        <v>3474</v>
      </c>
      <c r="N1730" t="s">
        <v>328</v>
      </c>
    </row>
    <row r="1731" spans="1:14" x14ac:dyDescent="0.3">
      <c r="A1731">
        <v>78</v>
      </c>
      <c r="B1731" t="s">
        <v>2927</v>
      </c>
      <c r="C1731" t="s">
        <v>523</v>
      </c>
      <c r="D1731" t="s">
        <v>3651</v>
      </c>
      <c r="E1731" t="s">
        <v>17</v>
      </c>
      <c r="F1731" t="s">
        <v>3642</v>
      </c>
      <c r="G1731" s="3">
        <v>45.55</v>
      </c>
      <c r="H1731" s="3">
        <v>9.11</v>
      </c>
      <c r="I1731" s="3">
        <v>36.44</v>
      </c>
      <c r="J1731" s="3">
        <f>Table1[[#This Row],[قيمة الفاتورة]]*0.94-Table1[[#This Row],[قيمة المشاركة]]</f>
        <v>33.706999999999994</v>
      </c>
      <c r="K1731">
        <v>33.706000000000003</v>
      </c>
      <c r="L1731" s="3">
        <f t="shared" si="27"/>
        <v>9.9999999999056399E-4</v>
      </c>
      <c r="M1731" t="s">
        <v>3474</v>
      </c>
      <c r="N1731" t="s">
        <v>328</v>
      </c>
    </row>
    <row r="1732" spans="1:14" x14ac:dyDescent="0.3">
      <c r="A1732">
        <v>77</v>
      </c>
      <c r="B1732" t="s">
        <v>2732</v>
      </c>
      <c r="C1732" t="s">
        <v>2733</v>
      </c>
      <c r="D1732" t="s">
        <v>3652</v>
      </c>
      <c r="E1732" t="s">
        <v>23</v>
      </c>
      <c r="F1732" t="s">
        <v>3642</v>
      </c>
      <c r="G1732" s="3">
        <v>43.83</v>
      </c>
      <c r="H1732" s="3">
        <v>8.766</v>
      </c>
      <c r="I1732" s="3">
        <v>35.064</v>
      </c>
      <c r="J1732" s="3">
        <f>Table1[[#This Row],[قيمة الفاتورة]]*0.94-Table1[[#This Row],[قيمة المشاركة]]</f>
        <v>32.434199999999997</v>
      </c>
      <c r="K1732">
        <v>32.424999999999997</v>
      </c>
      <c r="L1732" s="3">
        <f t="shared" si="27"/>
        <v>9.1999999999998749E-3</v>
      </c>
      <c r="M1732" t="s">
        <v>3474</v>
      </c>
      <c r="N1732" t="s">
        <v>328</v>
      </c>
    </row>
    <row r="1733" spans="1:14" x14ac:dyDescent="0.3">
      <c r="A1733">
        <v>68</v>
      </c>
      <c r="B1733" t="s">
        <v>2052</v>
      </c>
      <c r="C1733" t="s">
        <v>3653</v>
      </c>
      <c r="D1733" t="s">
        <v>3654</v>
      </c>
      <c r="E1733" t="s">
        <v>23</v>
      </c>
      <c r="F1733" t="s">
        <v>3642</v>
      </c>
      <c r="G1733" s="3">
        <v>61.14</v>
      </c>
      <c r="H1733" s="3">
        <v>0</v>
      </c>
      <c r="I1733" s="3">
        <v>61.14</v>
      </c>
      <c r="J1733" s="3">
        <f>Table1[[#This Row],[قيمة الفاتورة]]*0.94-Table1[[#This Row],[قيمة المشاركة]]</f>
        <v>57.471599999999995</v>
      </c>
      <c r="L1733" s="3" t="str">
        <f t="shared" si="27"/>
        <v/>
      </c>
      <c r="N1733" t="s">
        <v>19</v>
      </c>
    </row>
    <row r="1734" spans="1:14" x14ac:dyDescent="0.3">
      <c r="A1734">
        <v>69</v>
      </c>
      <c r="B1734" t="s">
        <v>766</v>
      </c>
      <c r="C1734" t="s">
        <v>767</v>
      </c>
      <c r="D1734" t="s">
        <v>3655</v>
      </c>
      <c r="E1734" t="s">
        <v>23</v>
      </c>
      <c r="F1734" t="s">
        <v>3642</v>
      </c>
      <c r="G1734" s="3">
        <v>61.14</v>
      </c>
      <c r="H1734" s="3">
        <v>0</v>
      </c>
      <c r="I1734" s="3">
        <v>61.14</v>
      </c>
      <c r="J1734" s="3">
        <f>Table1[[#This Row],[قيمة الفاتورة]]*0.94-Table1[[#This Row],[قيمة المشاركة]]</f>
        <v>57.471599999999995</v>
      </c>
      <c r="L1734" s="3" t="str">
        <f t="shared" si="27"/>
        <v/>
      </c>
      <c r="N1734" t="s">
        <v>19</v>
      </c>
    </row>
    <row r="1735" spans="1:14" x14ac:dyDescent="0.3">
      <c r="A1735">
        <v>70</v>
      </c>
      <c r="B1735" t="s">
        <v>1565</v>
      </c>
      <c r="C1735" t="s">
        <v>1566</v>
      </c>
      <c r="D1735" t="s">
        <v>3656</v>
      </c>
      <c r="E1735" t="s">
        <v>23</v>
      </c>
      <c r="F1735" t="s">
        <v>3642</v>
      </c>
      <c r="G1735" s="3">
        <v>61.14</v>
      </c>
      <c r="H1735" s="3">
        <v>0</v>
      </c>
      <c r="I1735" s="3">
        <v>61.14</v>
      </c>
      <c r="J1735" s="3">
        <f>Table1[[#This Row],[قيمة الفاتورة]]*0.94-Table1[[#This Row],[قيمة المشاركة]]</f>
        <v>57.471599999999995</v>
      </c>
      <c r="L1735" s="3" t="str">
        <f t="shared" si="27"/>
        <v/>
      </c>
      <c r="N1735" t="s">
        <v>19</v>
      </c>
    </row>
    <row r="1736" spans="1:14" x14ac:dyDescent="0.3">
      <c r="A1736">
        <v>75</v>
      </c>
      <c r="B1736" t="s">
        <v>216</v>
      </c>
      <c r="C1736" t="s">
        <v>217</v>
      </c>
      <c r="D1736" t="s">
        <v>3657</v>
      </c>
      <c r="E1736" t="s">
        <v>17</v>
      </c>
      <c r="F1736" t="s">
        <v>3642</v>
      </c>
      <c r="G1736" s="3">
        <v>5.7439999999999998</v>
      </c>
      <c r="H1736" s="3">
        <v>0</v>
      </c>
      <c r="I1736" s="3">
        <v>5.7439999999999998</v>
      </c>
      <c r="J1736" s="3">
        <f>Table1[[#This Row],[قيمة الفاتورة]]*0.94-Table1[[#This Row],[قيمة المشاركة]]</f>
        <v>5.3993599999999997</v>
      </c>
      <c r="L1736" s="3" t="str">
        <f t="shared" si="27"/>
        <v/>
      </c>
      <c r="N1736" t="s">
        <v>19</v>
      </c>
    </row>
    <row r="1737" spans="1:14" x14ac:dyDescent="0.3">
      <c r="A1737">
        <v>321</v>
      </c>
      <c r="B1737" t="s">
        <v>216</v>
      </c>
      <c r="C1737" t="s">
        <v>217</v>
      </c>
      <c r="D1737" t="s">
        <v>3658</v>
      </c>
      <c r="E1737" t="s">
        <v>23</v>
      </c>
      <c r="F1737" t="s">
        <v>3642</v>
      </c>
      <c r="G1737" s="3">
        <v>24.94</v>
      </c>
      <c r="H1737" s="3">
        <v>0</v>
      </c>
      <c r="I1737" s="3">
        <v>24.94</v>
      </c>
      <c r="J1737" s="3">
        <f>Table1[[#This Row],[قيمة الفاتورة]]*0.94-Table1[[#This Row],[قيمة المشاركة]]</f>
        <v>23.4436</v>
      </c>
      <c r="L1737" s="3" t="str">
        <f t="shared" si="27"/>
        <v/>
      </c>
      <c r="N1737" t="s">
        <v>19</v>
      </c>
    </row>
    <row r="1738" spans="1:14" x14ac:dyDescent="0.3">
      <c r="A1738">
        <v>322</v>
      </c>
      <c r="B1738" t="s">
        <v>216</v>
      </c>
      <c r="C1738" t="s">
        <v>217</v>
      </c>
      <c r="D1738" t="s">
        <v>3657</v>
      </c>
      <c r="E1738" t="s">
        <v>23</v>
      </c>
      <c r="F1738" t="s">
        <v>3642</v>
      </c>
      <c r="G1738" s="3">
        <v>8.8800000000000008</v>
      </c>
      <c r="H1738" s="3">
        <v>0</v>
      </c>
      <c r="I1738" s="3">
        <v>8.8800000000000008</v>
      </c>
      <c r="J1738" s="3">
        <f>Table1[[#This Row],[قيمة الفاتورة]]*0.94-Table1[[#This Row],[قيمة المشاركة]]</f>
        <v>8.3472000000000008</v>
      </c>
      <c r="L1738" s="3" t="str">
        <f t="shared" si="27"/>
        <v/>
      </c>
      <c r="N1738" t="s">
        <v>19</v>
      </c>
    </row>
    <row r="1739" spans="1:14" x14ac:dyDescent="0.3">
      <c r="A1739">
        <v>323</v>
      </c>
      <c r="B1739" t="s">
        <v>61</v>
      </c>
      <c r="C1739" t="s">
        <v>3659</v>
      </c>
      <c r="D1739" t="s">
        <v>3660</v>
      </c>
      <c r="E1739" t="s">
        <v>23</v>
      </c>
      <c r="F1739" t="s">
        <v>3642</v>
      </c>
      <c r="G1739" s="3">
        <v>25.23</v>
      </c>
      <c r="H1739" s="3">
        <v>3.7839999999999998</v>
      </c>
      <c r="I1739" s="3">
        <v>21.446000000000002</v>
      </c>
      <c r="J1739" s="3">
        <f>Table1[[#This Row],[قيمة الفاتورة]]*0.94-Table1[[#This Row],[قيمة المشاركة]]</f>
        <v>19.932200000000002</v>
      </c>
      <c r="L1739" s="3" t="str">
        <f t="shared" si="27"/>
        <v/>
      </c>
      <c r="N1739" t="s">
        <v>19</v>
      </c>
    </row>
    <row r="1740" spans="1:14" x14ac:dyDescent="0.3">
      <c r="A1740">
        <v>324</v>
      </c>
      <c r="B1740" t="s">
        <v>61</v>
      </c>
      <c r="C1740" t="s">
        <v>3659</v>
      </c>
      <c r="D1740" t="s">
        <v>3661</v>
      </c>
      <c r="E1740" t="s">
        <v>23</v>
      </c>
      <c r="F1740" t="s">
        <v>3642</v>
      </c>
      <c r="G1740" s="3">
        <v>6.82</v>
      </c>
      <c r="H1740" s="3">
        <v>1.0229999999999999</v>
      </c>
      <c r="I1740" s="3">
        <v>5.7969999999999997</v>
      </c>
      <c r="J1740" s="3">
        <f>Table1[[#This Row],[قيمة الفاتورة]]*0.94-Table1[[#This Row],[قيمة المشاركة]]</f>
        <v>5.3878000000000004</v>
      </c>
      <c r="L1740" s="3" t="str">
        <f t="shared" si="27"/>
        <v/>
      </c>
      <c r="N1740" t="s">
        <v>19</v>
      </c>
    </row>
    <row r="1741" spans="1:14" x14ac:dyDescent="0.3">
      <c r="A1741">
        <v>81</v>
      </c>
      <c r="B1741" t="s">
        <v>519</v>
      </c>
      <c r="C1741" t="s">
        <v>2085</v>
      </c>
      <c r="D1741" t="s">
        <v>3662</v>
      </c>
      <c r="E1741" t="s">
        <v>23</v>
      </c>
      <c r="F1741" t="s">
        <v>3642</v>
      </c>
      <c r="G1741" s="3">
        <v>11.11</v>
      </c>
      <c r="H1741" s="3">
        <v>0</v>
      </c>
      <c r="I1741" s="3">
        <v>11.11</v>
      </c>
      <c r="J1741" s="3">
        <f>Table1[[#This Row],[قيمة الفاتورة]]*0.94-Table1[[#This Row],[قيمة المشاركة]]</f>
        <v>10.443399999999999</v>
      </c>
      <c r="L1741" s="3" t="str">
        <f t="shared" si="27"/>
        <v/>
      </c>
      <c r="N1741" t="s">
        <v>19</v>
      </c>
    </row>
    <row r="1742" spans="1:14" x14ac:dyDescent="0.3">
      <c r="A1742">
        <v>73</v>
      </c>
      <c r="B1742" t="s">
        <v>3239</v>
      </c>
      <c r="C1742" t="s">
        <v>3240</v>
      </c>
      <c r="D1742" t="s">
        <v>3663</v>
      </c>
      <c r="E1742" t="s">
        <v>17</v>
      </c>
      <c r="F1742" t="s">
        <v>3642</v>
      </c>
      <c r="G1742" s="3">
        <v>68.56</v>
      </c>
      <c r="H1742" s="3">
        <v>13.712</v>
      </c>
      <c r="I1742" s="3">
        <v>54.847999999999999</v>
      </c>
      <c r="J1742" s="3">
        <f>Table1[[#This Row],[قيمة الفاتورة]]*0.94-Table1[[#This Row],[قيمة المشاركة]]</f>
        <v>50.734399999999994</v>
      </c>
      <c r="K1742" s="3">
        <v>50.731999999999999</v>
      </c>
      <c r="L1742" s="3">
        <f t="shared" si="27"/>
        <v>2.3999999999944066E-3</v>
      </c>
      <c r="M1742" s="6">
        <v>46188</v>
      </c>
      <c r="N1742" s="6" t="s">
        <v>328</v>
      </c>
    </row>
    <row r="1743" spans="1:14" x14ac:dyDescent="0.3">
      <c r="A1743">
        <v>74</v>
      </c>
      <c r="B1743" t="s">
        <v>3245</v>
      </c>
      <c r="C1743" t="s">
        <v>3246</v>
      </c>
      <c r="D1743" t="s">
        <v>3664</v>
      </c>
      <c r="E1743" t="s">
        <v>23</v>
      </c>
      <c r="F1743" t="s">
        <v>3642</v>
      </c>
      <c r="G1743" s="3">
        <v>44.64</v>
      </c>
      <c r="H1743" s="3">
        <v>8.9280000000000008</v>
      </c>
      <c r="I1743" s="3">
        <v>35.712000000000003</v>
      </c>
      <c r="J1743" s="3">
        <f>Table1[[#This Row],[قيمة الفاتورة]]*0.94-Table1[[#This Row],[قيمة المشاركة]]</f>
        <v>33.033599999999993</v>
      </c>
      <c r="K1743" s="3">
        <v>32.290999999999997</v>
      </c>
      <c r="L1743" s="3">
        <f t="shared" si="27"/>
        <v>0.74259999999999593</v>
      </c>
      <c r="M1743" s="6">
        <v>46188</v>
      </c>
      <c r="N1743" s="6" t="s">
        <v>328</v>
      </c>
    </row>
    <row r="1744" spans="1:14" x14ac:dyDescent="0.3">
      <c r="A1744">
        <v>82</v>
      </c>
      <c r="B1744" t="s">
        <v>3665</v>
      </c>
      <c r="C1744" t="s">
        <v>3666</v>
      </c>
      <c r="D1744" t="s">
        <v>3667</v>
      </c>
      <c r="E1744" t="s">
        <v>17</v>
      </c>
      <c r="F1744" t="s">
        <v>3668</v>
      </c>
      <c r="G1744" s="3">
        <v>34.53</v>
      </c>
      <c r="H1744" s="3">
        <v>6.9059999999999997</v>
      </c>
      <c r="I1744" s="3">
        <v>27.623999999999999</v>
      </c>
      <c r="J1744" s="3">
        <f>Table1[[#This Row],[قيمة الفاتورة]]*0.94-Table1[[#This Row],[قيمة المشاركة]]</f>
        <v>25.552199999999999</v>
      </c>
      <c r="K1744">
        <v>25.550999999999998</v>
      </c>
      <c r="L1744" s="3">
        <f t="shared" si="27"/>
        <v>1.200000000000756E-3</v>
      </c>
      <c r="M1744" t="s">
        <v>3474</v>
      </c>
      <c r="N1744" t="s">
        <v>328</v>
      </c>
    </row>
    <row r="1745" spans="1:14" x14ac:dyDescent="0.3">
      <c r="A1745">
        <v>83</v>
      </c>
      <c r="B1745" t="s">
        <v>2043</v>
      </c>
      <c r="C1745" t="s">
        <v>2044</v>
      </c>
      <c r="D1745" t="s">
        <v>3669</v>
      </c>
      <c r="E1745" t="s">
        <v>23</v>
      </c>
      <c r="F1745" t="s">
        <v>3668</v>
      </c>
      <c r="G1745" s="3">
        <v>15.14</v>
      </c>
      <c r="H1745" s="3">
        <v>0</v>
      </c>
      <c r="I1745" s="3">
        <v>15.14</v>
      </c>
      <c r="J1745" s="3">
        <f>Table1[[#This Row],[قيمة الفاتورة]]*0.94-Table1[[#This Row],[قيمة المشاركة]]</f>
        <v>14.2316</v>
      </c>
      <c r="L1745" s="3" t="str">
        <f t="shared" si="27"/>
        <v/>
      </c>
      <c r="N1745" t="s">
        <v>19</v>
      </c>
    </row>
    <row r="1746" spans="1:14" x14ac:dyDescent="0.3">
      <c r="A1746">
        <v>85</v>
      </c>
      <c r="B1746" t="s">
        <v>3670</v>
      </c>
      <c r="C1746" t="s">
        <v>3671</v>
      </c>
      <c r="D1746" t="s">
        <v>3672</v>
      </c>
      <c r="E1746" t="s">
        <v>23</v>
      </c>
      <c r="F1746" t="s">
        <v>3673</v>
      </c>
      <c r="G1746" s="3">
        <v>36.03</v>
      </c>
      <c r="H1746" s="3">
        <v>7.2060000000000004</v>
      </c>
      <c r="I1746" s="3">
        <v>28.824000000000002</v>
      </c>
      <c r="J1746" s="3">
        <f>Table1[[#This Row],[قيمة الفاتورة]]*0.94-Table1[[#This Row],[قيمة المشاركة]]</f>
        <v>26.662200000000002</v>
      </c>
      <c r="K1746">
        <v>26.661999999999999</v>
      </c>
      <c r="L1746" s="3">
        <f t="shared" si="27"/>
        <v>2.000000000030866E-4</v>
      </c>
      <c r="M1746" t="s">
        <v>3474</v>
      </c>
      <c r="N1746" t="s">
        <v>328</v>
      </c>
    </row>
    <row r="1747" spans="1:14" x14ac:dyDescent="0.3">
      <c r="A1747">
        <v>84</v>
      </c>
      <c r="B1747" t="s">
        <v>3674</v>
      </c>
      <c r="C1747" t="s">
        <v>3675</v>
      </c>
      <c r="D1747" t="s">
        <v>3676</v>
      </c>
      <c r="E1747" t="s">
        <v>23</v>
      </c>
      <c r="F1747" t="s">
        <v>3673</v>
      </c>
      <c r="G1747" s="3">
        <v>53.66</v>
      </c>
      <c r="H1747" s="3">
        <v>10.731999999999999</v>
      </c>
      <c r="I1747" s="3">
        <v>42.927999999999997</v>
      </c>
      <c r="J1747" s="3">
        <f>Table1[[#This Row],[قيمة الفاتورة]]*0.94-Table1[[#This Row],[قيمة المشاركة]]</f>
        <v>39.708399999999997</v>
      </c>
      <c r="K1747">
        <v>39.707999999999998</v>
      </c>
      <c r="L1747" s="3">
        <f t="shared" si="27"/>
        <v>3.9999999999906777E-4</v>
      </c>
      <c r="M1747" t="s">
        <v>3474</v>
      </c>
      <c r="N1747" t="s">
        <v>328</v>
      </c>
    </row>
    <row r="1748" spans="1:14" x14ac:dyDescent="0.3">
      <c r="A1748">
        <v>86</v>
      </c>
      <c r="B1748" t="s">
        <v>2732</v>
      </c>
      <c r="C1748" t="s">
        <v>2733</v>
      </c>
      <c r="D1748" t="s">
        <v>3677</v>
      </c>
      <c r="E1748" t="s">
        <v>23</v>
      </c>
      <c r="F1748" t="s">
        <v>3673</v>
      </c>
      <c r="G1748" s="3">
        <v>43.81</v>
      </c>
      <c r="H1748" s="3">
        <v>8.7620000000000005</v>
      </c>
      <c r="I1748" s="3">
        <v>35.048000000000002</v>
      </c>
      <c r="J1748" s="3">
        <f>Table1[[#This Row],[قيمة الفاتورة]]*0.94-Table1[[#This Row],[قيمة المشاركة]]</f>
        <v>32.419399999999996</v>
      </c>
      <c r="K1748">
        <v>32.418999999999997</v>
      </c>
      <c r="L1748" s="3">
        <f t="shared" si="27"/>
        <v>3.9999999999906777E-4</v>
      </c>
      <c r="M1748" t="s">
        <v>3474</v>
      </c>
      <c r="N1748" t="s">
        <v>328</v>
      </c>
    </row>
    <row r="1749" spans="1:14" x14ac:dyDescent="0.3">
      <c r="A1749">
        <v>325</v>
      </c>
      <c r="B1749" t="s">
        <v>2432</v>
      </c>
      <c r="C1749" t="s">
        <v>2433</v>
      </c>
      <c r="D1749" t="s">
        <v>3678</v>
      </c>
      <c r="E1749" t="s">
        <v>23</v>
      </c>
      <c r="F1749" t="s">
        <v>3673</v>
      </c>
      <c r="G1749" s="3">
        <v>2.75</v>
      </c>
      <c r="H1749" s="3">
        <v>0</v>
      </c>
      <c r="I1749" s="3">
        <v>2.75</v>
      </c>
      <c r="J1749" s="3">
        <f>Table1[[#This Row],[قيمة الفاتورة]]*0.94-Table1[[#This Row],[قيمة المشاركة]]</f>
        <v>2.585</v>
      </c>
      <c r="L1749" s="3" t="str">
        <f t="shared" si="27"/>
        <v/>
      </c>
      <c r="N1749" t="s">
        <v>19</v>
      </c>
    </row>
    <row r="1750" spans="1:14" x14ac:dyDescent="0.3">
      <c r="A1750">
        <v>88</v>
      </c>
      <c r="B1750" t="s">
        <v>2007</v>
      </c>
      <c r="C1750" t="s">
        <v>2008</v>
      </c>
      <c r="D1750" t="s">
        <v>3679</v>
      </c>
      <c r="E1750" t="s">
        <v>23</v>
      </c>
      <c r="F1750" t="s">
        <v>3680</v>
      </c>
      <c r="G1750" s="3">
        <v>30.57</v>
      </c>
      <c r="H1750" s="3">
        <v>6.1139999999999999</v>
      </c>
      <c r="I1750" s="3">
        <v>24.456</v>
      </c>
      <c r="J1750" s="3">
        <f>Table1[[#This Row],[قيمة الفاتورة]]*0.94-Table1[[#This Row],[قيمة المشاركة]]</f>
        <v>22.621799999999997</v>
      </c>
      <c r="K1750">
        <v>22.622</v>
      </c>
      <c r="L1750" s="3">
        <f t="shared" si="27"/>
        <v>-2.000000000030866E-4</v>
      </c>
      <c r="M1750" t="s">
        <v>3474</v>
      </c>
      <c r="N1750" t="s">
        <v>328</v>
      </c>
    </row>
    <row r="1751" spans="1:14" x14ac:dyDescent="0.3">
      <c r="A1751">
        <v>327</v>
      </c>
      <c r="B1751" t="s">
        <v>2709</v>
      </c>
      <c r="C1751" t="s">
        <v>2710</v>
      </c>
      <c r="D1751" t="s">
        <v>3681</v>
      </c>
      <c r="E1751" t="s">
        <v>23</v>
      </c>
      <c r="F1751" t="s">
        <v>3680</v>
      </c>
      <c r="G1751" s="3">
        <v>3.58</v>
      </c>
      <c r="H1751" s="3">
        <v>0</v>
      </c>
      <c r="I1751" s="3">
        <v>3.58</v>
      </c>
      <c r="J1751" s="3">
        <f>Table1[[#This Row],[قيمة الفاتورة]]*0.94-Table1[[#This Row],[قيمة المشاركة]]</f>
        <v>3.3651999999999997</v>
      </c>
      <c r="L1751" s="3" t="str">
        <f t="shared" si="27"/>
        <v/>
      </c>
      <c r="N1751" t="s">
        <v>19</v>
      </c>
    </row>
    <row r="1752" spans="1:14" x14ac:dyDescent="0.3">
      <c r="A1752">
        <v>89</v>
      </c>
      <c r="B1752" t="s">
        <v>176</v>
      </c>
      <c r="C1752" t="s">
        <v>177</v>
      </c>
      <c r="D1752" t="s">
        <v>3682</v>
      </c>
      <c r="E1752" t="s">
        <v>17</v>
      </c>
      <c r="F1752" t="s">
        <v>3680</v>
      </c>
      <c r="G1752" s="3">
        <v>5.87</v>
      </c>
      <c r="H1752" s="3">
        <v>0</v>
      </c>
      <c r="I1752" s="3">
        <v>5.87</v>
      </c>
      <c r="J1752" s="3">
        <f>Table1[[#This Row],[قيمة الفاتورة]]*0.94-Table1[[#This Row],[قيمة المشاركة]]</f>
        <v>5.5177999999999994</v>
      </c>
      <c r="L1752" s="3" t="str">
        <f t="shared" si="27"/>
        <v/>
      </c>
      <c r="N1752" t="s">
        <v>19</v>
      </c>
    </row>
    <row r="1753" spans="1:14" x14ac:dyDescent="0.3">
      <c r="A1753">
        <v>87</v>
      </c>
      <c r="B1753" t="s">
        <v>3683</v>
      </c>
      <c r="C1753" t="s">
        <v>3684</v>
      </c>
      <c r="D1753" t="s">
        <v>3685</v>
      </c>
      <c r="E1753" t="s">
        <v>23</v>
      </c>
      <c r="F1753" t="s">
        <v>3680</v>
      </c>
      <c r="G1753" s="3">
        <v>31.72</v>
      </c>
      <c r="H1753" s="3">
        <v>0</v>
      </c>
      <c r="I1753" s="3">
        <v>31.72</v>
      </c>
      <c r="J1753" s="3">
        <f>Table1[[#This Row],[قيمة الفاتورة]]*0.94-Table1[[#This Row],[قيمة المشاركة]]</f>
        <v>29.816799999999997</v>
      </c>
      <c r="L1753" s="3" t="str">
        <f t="shared" si="27"/>
        <v/>
      </c>
      <c r="N1753" t="s">
        <v>19</v>
      </c>
    </row>
    <row r="1754" spans="1:14" x14ac:dyDescent="0.3">
      <c r="A1754">
        <v>326</v>
      </c>
      <c r="B1754" t="s">
        <v>1283</v>
      </c>
      <c r="C1754" t="s">
        <v>1284</v>
      </c>
      <c r="D1754" t="s">
        <v>3686</v>
      </c>
      <c r="E1754" t="s">
        <v>23</v>
      </c>
      <c r="F1754" t="s">
        <v>3680</v>
      </c>
      <c r="G1754" s="3">
        <v>11.4</v>
      </c>
      <c r="H1754" s="3">
        <v>0</v>
      </c>
      <c r="I1754" s="3">
        <v>11.4</v>
      </c>
      <c r="J1754" s="3">
        <f>Table1[[#This Row],[قيمة الفاتورة]]*0.94-Table1[[#This Row],[قيمة المشاركة]]</f>
        <v>10.715999999999999</v>
      </c>
      <c r="L1754" s="3" t="str">
        <f t="shared" si="27"/>
        <v/>
      </c>
      <c r="N1754" t="s">
        <v>19</v>
      </c>
    </row>
    <row r="1755" spans="1:14" x14ac:dyDescent="0.3">
      <c r="A1755">
        <v>90</v>
      </c>
      <c r="B1755" t="s">
        <v>930</v>
      </c>
      <c r="C1755" t="s">
        <v>2378</v>
      </c>
      <c r="D1755" t="s">
        <v>3687</v>
      </c>
      <c r="E1755" t="s">
        <v>23</v>
      </c>
      <c r="F1755" t="s">
        <v>3680</v>
      </c>
      <c r="G1755" s="3">
        <v>20.64</v>
      </c>
      <c r="H1755" s="3">
        <v>0</v>
      </c>
      <c r="I1755" s="3">
        <v>20.64</v>
      </c>
      <c r="J1755" s="3">
        <f>Table1[[#This Row],[قيمة الفاتورة]]*0.94-Table1[[#This Row],[قيمة المشاركة]]</f>
        <v>19.401599999999998</v>
      </c>
      <c r="L1755" s="3" t="str">
        <f t="shared" si="27"/>
        <v/>
      </c>
      <c r="N1755" t="s">
        <v>19</v>
      </c>
    </row>
    <row r="1756" spans="1:14" x14ac:dyDescent="0.3">
      <c r="A1756">
        <v>93</v>
      </c>
      <c r="B1756" t="s">
        <v>3688</v>
      </c>
      <c r="C1756" t="s">
        <v>3689</v>
      </c>
      <c r="D1756" t="s">
        <v>3690</v>
      </c>
      <c r="E1756" t="s">
        <v>23</v>
      </c>
      <c r="F1756" t="s">
        <v>3691</v>
      </c>
      <c r="G1756" s="3">
        <v>11.83</v>
      </c>
      <c r="H1756" s="3">
        <v>2.3660000000000001</v>
      </c>
      <c r="I1756" s="3">
        <v>9.4640000000000004</v>
      </c>
      <c r="J1756" s="3">
        <f>Table1[[#This Row],[قيمة الفاتورة]]*0.94-Table1[[#This Row],[قيمة المشاركة]]</f>
        <v>8.7541999999999991</v>
      </c>
      <c r="K1756">
        <v>8.7550000000000008</v>
      </c>
      <c r="L1756" s="3">
        <f t="shared" si="27"/>
        <v>-8.0000000000168825E-4</v>
      </c>
      <c r="M1756" t="s">
        <v>3474</v>
      </c>
      <c r="N1756" t="s">
        <v>328</v>
      </c>
    </row>
    <row r="1757" spans="1:14" x14ac:dyDescent="0.3">
      <c r="A1757">
        <v>329</v>
      </c>
      <c r="B1757" t="s">
        <v>3692</v>
      </c>
      <c r="C1757" t="s">
        <v>3693</v>
      </c>
      <c r="D1757" t="s">
        <v>3694</v>
      </c>
      <c r="E1757" t="s">
        <v>17</v>
      </c>
      <c r="F1757" t="s">
        <v>3691</v>
      </c>
      <c r="G1757" s="3">
        <v>36.520000000000003</v>
      </c>
      <c r="H1757" s="3">
        <v>7.3040000000000003</v>
      </c>
      <c r="I1757" s="3">
        <v>29.216000000000001</v>
      </c>
      <c r="J1757" s="3">
        <f>Table1[[#This Row],[قيمة الفاتورة]]*0.94-Table1[[#This Row],[قيمة المشاركة]]</f>
        <v>27.024799999999999</v>
      </c>
      <c r="K1757">
        <v>27.024999999999999</v>
      </c>
      <c r="L1757" s="3">
        <f t="shared" si="27"/>
        <v>-1.9999999999953388E-4</v>
      </c>
      <c r="M1757" t="s">
        <v>3474</v>
      </c>
      <c r="N1757" t="s">
        <v>328</v>
      </c>
    </row>
    <row r="1758" spans="1:14" x14ac:dyDescent="0.3">
      <c r="A1758">
        <v>328</v>
      </c>
      <c r="B1758" t="s">
        <v>3695</v>
      </c>
      <c r="C1758" t="s">
        <v>3696</v>
      </c>
      <c r="D1758" t="s">
        <v>3697</v>
      </c>
      <c r="E1758" t="s">
        <v>17</v>
      </c>
      <c r="F1758" t="s">
        <v>3691</v>
      </c>
      <c r="G1758" s="3">
        <v>30.876000000000001</v>
      </c>
      <c r="H1758" s="3">
        <v>6.1749999999999998</v>
      </c>
      <c r="I1758" s="3">
        <v>24.701000000000001</v>
      </c>
      <c r="J1758" s="3">
        <f>Table1[[#This Row],[قيمة الفاتورة]]*0.94-Table1[[#This Row],[قيمة المشاركة]]</f>
        <v>22.84844</v>
      </c>
      <c r="K1758">
        <v>22.844000000000001</v>
      </c>
      <c r="L1758" s="3">
        <f t="shared" si="27"/>
        <v>4.4399999999988893E-3</v>
      </c>
      <c r="M1758" t="s">
        <v>3474</v>
      </c>
      <c r="N1758" t="s">
        <v>328</v>
      </c>
    </row>
    <row r="1759" spans="1:14" x14ac:dyDescent="0.3">
      <c r="A1759">
        <v>91</v>
      </c>
      <c r="B1759" t="s">
        <v>3174</v>
      </c>
      <c r="C1759" t="s">
        <v>3175</v>
      </c>
      <c r="D1759" t="s">
        <v>3698</v>
      </c>
      <c r="E1759" t="s">
        <v>23</v>
      </c>
      <c r="F1759" t="s">
        <v>3691</v>
      </c>
      <c r="G1759" s="3">
        <v>9.09</v>
      </c>
      <c r="H1759" s="3">
        <v>1.363</v>
      </c>
      <c r="I1759" s="3">
        <v>7.7270000000000003</v>
      </c>
      <c r="J1759" s="3">
        <f>Table1[[#This Row],[قيمة الفاتورة]]*0.94-Table1[[#This Row],[قيمة المشاركة]]</f>
        <v>7.1815999999999995</v>
      </c>
      <c r="K1759">
        <v>5.883</v>
      </c>
      <c r="L1759" s="3">
        <f t="shared" si="27"/>
        <v>1.2985999999999995</v>
      </c>
      <c r="M1759" t="s">
        <v>3474</v>
      </c>
      <c r="N1759" t="s">
        <v>328</v>
      </c>
    </row>
    <row r="1760" spans="1:14" x14ac:dyDescent="0.3">
      <c r="A1760">
        <v>92</v>
      </c>
      <c r="B1760" t="s">
        <v>3151</v>
      </c>
      <c r="C1760" t="s">
        <v>3152</v>
      </c>
      <c r="D1760" t="s">
        <v>3699</v>
      </c>
      <c r="E1760" t="s">
        <v>17</v>
      </c>
      <c r="F1760" t="s">
        <v>3691</v>
      </c>
      <c r="G1760" s="3">
        <v>20.55</v>
      </c>
      <c r="H1760" s="3">
        <v>3.0819999999999999</v>
      </c>
      <c r="I1760" s="3">
        <v>17.468</v>
      </c>
      <c r="J1760" s="3">
        <f>Table1[[#This Row],[قيمة الفاتورة]]*0.94-Table1[[#This Row],[قيمة المشاركة]]</f>
        <v>16.234999999999999</v>
      </c>
      <c r="K1760">
        <v>14.19</v>
      </c>
      <c r="L1760" s="3">
        <f t="shared" si="27"/>
        <v>2.0449999999999999</v>
      </c>
      <c r="M1760" t="s">
        <v>3474</v>
      </c>
      <c r="N1760" t="s">
        <v>328</v>
      </c>
    </row>
    <row r="1761" spans="1:14" x14ac:dyDescent="0.3">
      <c r="A1761">
        <v>94</v>
      </c>
      <c r="B1761" t="s">
        <v>720</v>
      </c>
      <c r="C1761" t="s">
        <v>721</v>
      </c>
      <c r="D1761" t="s">
        <v>3700</v>
      </c>
      <c r="E1761" t="s">
        <v>17</v>
      </c>
      <c r="F1761" t="s">
        <v>3691</v>
      </c>
      <c r="G1761" s="3">
        <v>46.18</v>
      </c>
      <c r="H1761" s="3">
        <v>0</v>
      </c>
      <c r="I1761" s="3">
        <v>46.18</v>
      </c>
      <c r="J1761" s="3">
        <f>Table1[[#This Row],[قيمة الفاتورة]]*0.94-Table1[[#This Row],[قيمة المشاركة]]</f>
        <v>43.409199999999998</v>
      </c>
      <c r="L1761" s="3" t="str">
        <f t="shared" si="27"/>
        <v/>
      </c>
      <c r="N1761" t="s">
        <v>19</v>
      </c>
    </row>
    <row r="1762" spans="1:14" x14ac:dyDescent="0.3">
      <c r="A1762">
        <v>96</v>
      </c>
      <c r="B1762" t="s">
        <v>42</v>
      </c>
      <c r="C1762" t="s">
        <v>43</v>
      </c>
      <c r="D1762" t="s">
        <v>3701</v>
      </c>
      <c r="E1762" t="s">
        <v>23</v>
      </c>
      <c r="F1762" t="s">
        <v>3691</v>
      </c>
      <c r="G1762" s="3">
        <v>6.22</v>
      </c>
      <c r="H1762" s="3">
        <v>0</v>
      </c>
      <c r="I1762" s="3">
        <v>6.22</v>
      </c>
      <c r="J1762" s="3">
        <f>Table1[[#This Row],[قيمة الفاتورة]]*0.94-Table1[[#This Row],[قيمة المشاركة]]</f>
        <v>5.8467999999999991</v>
      </c>
      <c r="L1762" s="3" t="str">
        <f t="shared" si="27"/>
        <v/>
      </c>
      <c r="N1762" t="s">
        <v>19</v>
      </c>
    </row>
    <row r="1763" spans="1:14" x14ac:dyDescent="0.3">
      <c r="A1763">
        <v>330</v>
      </c>
      <c r="B1763" t="s">
        <v>1642</v>
      </c>
      <c r="C1763" t="s">
        <v>1643</v>
      </c>
      <c r="D1763" t="s">
        <v>3702</v>
      </c>
      <c r="E1763" t="s">
        <v>23</v>
      </c>
      <c r="F1763" t="s">
        <v>3691</v>
      </c>
      <c r="G1763" s="3">
        <v>14.46</v>
      </c>
      <c r="H1763" s="3">
        <v>0</v>
      </c>
      <c r="I1763" s="3">
        <v>14.46</v>
      </c>
      <c r="J1763" s="3">
        <f>Table1[[#This Row],[قيمة الفاتورة]]*0.94-Table1[[#This Row],[قيمة المشاركة]]</f>
        <v>13.5924</v>
      </c>
      <c r="L1763" s="3" t="str">
        <f t="shared" si="27"/>
        <v/>
      </c>
      <c r="N1763" t="s">
        <v>19</v>
      </c>
    </row>
    <row r="1764" spans="1:14" x14ac:dyDescent="0.3">
      <c r="A1764">
        <v>95</v>
      </c>
      <c r="B1764" t="s">
        <v>519</v>
      </c>
      <c r="C1764" t="s">
        <v>520</v>
      </c>
      <c r="D1764" t="s">
        <v>3703</v>
      </c>
      <c r="E1764" t="s">
        <v>23</v>
      </c>
      <c r="F1764" t="s">
        <v>3691</v>
      </c>
      <c r="G1764" s="3">
        <v>5.27</v>
      </c>
      <c r="H1764" s="3">
        <v>0</v>
      </c>
      <c r="I1764" s="3">
        <v>5.27</v>
      </c>
      <c r="J1764" s="3">
        <f>Table1[[#This Row],[قيمة الفاتورة]]*0.94-Table1[[#This Row],[قيمة المشاركة]]</f>
        <v>4.9537999999999993</v>
      </c>
      <c r="L1764" s="3" t="str">
        <f t="shared" si="27"/>
        <v/>
      </c>
      <c r="N1764" t="s">
        <v>19</v>
      </c>
    </row>
    <row r="1765" spans="1:14" x14ac:dyDescent="0.3">
      <c r="A1765">
        <v>100</v>
      </c>
      <c r="B1765" t="s">
        <v>2812</v>
      </c>
      <c r="C1765" t="s">
        <v>2813</v>
      </c>
      <c r="D1765" t="s">
        <v>3704</v>
      </c>
      <c r="E1765" t="s">
        <v>23</v>
      </c>
      <c r="F1765" t="s">
        <v>3705</v>
      </c>
      <c r="G1765" s="3">
        <v>44.28</v>
      </c>
      <c r="H1765" s="3">
        <v>8.8559999999999999</v>
      </c>
      <c r="I1765" s="3">
        <v>35.423999999999999</v>
      </c>
      <c r="J1765" s="3">
        <f>Table1[[#This Row],[قيمة الفاتورة]]*0.94-Table1[[#This Row],[قيمة المشاركة]]</f>
        <v>32.767199999999995</v>
      </c>
      <c r="K1765">
        <v>32.767000000000003</v>
      </c>
      <c r="L1765" s="3">
        <f t="shared" si="27"/>
        <v>1.9999999999242846E-4</v>
      </c>
      <c r="M1765" t="s">
        <v>3474</v>
      </c>
      <c r="N1765" t="s">
        <v>328</v>
      </c>
    </row>
    <row r="1766" spans="1:14" x14ac:dyDescent="0.3">
      <c r="A1766">
        <v>99</v>
      </c>
      <c r="B1766" t="s">
        <v>2815</v>
      </c>
      <c r="C1766" t="s">
        <v>2816</v>
      </c>
      <c r="D1766" t="s">
        <v>3706</v>
      </c>
      <c r="E1766" t="s">
        <v>23</v>
      </c>
      <c r="F1766" t="s">
        <v>3705</v>
      </c>
      <c r="G1766" s="3">
        <v>48.33</v>
      </c>
      <c r="H1766" s="3">
        <v>9.6660000000000004</v>
      </c>
      <c r="I1766" s="3">
        <v>38.664000000000001</v>
      </c>
      <c r="J1766" s="3">
        <f>Table1[[#This Row],[قيمة الفاتورة]]*0.94-Table1[[#This Row],[قيمة المشاركة]]</f>
        <v>35.764200000000002</v>
      </c>
      <c r="K1766">
        <v>35.764000000000003</v>
      </c>
      <c r="L1766" s="3">
        <f t="shared" si="27"/>
        <v>1.9999999999953388E-4</v>
      </c>
      <c r="M1766" t="s">
        <v>3474</v>
      </c>
      <c r="N1766" t="s">
        <v>328</v>
      </c>
    </row>
    <row r="1767" spans="1:14" x14ac:dyDescent="0.3">
      <c r="A1767">
        <v>101</v>
      </c>
      <c r="B1767" t="s">
        <v>3707</v>
      </c>
      <c r="C1767" t="s">
        <v>3708</v>
      </c>
      <c r="D1767" t="s">
        <v>3709</v>
      </c>
      <c r="E1767" t="s">
        <v>17</v>
      </c>
      <c r="F1767" t="s">
        <v>3705</v>
      </c>
      <c r="G1767" s="3">
        <v>44.52</v>
      </c>
      <c r="H1767" s="3">
        <v>8.9039999999999999</v>
      </c>
      <c r="I1767" s="3">
        <v>35.616</v>
      </c>
      <c r="J1767" s="3">
        <f>Table1[[#This Row],[قيمة الفاتورة]]*0.94-Table1[[#This Row],[قيمة المشاركة]]</f>
        <v>32.944800000000001</v>
      </c>
      <c r="K1767">
        <v>32.944000000000003</v>
      </c>
      <c r="L1767" s="3">
        <f t="shared" si="27"/>
        <v>7.9999999999813554E-4</v>
      </c>
      <c r="M1767" t="s">
        <v>3474</v>
      </c>
      <c r="N1767" t="s">
        <v>328</v>
      </c>
    </row>
    <row r="1768" spans="1:14" x14ac:dyDescent="0.3">
      <c r="A1768">
        <v>98</v>
      </c>
      <c r="B1768" t="s">
        <v>526</v>
      </c>
      <c r="C1768" t="s">
        <v>726</v>
      </c>
      <c r="D1768" t="s">
        <v>3710</v>
      </c>
      <c r="E1768" t="s">
        <v>23</v>
      </c>
      <c r="F1768" t="s">
        <v>3705</v>
      </c>
      <c r="G1768" s="3">
        <v>17.09</v>
      </c>
      <c r="H1768" s="3">
        <v>0</v>
      </c>
      <c r="I1768" s="3">
        <v>17.09</v>
      </c>
      <c r="J1768" s="3">
        <f>Table1[[#This Row],[قيمة الفاتورة]]*0.94-Table1[[#This Row],[قيمة المشاركة]]</f>
        <v>16.064599999999999</v>
      </c>
      <c r="L1768" s="3" t="str">
        <f t="shared" si="27"/>
        <v/>
      </c>
      <c r="N1768" t="s">
        <v>19</v>
      </c>
    </row>
    <row r="1769" spans="1:14" x14ac:dyDescent="0.3">
      <c r="A1769">
        <v>97</v>
      </c>
      <c r="B1769" t="s">
        <v>891</v>
      </c>
      <c r="C1769" t="s">
        <v>1489</v>
      </c>
      <c r="D1769" t="s">
        <v>3711</v>
      </c>
      <c r="E1769" t="s">
        <v>17</v>
      </c>
      <c r="F1769" t="s">
        <v>3705</v>
      </c>
      <c r="G1769" s="3">
        <v>20.68</v>
      </c>
      <c r="H1769" s="3">
        <v>3.1019999999999999</v>
      </c>
      <c r="I1769" s="3">
        <v>17.577999999999999</v>
      </c>
      <c r="J1769" s="3">
        <f>Table1[[#This Row],[قيمة الفاتورة]]*0.94-Table1[[#This Row],[قيمة المشاركة]]</f>
        <v>16.337199999999999</v>
      </c>
      <c r="L1769" s="3" t="str">
        <f t="shared" si="27"/>
        <v/>
      </c>
      <c r="N1769" t="s">
        <v>19</v>
      </c>
    </row>
    <row r="1770" spans="1:14" x14ac:dyDescent="0.3">
      <c r="A1770">
        <v>104</v>
      </c>
      <c r="B1770" t="s">
        <v>45</v>
      </c>
      <c r="C1770" t="s">
        <v>46</v>
      </c>
      <c r="D1770" t="s">
        <v>3712</v>
      </c>
      <c r="E1770" t="s">
        <v>23</v>
      </c>
      <c r="F1770" t="s">
        <v>3705</v>
      </c>
      <c r="G1770" s="3">
        <v>8.2899999999999991</v>
      </c>
      <c r="H1770" s="3">
        <v>0</v>
      </c>
      <c r="I1770" s="3">
        <v>8.2899999999999991</v>
      </c>
      <c r="J1770" s="3">
        <f>Table1[[#This Row],[قيمة الفاتورة]]*0.94-Table1[[#This Row],[قيمة المشاركة]]</f>
        <v>7.7925999999999984</v>
      </c>
      <c r="L1770" s="3" t="str">
        <f t="shared" si="27"/>
        <v/>
      </c>
      <c r="N1770" t="s">
        <v>19</v>
      </c>
    </row>
    <row r="1771" spans="1:14" x14ac:dyDescent="0.3">
      <c r="A1771">
        <v>102</v>
      </c>
      <c r="B1771" t="s">
        <v>49</v>
      </c>
      <c r="C1771" t="s">
        <v>3713</v>
      </c>
      <c r="D1771" t="s">
        <v>3714</v>
      </c>
      <c r="E1771" t="s">
        <v>17</v>
      </c>
      <c r="F1771" t="s">
        <v>3705</v>
      </c>
      <c r="G1771" s="3">
        <v>10.029999999999999</v>
      </c>
      <c r="H1771" s="3">
        <v>0</v>
      </c>
      <c r="I1771" s="3">
        <v>10.029999999999999</v>
      </c>
      <c r="J1771" s="3">
        <f>Table1[[#This Row],[قيمة الفاتورة]]*0.94-Table1[[#This Row],[قيمة المشاركة]]</f>
        <v>9.4281999999999986</v>
      </c>
      <c r="L1771" s="3" t="str">
        <f t="shared" si="27"/>
        <v/>
      </c>
      <c r="N1771" t="s">
        <v>19</v>
      </c>
    </row>
    <row r="1772" spans="1:14" x14ac:dyDescent="0.3">
      <c r="A1772">
        <v>103</v>
      </c>
      <c r="B1772" t="s">
        <v>2207</v>
      </c>
      <c r="C1772" t="s">
        <v>1733</v>
      </c>
      <c r="D1772" t="s">
        <v>3715</v>
      </c>
      <c r="E1772" t="s">
        <v>23</v>
      </c>
      <c r="F1772" t="s">
        <v>3705</v>
      </c>
      <c r="G1772" s="3">
        <v>18.39</v>
      </c>
      <c r="H1772" s="3">
        <v>0</v>
      </c>
      <c r="I1772" s="3">
        <v>18.39</v>
      </c>
      <c r="J1772" s="3">
        <f>Table1[[#This Row],[قيمة الفاتورة]]*0.94-Table1[[#This Row],[قيمة المشاركة]]</f>
        <v>17.2866</v>
      </c>
      <c r="L1772" s="3" t="str">
        <f t="shared" si="27"/>
        <v/>
      </c>
      <c r="N1772" t="s">
        <v>19</v>
      </c>
    </row>
    <row r="1773" spans="1:14" x14ac:dyDescent="0.3">
      <c r="A1773">
        <v>110</v>
      </c>
      <c r="B1773" t="s">
        <v>3716</v>
      </c>
      <c r="C1773" t="s">
        <v>456</v>
      </c>
      <c r="D1773" t="s">
        <v>3717</v>
      </c>
      <c r="E1773" t="s">
        <v>17</v>
      </c>
      <c r="F1773" t="s">
        <v>3718</v>
      </c>
      <c r="G1773" s="3">
        <v>28.96</v>
      </c>
      <c r="H1773" s="3">
        <v>5.7919999999999998</v>
      </c>
      <c r="I1773" s="3">
        <v>23.167999999999999</v>
      </c>
      <c r="J1773" s="3">
        <f>Table1[[#This Row],[قيمة الفاتورة]]*0.94-Table1[[#This Row],[قيمة المشاركة]]</f>
        <v>21.430399999999999</v>
      </c>
      <c r="K1773">
        <v>21.431000000000001</v>
      </c>
      <c r="L1773" s="3">
        <f t="shared" si="27"/>
        <v>-6.0000000000215437E-4</v>
      </c>
      <c r="M1773" t="s">
        <v>3474</v>
      </c>
      <c r="N1773" t="s">
        <v>328</v>
      </c>
    </row>
    <row r="1774" spans="1:14" x14ac:dyDescent="0.3">
      <c r="A1774">
        <v>111</v>
      </c>
      <c r="B1774" t="s">
        <v>3719</v>
      </c>
      <c r="C1774" t="s">
        <v>3720</v>
      </c>
      <c r="D1774" t="s">
        <v>3721</v>
      </c>
      <c r="E1774" t="s">
        <v>23</v>
      </c>
      <c r="F1774" t="s">
        <v>3718</v>
      </c>
      <c r="G1774" s="3">
        <v>32.74</v>
      </c>
      <c r="H1774" s="3">
        <v>6.548</v>
      </c>
      <c r="I1774" s="3">
        <v>26.192</v>
      </c>
      <c r="J1774" s="3">
        <f>Table1[[#This Row],[قيمة الفاتورة]]*0.94-Table1[[#This Row],[قيمة المشاركة]]</f>
        <v>24.227600000000002</v>
      </c>
      <c r="K1774">
        <v>24.228000000000002</v>
      </c>
      <c r="L1774" s="3">
        <f t="shared" si="27"/>
        <v>-3.9999999999906777E-4</v>
      </c>
      <c r="M1774" t="s">
        <v>3474</v>
      </c>
      <c r="N1774" t="s">
        <v>328</v>
      </c>
    </row>
    <row r="1775" spans="1:14" x14ac:dyDescent="0.3">
      <c r="A1775">
        <v>112</v>
      </c>
      <c r="B1775" t="s">
        <v>3722</v>
      </c>
      <c r="C1775" t="s">
        <v>3723</v>
      </c>
      <c r="D1775" t="s">
        <v>3724</v>
      </c>
      <c r="E1775" t="s">
        <v>17</v>
      </c>
      <c r="F1775" t="s">
        <v>3718</v>
      </c>
      <c r="G1775" s="3">
        <v>29.4</v>
      </c>
      <c r="H1775" s="3">
        <v>5.88</v>
      </c>
      <c r="I1775" s="3">
        <v>23.52</v>
      </c>
      <c r="J1775" s="3">
        <f>Table1[[#This Row],[قيمة الفاتورة]]*0.94-Table1[[#This Row],[قيمة المشاركة]]</f>
        <v>21.755999999999997</v>
      </c>
      <c r="K1775">
        <v>21.756</v>
      </c>
      <c r="L1775" s="3">
        <f t="shared" si="27"/>
        <v>-3.5527136788005009E-15</v>
      </c>
      <c r="M1775" t="s">
        <v>3474</v>
      </c>
      <c r="N1775" t="s">
        <v>328</v>
      </c>
    </row>
    <row r="1776" spans="1:14" x14ac:dyDescent="0.3">
      <c r="A1776">
        <v>107</v>
      </c>
      <c r="B1776" t="s">
        <v>3725</v>
      </c>
      <c r="C1776" t="s">
        <v>3726</v>
      </c>
      <c r="D1776" t="s">
        <v>3727</v>
      </c>
      <c r="E1776" t="s">
        <v>23</v>
      </c>
      <c r="F1776" t="s">
        <v>3718</v>
      </c>
      <c r="G1776" s="3">
        <v>46.53</v>
      </c>
      <c r="H1776" s="3">
        <v>9.3059999999999992</v>
      </c>
      <c r="I1776" s="3">
        <v>37.223999999999997</v>
      </c>
      <c r="J1776" s="3">
        <f>Table1[[#This Row],[قيمة الفاتورة]]*0.94-Table1[[#This Row],[قيمة المشاركة]]</f>
        <v>34.432200000000002</v>
      </c>
      <c r="K1776">
        <v>34.432000000000002</v>
      </c>
      <c r="L1776" s="3">
        <f t="shared" si="27"/>
        <v>1.9999999999953388E-4</v>
      </c>
      <c r="M1776" t="s">
        <v>3474</v>
      </c>
      <c r="N1776" t="s">
        <v>328</v>
      </c>
    </row>
    <row r="1777" spans="1:14" x14ac:dyDescent="0.3">
      <c r="A1777">
        <v>113</v>
      </c>
      <c r="B1777" t="s">
        <v>3456</v>
      </c>
      <c r="C1777" t="s">
        <v>3457</v>
      </c>
      <c r="D1777" t="s">
        <v>3728</v>
      </c>
      <c r="E1777" t="s">
        <v>23</v>
      </c>
      <c r="F1777" t="s">
        <v>3718</v>
      </c>
      <c r="G1777" s="3">
        <v>39.47</v>
      </c>
      <c r="H1777" s="3">
        <v>7.8940000000000001</v>
      </c>
      <c r="I1777" s="3">
        <v>31.576000000000001</v>
      </c>
      <c r="J1777" s="3">
        <f>Table1[[#This Row],[قيمة الفاتورة]]*0.94-Table1[[#This Row],[قيمة المشاركة]]</f>
        <v>29.207799999999999</v>
      </c>
      <c r="K1777">
        <v>28.474</v>
      </c>
      <c r="L1777" s="3">
        <f t="shared" si="27"/>
        <v>0.73379999999999868</v>
      </c>
      <c r="M1777" t="s">
        <v>3474</v>
      </c>
      <c r="N1777" t="s">
        <v>328</v>
      </c>
    </row>
    <row r="1778" spans="1:14" x14ac:dyDescent="0.3">
      <c r="A1778">
        <v>109</v>
      </c>
      <c r="B1778" t="s">
        <v>3729</v>
      </c>
      <c r="C1778" t="s">
        <v>3730</v>
      </c>
      <c r="D1778" t="s">
        <v>3731</v>
      </c>
      <c r="E1778" t="s">
        <v>23</v>
      </c>
      <c r="F1778" t="s">
        <v>3718</v>
      </c>
      <c r="G1778" s="3">
        <v>33</v>
      </c>
      <c r="H1778" s="3">
        <v>6.6</v>
      </c>
      <c r="I1778" s="3">
        <v>26.4</v>
      </c>
      <c r="J1778" s="3">
        <f>Table1[[#This Row],[قيمة الفاتورة]]*0.94-Table1[[#This Row],[قيمة المشاركة]]</f>
        <v>24.42</v>
      </c>
      <c r="K1778">
        <v>23.545000000000002</v>
      </c>
      <c r="L1778" s="3">
        <f t="shared" si="27"/>
        <v>0.875</v>
      </c>
      <c r="M1778" t="s">
        <v>3474</v>
      </c>
      <c r="N1778" t="s">
        <v>328</v>
      </c>
    </row>
    <row r="1779" spans="1:14" x14ac:dyDescent="0.3">
      <c r="A1779" s="7">
        <v>108</v>
      </c>
      <c r="B1779" s="7" t="s">
        <v>3732</v>
      </c>
      <c r="C1779" s="7" t="s">
        <v>3733</v>
      </c>
      <c r="D1779" s="7" t="s">
        <v>3734</v>
      </c>
      <c r="E1779" s="7" t="s">
        <v>23</v>
      </c>
      <c r="F1779" s="7" t="s">
        <v>3718</v>
      </c>
      <c r="G1779" s="8">
        <v>14.36</v>
      </c>
      <c r="H1779" s="8">
        <v>2.8719999999999999</v>
      </c>
      <c r="I1779" s="8">
        <v>11.488</v>
      </c>
      <c r="J1779" s="8">
        <f>Table1[[#This Row],[قيمة الفاتورة]]*0.94-Table1[[#This Row],[قيمة المشاركة]]</f>
        <v>10.626399999999999</v>
      </c>
      <c r="L1779" s="3" t="str">
        <f t="shared" si="27"/>
        <v/>
      </c>
      <c r="N1779" t="s">
        <v>328</v>
      </c>
    </row>
    <row r="1780" spans="1:14" x14ac:dyDescent="0.3">
      <c r="A1780">
        <v>331</v>
      </c>
      <c r="B1780" t="s">
        <v>958</v>
      </c>
      <c r="C1780" t="s">
        <v>3735</v>
      </c>
      <c r="D1780" t="s">
        <v>3736</v>
      </c>
      <c r="E1780" t="s">
        <v>23</v>
      </c>
      <c r="F1780" t="s">
        <v>3718</v>
      </c>
      <c r="G1780" s="3">
        <v>13.34</v>
      </c>
      <c r="H1780" s="3">
        <v>0</v>
      </c>
      <c r="I1780" s="3">
        <v>13.34</v>
      </c>
      <c r="J1780" s="3">
        <f>Table1[[#This Row],[قيمة الفاتورة]]*0.94-Table1[[#This Row],[قيمة المشاركة]]</f>
        <v>12.539599999999998</v>
      </c>
      <c r="L1780" s="3" t="str">
        <f t="shared" si="27"/>
        <v/>
      </c>
      <c r="N1780" t="s">
        <v>19</v>
      </c>
    </row>
    <row r="1781" spans="1:14" x14ac:dyDescent="0.3">
      <c r="A1781">
        <v>106</v>
      </c>
      <c r="B1781" t="s">
        <v>507</v>
      </c>
      <c r="C1781" t="s">
        <v>3737</v>
      </c>
      <c r="D1781" t="s">
        <v>3738</v>
      </c>
      <c r="E1781" t="s">
        <v>23</v>
      </c>
      <c r="F1781" t="s">
        <v>3718</v>
      </c>
      <c r="G1781" s="3">
        <v>12.3</v>
      </c>
      <c r="H1781" s="3">
        <v>0</v>
      </c>
      <c r="I1781" s="3">
        <v>12.3</v>
      </c>
      <c r="J1781" s="3">
        <f>Table1[[#This Row],[قيمة الفاتورة]]*0.94-Table1[[#This Row],[قيمة المشاركة]]</f>
        <v>11.561999999999999</v>
      </c>
      <c r="L1781" s="3" t="str">
        <f t="shared" si="27"/>
        <v/>
      </c>
      <c r="N1781" t="s">
        <v>19</v>
      </c>
    </row>
    <row r="1782" spans="1:14" x14ac:dyDescent="0.3">
      <c r="A1782">
        <v>105</v>
      </c>
      <c r="B1782" t="s">
        <v>3739</v>
      </c>
      <c r="C1782" t="s">
        <v>3740</v>
      </c>
      <c r="D1782" t="s">
        <v>3741</v>
      </c>
      <c r="E1782" t="s">
        <v>17</v>
      </c>
      <c r="F1782" t="s">
        <v>3718</v>
      </c>
      <c r="G1782" s="3">
        <v>7.84</v>
      </c>
      <c r="H1782" s="3">
        <v>0</v>
      </c>
      <c r="I1782" s="3">
        <v>7.84</v>
      </c>
      <c r="J1782" s="3">
        <f>Table1[[#This Row],[قيمة الفاتورة]]*0.94-Table1[[#This Row],[قيمة المشاركة]]</f>
        <v>7.3695999999999993</v>
      </c>
      <c r="L1782" s="3" t="str">
        <f t="shared" si="27"/>
        <v/>
      </c>
      <c r="N1782" t="s">
        <v>19</v>
      </c>
    </row>
    <row r="1783" spans="1:14" x14ac:dyDescent="0.3">
      <c r="A1783">
        <v>332</v>
      </c>
      <c r="B1783" t="s">
        <v>3742</v>
      </c>
      <c r="C1783" t="s">
        <v>3743</v>
      </c>
      <c r="D1783" t="s">
        <v>3744</v>
      </c>
      <c r="E1783" t="s">
        <v>23</v>
      </c>
      <c r="F1783" t="s">
        <v>3718</v>
      </c>
      <c r="G1783" s="3">
        <v>19.11</v>
      </c>
      <c r="H1783" s="3">
        <v>0</v>
      </c>
      <c r="I1783" s="3">
        <v>19.11</v>
      </c>
      <c r="J1783" s="3">
        <f>Table1[[#This Row],[قيمة الفاتورة]]*0.94-Table1[[#This Row],[قيمة المشاركة]]</f>
        <v>17.9634</v>
      </c>
      <c r="L1783" s="3" t="str">
        <f t="shared" si="27"/>
        <v/>
      </c>
      <c r="N1783" t="s">
        <v>19</v>
      </c>
    </row>
    <row r="1784" spans="1:14" x14ac:dyDescent="0.3">
      <c r="A1784">
        <v>114</v>
      </c>
      <c r="B1784" t="s">
        <v>2690</v>
      </c>
      <c r="C1784" t="s">
        <v>2208</v>
      </c>
      <c r="D1784" t="s">
        <v>3745</v>
      </c>
      <c r="E1784" t="s">
        <v>17</v>
      </c>
      <c r="F1784" t="s">
        <v>3746</v>
      </c>
      <c r="G1784" s="3">
        <v>37.06</v>
      </c>
      <c r="H1784" s="3">
        <v>7.4119999999999999</v>
      </c>
      <c r="I1784" s="3">
        <v>29.648</v>
      </c>
      <c r="J1784" s="3">
        <f>Table1[[#This Row],[قيمة الفاتورة]]*0.94-Table1[[#This Row],[قيمة المشاركة]]</f>
        <v>27.424399999999999</v>
      </c>
      <c r="K1784">
        <v>27.425000000000001</v>
      </c>
      <c r="L1784" s="3">
        <f t="shared" si="27"/>
        <v>-6.0000000000215437E-4</v>
      </c>
      <c r="M1784" t="s">
        <v>3474</v>
      </c>
      <c r="N1784" t="s">
        <v>328</v>
      </c>
    </row>
    <row r="1785" spans="1:14" x14ac:dyDescent="0.3">
      <c r="A1785">
        <v>117</v>
      </c>
      <c r="B1785" t="s">
        <v>24</v>
      </c>
      <c r="C1785" t="s">
        <v>25</v>
      </c>
      <c r="D1785" t="s">
        <v>3747</v>
      </c>
      <c r="E1785" t="s">
        <v>23</v>
      </c>
      <c r="F1785" t="s">
        <v>3746</v>
      </c>
      <c r="G1785" s="3">
        <v>20.99</v>
      </c>
      <c r="H1785" s="3">
        <v>0</v>
      </c>
      <c r="I1785" s="3">
        <v>20.99</v>
      </c>
      <c r="J1785" s="3">
        <f>Table1[[#This Row],[قيمة الفاتورة]]*0.94-Table1[[#This Row],[قيمة المشاركة]]</f>
        <v>19.730599999999999</v>
      </c>
      <c r="L1785" s="3" t="str">
        <f t="shared" si="27"/>
        <v/>
      </c>
      <c r="N1785" t="s">
        <v>19</v>
      </c>
    </row>
    <row r="1786" spans="1:14" x14ac:dyDescent="0.3">
      <c r="A1786">
        <v>115</v>
      </c>
      <c r="B1786" t="s">
        <v>169</v>
      </c>
      <c r="C1786" t="s">
        <v>170</v>
      </c>
      <c r="D1786" t="s">
        <v>3748</v>
      </c>
      <c r="E1786" t="s">
        <v>23</v>
      </c>
      <c r="F1786" t="s">
        <v>3746</v>
      </c>
      <c r="G1786" s="3">
        <v>6.23</v>
      </c>
      <c r="H1786" s="3">
        <v>0</v>
      </c>
      <c r="I1786" s="3">
        <v>6.23</v>
      </c>
      <c r="J1786" s="3">
        <f>Table1[[#This Row],[قيمة الفاتورة]]*0.94-Table1[[#This Row],[قيمة المشاركة]]</f>
        <v>5.8562000000000003</v>
      </c>
      <c r="L1786" s="3" t="str">
        <f t="shared" si="27"/>
        <v/>
      </c>
      <c r="N1786" t="s">
        <v>19</v>
      </c>
    </row>
    <row r="1787" spans="1:14" x14ac:dyDescent="0.3">
      <c r="A1787" s="7">
        <v>116</v>
      </c>
      <c r="B1787" s="7" t="s">
        <v>539</v>
      </c>
      <c r="C1787" s="7" t="s">
        <v>3749</v>
      </c>
      <c r="D1787" s="7" t="s">
        <v>539</v>
      </c>
      <c r="E1787" s="7" t="s">
        <v>17</v>
      </c>
      <c r="F1787" s="7" t="s">
        <v>3746</v>
      </c>
      <c r="G1787" s="8">
        <v>22.08</v>
      </c>
      <c r="H1787" s="8">
        <v>4.4160000000000004</v>
      </c>
      <c r="I1787" s="8">
        <v>17.664000000000001</v>
      </c>
      <c r="J1787" s="8">
        <f>Table1[[#This Row],[قيمة الفاتورة]]*0.94-Table1[[#This Row],[قيمة المشاركة]]</f>
        <v>16.339199999999998</v>
      </c>
      <c r="L1787" s="3" t="str">
        <f t="shared" si="27"/>
        <v/>
      </c>
      <c r="N1787" t="s">
        <v>328</v>
      </c>
    </row>
    <row r="1788" spans="1:14" x14ac:dyDescent="0.3">
      <c r="A1788">
        <v>118</v>
      </c>
      <c r="B1788" t="s">
        <v>3375</v>
      </c>
      <c r="C1788" t="s">
        <v>3376</v>
      </c>
      <c r="D1788" t="s">
        <v>3750</v>
      </c>
      <c r="E1788" t="s">
        <v>23</v>
      </c>
      <c r="F1788" t="s">
        <v>3751</v>
      </c>
      <c r="G1788" s="3">
        <v>58.38</v>
      </c>
      <c r="H1788" s="3">
        <v>11.676</v>
      </c>
      <c r="I1788" s="3">
        <v>46.704000000000001</v>
      </c>
      <c r="J1788" s="3">
        <f>Table1[[#This Row],[قيمة الفاتورة]]*0.94-Table1[[#This Row],[قيمة المشاركة]]</f>
        <v>43.2012</v>
      </c>
      <c r="K1788">
        <v>43.201000000000001</v>
      </c>
      <c r="L1788" s="3">
        <f t="shared" si="27"/>
        <v>1.9999999999953388E-4</v>
      </c>
      <c r="M1788" t="s">
        <v>3474</v>
      </c>
      <c r="N1788" t="s">
        <v>328</v>
      </c>
    </row>
    <row r="1789" spans="1:14" x14ac:dyDescent="0.3">
      <c r="A1789">
        <v>119</v>
      </c>
      <c r="B1789" t="s">
        <v>3752</v>
      </c>
      <c r="C1789" t="s">
        <v>3753</v>
      </c>
      <c r="D1789" t="s">
        <v>3754</v>
      </c>
      <c r="E1789" t="s">
        <v>17</v>
      </c>
      <c r="F1789" t="s">
        <v>3751</v>
      </c>
      <c r="G1789" s="3">
        <v>54.38</v>
      </c>
      <c r="H1789" s="3">
        <v>10.875999999999999</v>
      </c>
      <c r="I1789" s="3">
        <v>43.503999999999998</v>
      </c>
      <c r="J1789" s="3">
        <f>Table1[[#This Row],[قيمة الفاتورة]]*0.94-Table1[[#This Row],[قيمة المشاركة]]</f>
        <v>40.241199999999999</v>
      </c>
      <c r="K1789">
        <v>40.24</v>
      </c>
      <c r="L1789" s="3">
        <f t="shared" si="27"/>
        <v>1.1999999999972033E-3</v>
      </c>
      <c r="M1789" t="s">
        <v>3474</v>
      </c>
      <c r="N1789" t="s">
        <v>328</v>
      </c>
    </row>
    <row r="1790" spans="1:14" x14ac:dyDescent="0.3">
      <c r="A1790">
        <v>120</v>
      </c>
      <c r="B1790" t="s">
        <v>3670</v>
      </c>
      <c r="C1790" t="s">
        <v>3755</v>
      </c>
      <c r="D1790" t="s">
        <v>3756</v>
      </c>
      <c r="E1790" t="s">
        <v>23</v>
      </c>
      <c r="F1790" t="s">
        <v>3751</v>
      </c>
      <c r="G1790" s="3">
        <v>20</v>
      </c>
      <c r="H1790" s="3">
        <v>4</v>
      </c>
      <c r="I1790" s="3">
        <v>16</v>
      </c>
      <c r="J1790" s="3">
        <f>Table1[[#This Row],[قيمة الفاتورة]]*0.94-Table1[[#This Row],[قيمة المشاركة]]</f>
        <v>14.799999999999997</v>
      </c>
      <c r="K1790">
        <v>13.907999999999999</v>
      </c>
      <c r="L1790" s="3">
        <f t="shared" si="27"/>
        <v>0.89199999999999768</v>
      </c>
      <c r="M1790" t="s">
        <v>3474</v>
      </c>
      <c r="N1790" t="s">
        <v>328</v>
      </c>
    </row>
    <row r="1791" spans="1:14" x14ac:dyDescent="0.3">
      <c r="A1791">
        <v>121</v>
      </c>
      <c r="B1791" t="s">
        <v>286</v>
      </c>
      <c r="C1791" t="s">
        <v>287</v>
      </c>
      <c r="D1791" t="s">
        <v>3757</v>
      </c>
      <c r="E1791" t="s">
        <v>23</v>
      </c>
      <c r="F1791" t="s">
        <v>3751</v>
      </c>
      <c r="G1791" s="3">
        <v>5.49</v>
      </c>
      <c r="H1791" s="3">
        <v>0</v>
      </c>
      <c r="I1791" s="3">
        <v>5.49</v>
      </c>
      <c r="J1791" s="3">
        <f>Table1[[#This Row],[قيمة الفاتورة]]*0.94-Table1[[#This Row],[قيمة المشاركة]]</f>
        <v>5.1605999999999996</v>
      </c>
      <c r="L1791" s="3" t="str">
        <f t="shared" si="27"/>
        <v/>
      </c>
      <c r="N1791" t="s">
        <v>19</v>
      </c>
    </row>
    <row r="1792" spans="1:14" x14ac:dyDescent="0.3">
      <c r="A1792">
        <v>124</v>
      </c>
      <c r="B1792" t="s">
        <v>3758</v>
      </c>
      <c r="C1792" t="s">
        <v>3759</v>
      </c>
      <c r="D1792" t="s">
        <v>3760</v>
      </c>
      <c r="E1792" t="s">
        <v>17</v>
      </c>
      <c r="F1792" t="s">
        <v>3761</v>
      </c>
      <c r="G1792" s="3">
        <v>9.81</v>
      </c>
      <c r="H1792" s="3">
        <v>1.962</v>
      </c>
      <c r="I1792" s="3">
        <v>7.8479999999999999</v>
      </c>
      <c r="J1792" s="3">
        <f>Table1[[#This Row],[قيمة الفاتورة]]*0.94-Table1[[#This Row],[قيمة المشاركة]]</f>
        <v>7.2593999999999994</v>
      </c>
      <c r="K1792">
        <v>7.2590000000000003</v>
      </c>
      <c r="L1792" s="3">
        <f t="shared" si="27"/>
        <v>3.9999999999906777E-4</v>
      </c>
      <c r="M1792" t="s">
        <v>3474</v>
      </c>
      <c r="N1792" t="s">
        <v>328</v>
      </c>
    </row>
    <row r="1793" spans="1:14" x14ac:dyDescent="0.3">
      <c r="A1793">
        <v>125</v>
      </c>
      <c r="B1793" t="s">
        <v>2848</v>
      </c>
      <c r="C1793" t="s">
        <v>3762</v>
      </c>
      <c r="D1793" t="s">
        <v>3763</v>
      </c>
      <c r="E1793" t="s">
        <v>17</v>
      </c>
      <c r="F1793" t="s">
        <v>3761</v>
      </c>
      <c r="G1793" s="3">
        <v>51.67</v>
      </c>
      <c r="H1793" s="3">
        <v>10.334</v>
      </c>
      <c r="I1793" s="3">
        <v>41.335999999999999</v>
      </c>
      <c r="J1793" s="3">
        <f>Table1[[#This Row],[قيمة الفاتورة]]*0.94-Table1[[#This Row],[قيمة المشاركة]]</f>
        <v>38.235799999999998</v>
      </c>
      <c r="K1793">
        <v>38.234999999999999</v>
      </c>
      <c r="L1793" s="3">
        <f t="shared" si="27"/>
        <v>7.9999999999813554E-4</v>
      </c>
      <c r="M1793" t="s">
        <v>3474</v>
      </c>
      <c r="N1793" t="s">
        <v>328</v>
      </c>
    </row>
    <row r="1794" spans="1:14" x14ac:dyDescent="0.3">
      <c r="A1794">
        <v>123</v>
      </c>
      <c r="B1794" t="s">
        <v>3758</v>
      </c>
      <c r="C1794" t="s">
        <v>3759</v>
      </c>
      <c r="D1794" t="s">
        <v>3764</v>
      </c>
      <c r="E1794" t="s">
        <v>17</v>
      </c>
      <c r="F1794" t="s">
        <v>3761</v>
      </c>
      <c r="G1794" s="3">
        <v>53.34</v>
      </c>
      <c r="H1794" s="3">
        <v>10.667999999999999</v>
      </c>
      <c r="I1794" s="3">
        <v>42.671999999999997</v>
      </c>
      <c r="J1794" s="3">
        <f>Table1[[#This Row],[قيمة الفاتورة]]*0.94-Table1[[#This Row],[قيمة المشاركة]]</f>
        <v>39.471600000000002</v>
      </c>
      <c r="K1794">
        <v>39.463000000000001</v>
      </c>
      <c r="L1794" s="3">
        <f t="shared" ref="L1794:L1857" si="28">IF(ISNUMBER(K1794), J1794-K1794, "")</f>
        <v>8.6000000000012733E-3</v>
      </c>
      <c r="M1794" t="s">
        <v>3474</v>
      </c>
      <c r="N1794" t="s">
        <v>328</v>
      </c>
    </row>
    <row r="1795" spans="1:14" x14ac:dyDescent="0.3">
      <c r="A1795">
        <v>333</v>
      </c>
      <c r="B1795" t="s">
        <v>2517</v>
      </c>
      <c r="C1795" t="s">
        <v>3765</v>
      </c>
      <c r="D1795" t="s">
        <v>3766</v>
      </c>
      <c r="E1795" t="s">
        <v>23</v>
      </c>
      <c r="F1795" t="s">
        <v>3761</v>
      </c>
      <c r="G1795" s="3">
        <v>11.085000000000001</v>
      </c>
      <c r="H1795" s="3">
        <v>0</v>
      </c>
      <c r="I1795" s="3">
        <v>11.085000000000001</v>
      </c>
      <c r="J1795" s="3">
        <f>Table1[[#This Row],[قيمة الفاتورة]]*0.94-Table1[[#This Row],[قيمة المشاركة]]</f>
        <v>10.4199</v>
      </c>
      <c r="L1795" s="3" t="str">
        <f t="shared" si="28"/>
        <v/>
      </c>
      <c r="N1795" t="s">
        <v>19</v>
      </c>
    </row>
    <row r="1796" spans="1:14" x14ac:dyDescent="0.3">
      <c r="A1796">
        <v>126</v>
      </c>
      <c r="B1796" t="s">
        <v>397</v>
      </c>
      <c r="C1796" t="s">
        <v>398</v>
      </c>
      <c r="D1796" t="s">
        <v>3767</v>
      </c>
      <c r="E1796" t="s">
        <v>23</v>
      </c>
      <c r="F1796" t="s">
        <v>3761</v>
      </c>
      <c r="G1796" s="3">
        <v>23.39</v>
      </c>
      <c r="H1796" s="3">
        <v>3.508</v>
      </c>
      <c r="I1796" s="3">
        <v>19.882000000000001</v>
      </c>
      <c r="J1796" s="3">
        <f>Table1[[#This Row],[قيمة الفاتورة]]*0.94-Table1[[#This Row],[قيمة المشاركة]]</f>
        <v>18.4786</v>
      </c>
      <c r="L1796" s="3" t="str">
        <f t="shared" si="28"/>
        <v/>
      </c>
      <c r="N1796" t="s">
        <v>19</v>
      </c>
    </row>
    <row r="1797" spans="1:14" x14ac:dyDescent="0.3">
      <c r="A1797">
        <v>335</v>
      </c>
      <c r="B1797" t="s">
        <v>1877</v>
      </c>
      <c r="C1797" t="s">
        <v>3768</v>
      </c>
      <c r="D1797" t="s">
        <v>3769</v>
      </c>
      <c r="E1797" t="s">
        <v>23</v>
      </c>
      <c r="F1797" t="s">
        <v>3761</v>
      </c>
      <c r="G1797" s="3">
        <v>7.02</v>
      </c>
      <c r="H1797" s="3">
        <v>0</v>
      </c>
      <c r="I1797" s="3">
        <v>7.02</v>
      </c>
      <c r="J1797" s="3">
        <f>Table1[[#This Row],[قيمة الفاتورة]]*0.94-Table1[[#This Row],[قيمة المشاركة]]</f>
        <v>6.5987999999999989</v>
      </c>
      <c r="L1797" s="3" t="str">
        <f t="shared" si="28"/>
        <v/>
      </c>
      <c r="N1797" t="s">
        <v>19</v>
      </c>
    </row>
    <row r="1798" spans="1:14" x14ac:dyDescent="0.3">
      <c r="A1798">
        <v>334</v>
      </c>
      <c r="B1798" t="s">
        <v>3770</v>
      </c>
      <c r="C1798" t="s">
        <v>341</v>
      </c>
      <c r="D1798" t="s">
        <v>3771</v>
      </c>
      <c r="E1798" t="s">
        <v>23</v>
      </c>
      <c r="F1798" t="s">
        <v>3761</v>
      </c>
      <c r="G1798" s="3">
        <v>21.33</v>
      </c>
      <c r="H1798" s="3">
        <v>0</v>
      </c>
      <c r="I1798" s="3">
        <v>21.33</v>
      </c>
      <c r="J1798" s="3">
        <f>Table1[[#This Row],[قيمة الفاتورة]]*0.94-Table1[[#This Row],[قيمة المشاركة]]</f>
        <v>20.050199999999997</v>
      </c>
      <c r="L1798" s="3" t="str">
        <f t="shared" si="28"/>
        <v/>
      </c>
      <c r="N1798" t="s">
        <v>19</v>
      </c>
    </row>
    <row r="1799" spans="1:14" x14ac:dyDescent="0.3">
      <c r="A1799">
        <v>336</v>
      </c>
      <c r="B1799" t="s">
        <v>1041</v>
      </c>
      <c r="C1799" t="s">
        <v>279</v>
      </c>
      <c r="D1799" t="s">
        <v>3772</v>
      </c>
      <c r="E1799" t="s">
        <v>23</v>
      </c>
      <c r="F1799" t="s">
        <v>3761</v>
      </c>
      <c r="G1799" s="3">
        <v>6.28</v>
      </c>
      <c r="H1799" s="3">
        <v>0</v>
      </c>
      <c r="I1799" s="3">
        <v>6.28</v>
      </c>
      <c r="J1799" s="3">
        <f>Table1[[#This Row],[قيمة الفاتورة]]*0.94-Table1[[#This Row],[قيمة المشاركة]]</f>
        <v>5.9032</v>
      </c>
      <c r="L1799" s="3" t="str">
        <f t="shared" si="28"/>
        <v/>
      </c>
      <c r="N1799" t="s">
        <v>19</v>
      </c>
    </row>
    <row r="1800" spans="1:14" x14ac:dyDescent="0.3">
      <c r="A1800">
        <v>122</v>
      </c>
      <c r="B1800" t="s">
        <v>343</v>
      </c>
      <c r="C1800" t="s">
        <v>344</v>
      </c>
      <c r="D1800" t="s">
        <v>3773</v>
      </c>
      <c r="E1800" t="s">
        <v>17</v>
      </c>
      <c r="F1800" t="s">
        <v>3761</v>
      </c>
      <c r="G1800" s="3">
        <v>18.55</v>
      </c>
      <c r="H1800" s="3">
        <v>0</v>
      </c>
      <c r="I1800" s="3">
        <v>18.55</v>
      </c>
      <c r="J1800" s="3">
        <f>Table1[[#This Row],[قيمة الفاتورة]]*0.94-Table1[[#This Row],[قيمة المشاركة]]</f>
        <v>17.437000000000001</v>
      </c>
      <c r="L1800" s="3" t="str">
        <f t="shared" si="28"/>
        <v/>
      </c>
      <c r="N1800" t="s">
        <v>19</v>
      </c>
    </row>
    <row r="1801" spans="1:14" x14ac:dyDescent="0.3">
      <c r="A1801">
        <v>337</v>
      </c>
      <c r="B1801" t="s">
        <v>3774</v>
      </c>
      <c r="C1801" t="s">
        <v>3775</v>
      </c>
      <c r="D1801" t="s">
        <v>3776</v>
      </c>
      <c r="E1801" t="s">
        <v>23</v>
      </c>
      <c r="F1801" t="s">
        <v>3777</v>
      </c>
      <c r="G1801" s="3">
        <v>26.11</v>
      </c>
      <c r="H1801" s="3">
        <v>0</v>
      </c>
      <c r="I1801" s="3">
        <v>26.11</v>
      </c>
      <c r="J1801" s="3">
        <f>Table1[[#This Row],[قيمة الفاتورة]]*0.94-Table1[[#This Row],[قيمة المشاركة]]</f>
        <v>24.543399999999998</v>
      </c>
      <c r="L1801" s="3" t="str">
        <f t="shared" si="28"/>
        <v/>
      </c>
      <c r="N1801" t="s">
        <v>19</v>
      </c>
    </row>
    <row r="1802" spans="1:14" x14ac:dyDescent="0.3">
      <c r="A1802">
        <v>338</v>
      </c>
      <c r="B1802" t="s">
        <v>3778</v>
      </c>
      <c r="C1802" t="s">
        <v>3779</v>
      </c>
      <c r="D1802" t="s">
        <v>3780</v>
      </c>
      <c r="E1802" t="s">
        <v>23</v>
      </c>
      <c r="F1802" t="s">
        <v>3781</v>
      </c>
      <c r="G1802" s="3">
        <v>19.93</v>
      </c>
      <c r="H1802" s="3">
        <v>3.9860000000000002</v>
      </c>
      <c r="I1802" s="3">
        <v>15.944000000000001</v>
      </c>
      <c r="J1802" s="3">
        <f>Table1[[#This Row],[قيمة الفاتورة]]*0.94-Table1[[#This Row],[قيمة المشاركة]]</f>
        <v>14.748199999999997</v>
      </c>
      <c r="K1802">
        <v>14.749000000000001</v>
      </c>
      <c r="L1802" s="3">
        <f t="shared" si="28"/>
        <v>-8.0000000000346461E-4</v>
      </c>
      <c r="M1802" t="s">
        <v>3474</v>
      </c>
      <c r="N1802" t="s">
        <v>328</v>
      </c>
    </row>
    <row r="1803" spans="1:14" x14ac:dyDescent="0.3">
      <c r="A1803">
        <v>128</v>
      </c>
      <c r="B1803" t="s">
        <v>3782</v>
      </c>
      <c r="C1803" t="s">
        <v>3783</v>
      </c>
      <c r="D1803" t="s">
        <v>3784</v>
      </c>
      <c r="E1803" t="s">
        <v>23</v>
      </c>
      <c r="F1803" t="s">
        <v>3781</v>
      </c>
      <c r="G1803" s="3">
        <v>24.08</v>
      </c>
      <c r="H1803" s="3">
        <v>4.8159999999999998</v>
      </c>
      <c r="I1803" s="3">
        <v>19.263999999999999</v>
      </c>
      <c r="J1803" s="3">
        <f>Table1[[#This Row],[قيمة الفاتورة]]*0.94-Table1[[#This Row],[قيمة المشاركة]]</f>
        <v>17.819199999999999</v>
      </c>
      <c r="K1803">
        <v>17.82</v>
      </c>
      <c r="L1803" s="3">
        <f t="shared" si="28"/>
        <v>-8.0000000000168825E-4</v>
      </c>
      <c r="M1803" t="s">
        <v>3474</v>
      </c>
      <c r="N1803" t="s">
        <v>328</v>
      </c>
    </row>
    <row r="1804" spans="1:14" x14ac:dyDescent="0.3">
      <c r="A1804">
        <v>339</v>
      </c>
      <c r="B1804" t="s">
        <v>578</v>
      </c>
      <c r="C1804" t="s">
        <v>1309</v>
      </c>
      <c r="D1804" t="s">
        <v>3785</v>
      </c>
      <c r="E1804" t="s">
        <v>23</v>
      </c>
      <c r="F1804" t="s">
        <v>3781</v>
      </c>
      <c r="G1804" s="3">
        <v>15.768000000000001</v>
      </c>
      <c r="H1804" s="3">
        <v>0</v>
      </c>
      <c r="I1804" s="3">
        <v>15.768000000000001</v>
      </c>
      <c r="J1804" s="3">
        <f>Table1[[#This Row],[قيمة الفاتورة]]*0.94-Table1[[#This Row],[قيمة المشاركة]]</f>
        <v>14.82192</v>
      </c>
      <c r="L1804" s="3" t="str">
        <f t="shared" si="28"/>
        <v/>
      </c>
      <c r="N1804" t="s">
        <v>19</v>
      </c>
    </row>
    <row r="1805" spans="1:14" x14ac:dyDescent="0.3">
      <c r="A1805">
        <v>129</v>
      </c>
      <c r="B1805" t="s">
        <v>1753</v>
      </c>
      <c r="C1805" t="s">
        <v>1754</v>
      </c>
      <c r="D1805" t="s">
        <v>3786</v>
      </c>
      <c r="E1805" t="s">
        <v>23</v>
      </c>
      <c r="F1805" t="s">
        <v>3781</v>
      </c>
      <c r="G1805" s="3">
        <v>20.64</v>
      </c>
      <c r="H1805" s="3">
        <v>0</v>
      </c>
      <c r="I1805" s="3">
        <v>20.64</v>
      </c>
      <c r="J1805" s="3">
        <f>Table1[[#This Row],[قيمة الفاتورة]]*0.94-Table1[[#This Row],[قيمة المشاركة]]</f>
        <v>19.401599999999998</v>
      </c>
      <c r="L1805" s="3" t="str">
        <f t="shared" si="28"/>
        <v/>
      </c>
      <c r="N1805" t="s">
        <v>19</v>
      </c>
    </row>
    <row r="1806" spans="1:14" x14ac:dyDescent="0.3">
      <c r="A1806">
        <v>127</v>
      </c>
      <c r="B1806" t="s">
        <v>2063</v>
      </c>
      <c r="C1806" t="s">
        <v>2064</v>
      </c>
      <c r="D1806" t="s">
        <v>3787</v>
      </c>
      <c r="E1806" t="s">
        <v>23</v>
      </c>
      <c r="F1806" t="s">
        <v>3781</v>
      </c>
      <c r="G1806" s="3">
        <v>14.76</v>
      </c>
      <c r="H1806" s="3">
        <v>2.214</v>
      </c>
      <c r="I1806" s="3">
        <v>12.545999999999999</v>
      </c>
      <c r="J1806" s="3">
        <f>Table1[[#This Row],[قيمة الفاتورة]]*0.94-Table1[[#This Row],[قيمة المشاركة]]</f>
        <v>11.660399999999999</v>
      </c>
      <c r="L1806" s="3" t="str">
        <f t="shared" si="28"/>
        <v/>
      </c>
      <c r="N1806" t="s">
        <v>19</v>
      </c>
    </row>
    <row r="1807" spans="1:14" x14ac:dyDescent="0.3">
      <c r="A1807">
        <v>131</v>
      </c>
      <c r="B1807" t="s">
        <v>3174</v>
      </c>
      <c r="C1807" t="s">
        <v>3175</v>
      </c>
      <c r="D1807" t="s">
        <v>3788</v>
      </c>
      <c r="E1807" t="s">
        <v>23</v>
      </c>
      <c r="F1807" t="s">
        <v>3789</v>
      </c>
      <c r="G1807" s="3">
        <v>2.68</v>
      </c>
      <c r="H1807" s="3">
        <v>0.53600000000000003</v>
      </c>
      <c r="I1807" s="3">
        <v>2.1440000000000001</v>
      </c>
      <c r="J1807" s="3">
        <f>Table1[[#This Row],[قيمة الفاتورة]]*0.94-Table1[[#This Row],[قيمة المشاركة]]</f>
        <v>1.9832000000000001</v>
      </c>
      <c r="K1807">
        <v>1.9830000000000001</v>
      </c>
      <c r="L1807" s="3">
        <f t="shared" si="28"/>
        <v>1.9999999999997797E-4</v>
      </c>
      <c r="M1807" t="s">
        <v>3474</v>
      </c>
      <c r="N1807" t="s">
        <v>328</v>
      </c>
    </row>
    <row r="1808" spans="1:14" x14ac:dyDescent="0.3">
      <c r="A1808">
        <v>130</v>
      </c>
      <c r="B1808" t="s">
        <v>627</v>
      </c>
      <c r="C1808" t="s">
        <v>628</v>
      </c>
      <c r="D1808" t="s">
        <v>3790</v>
      </c>
      <c r="E1808" t="s">
        <v>23</v>
      </c>
      <c r="F1808" t="s">
        <v>3789</v>
      </c>
      <c r="G1808" s="3">
        <v>91.69</v>
      </c>
      <c r="H1808" s="3">
        <v>0</v>
      </c>
      <c r="I1808" s="3">
        <v>91.69</v>
      </c>
      <c r="J1808" s="3">
        <f>Table1[[#This Row],[قيمة الفاتورة]]*0.94-Table1[[#This Row],[قيمة المشاركة]]</f>
        <v>86.188599999999994</v>
      </c>
      <c r="L1808" s="3" t="str">
        <f t="shared" si="28"/>
        <v/>
      </c>
      <c r="N1808" t="s">
        <v>19</v>
      </c>
    </row>
    <row r="1809" spans="1:14" x14ac:dyDescent="0.3">
      <c r="A1809">
        <v>136</v>
      </c>
      <c r="B1809" t="s">
        <v>3791</v>
      </c>
      <c r="C1809" t="s">
        <v>3792</v>
      </c>
      <c r="D1809" t="s">
        <v>3793</v>
      </c>
      <c r="E1809" t="s">
        <v>17</v>
      </c>
      <c r="F1809" t="s">
        <v>3794</v>
      </c>
      <c r="G1809" s="3">
        <v>23.24</v>
      </c>
      <c r="H1809" s="3">
        <v>4.6479999999999997</v>
      </c>
      <c r="I1809" s="3">
        <v>18.591999999999999</v>
      </c>
      <c r="J1809" s="3">
        <f>Table1[[#This Row],[قيمة الفاتورة]]*0.94-Table1[[#This Row],[قيمة المشاركة]]</f>
        <v>17.197599999999998</v>
      </c>
      <c r="K1809">
        <v>17.198</v>
      </c>
      <c r="L1809" s="3">
        <f t="shared" si="28"/>
        <v>-4.0000000000262048E-4</v>
      </c>
      <c r="M1809" t="s">
        <v>3474</v>
      </c>
      <c r="N1809" t="s">
        <v>328</v>
      </c>
    </row>
    <row r="1810" spans="1:14" x14ac:dyDescent="0.3">
      <c r="A1810">
        <v>134</v>
      </c>
      <c r="B1810" t="s">
        <v>3160</v>
      </c>
      <c r="C1810" t="s">
        <v>3405</v>
      </c>
      <c r="D1810" t="s">
        <v>3795</v>
      </c>
      <c r="E1810" t="s">
        <v>17</v>
      </c>
      <c r="F1810" t="s">
        <v>3794</v>
      </c>
      <c r="G1810" s="3">
        <v>61.92</v>
      </c>
      <c r="H1810" s="3">
        <v>12.384</v>
      </c>
      <c r="I1810" s="3">
        <v>49.536000000000001</v>
      </c>
      <c r="J1810" s="3">
        <f>Table1[[#This Row],[قيمة الفاتورة]]*0.94-Table1[[#This Row],[قيمة المشاركة]]</f>
        <v>45.820799999999998</v>
      </c>
      <c r="K1810">
        <v>45.820999999999998</v>
      </c>
      <c r="L1810" s="3">
        <f t="shared" si="28"/>
        <v>-1.9999999999953388E-4</v>
      </c>
      <c r="M1810" t="s">
        <v>3474</v>
      </c>
      <c r="N1810" t="s">
        <v>328</v>
      </c>
    </row>
    <row r="1811" spans="1:14" x14ac:dyDescent="0.3">
      <c r="A1811">
        <v>133</v>
      </c>
      <c r="B1811" t="s">
        <v>3171</v>
      </c>
      <c r="C1811" t="s">
        <v>3172</v>
      </c>
      <c r="D1811" t="s">
        <v>3796</v>
      </c>
      <c r="E1811" t="s">
        <v>23</v>
      </c>
      <c r="F1811" t="s">
        <v>3794</v>
      </c>
      <c r="G1811" s="3">
        <v>34.700000000000003</v>
      </c>
      <c r="H1811" s="3">
        <v>6.94</v>
      </c>
      <c r="I1811" s="3">
        <v>27.76</v>
      </c>
      <c r="J1811" s="3">
        <f>Table1[[#This Row],[قيمة الفاتورة]]*0.94-Table1[[#This Row],[قيمة المشاركة]]</f>
        <v>25.678000000000001</v>
      </c>
      <c r="K1811">
        <v>25.018999999999998</v>
      </c>
      <c r="L1811" s="3">
        <f t="shared" si="28"/>
        <v>0.65900000000000247</v>
      </c>
      <c r="M1811" t="s">
        <v>3474</v>
      </c>
      <c r="N1811" t="s">
        <v>328</v>
      </c>
    </row>
    <row r="1812" spans="1:14" x14ac:dyDescent="0.3">
      <c r="A1812">
        <v>135</v>
      </c>
      <c r="B1812" t="s">
        <v>1411</v>
      </c>
      <c r="C1812" t="s">
        <v>1412</v>
      </c>
      <c r="D1812" t="s">
        <v>3797</v>
      </c>
      <c r="E1812" t="s">
        <v>23</v>
      </c>
      <c r="F1812" t="s">
        <v>3794</v>
      </c>
      <c r="G1812" s="3">
        <v>16.579999999999998</v>
      </c>
      <c r="H1812" s="3">
        <v>0</v>
      </c>
      <c r="I1812" s="3">
        <v>16.579999999999998</v>
      </c>
      <c r="J1812" s="3">
        <f>Table1[[#This Row],[قيمة الفاتورة]]*0.94-Table1[[#This Row],[قيمة المشاركة]]</f>
        <v>15.585199999999997</v>
      </c>
      <c r="L1812" s="3" t="str">
        <f t="shared" si="28"/>
        <v/>
      </c>
      <c r="N1812" t="s">
        <v>19</v>
      </c>
    </row>
    <row r="1813" spans="1:14" x14ac:dyDescent="0.3">
      <c r="A1813">
        <v>340</v>
      </c>
      <c r="B1813" t="s">
        <v>2778</v>
      </c>
      <c r="C1813" t="s">
        <v>2779</v>
      </c>
      <c r="D1813" t="s">
        <v>3798</v>
      </c>
      <c r="E1813" t="s">
        <v>23</v>
      </c>
      <c r="F1813" t="s">
        <v>3794</v>
      </c>
      <c r="G1813" s="3">
        <v>11.72</v>
      </c>
      <c r="H1813" s="3">
        <v>0</v>
      </c>
      <c r="I1813" s="3">
        <v>11.72</v>
      </c>
      <c r="J1813" s="3">
        <f>Table1[[#This Row],[قيمة الفاتورة]]*0.94-Table1[[#This Row],[قيمة المشاركة]]</f>
        <v>11.0168</v>
      </c>
      <c r="L1813" s="3" t="str">
        <f t="shared" si="28"/>
        <v/>
      </c>
      <c r="N1813" t="s">
        <v>19</v>
      </c>
    </row>
    <row r="1814" spans="1:14" x14ac:dyDescent="0.3">
      <c r="A1814">
        <v>341</v>
      </c>
      <c r="B1814" t="s">
        <v>139</v>
      </c>
      <c r="C1814" t="s">
        <v>2572</v>
      </c>
      <c r="D1814" t="s">
        <v>3799</v>
      </c>
      <c r="E1814" t="s">
        <v>17</v>
      </c>
      <c r="F1814" t="s">
        <v>3794</v>
      </c>
      <c r="G1814" s="3">
        <v>8.6999999999999993</v>
      </c>
      <c r="H1814" s="3">
        <v>0</v>
      </c>
      <c r="I1814" s="3">
        <v>8.6999999999999993</v>
      </c>
      <c r="J1814" s="3">
        <f>Table1[[#This Row],[قيمة الفاتورة]]*0.94-Table1[[#This Row],[قيمة المشاركة]]</f>
        <v>8.177999999999999</v>
      </c>
      <c r="L1814" s="3" t="str">
        <f t="shared" si="28"/>
        <v/>
      </c>
      <c r="N1814" t="s">
        <v>19</v>
      </c>
    </row>
    <row r="1815" spans="1:14" x14ac:dyDescent="0.3">
      <c r="A1815">
        <v>132</v>
      </c>
      <c r="B1815" t="s">
        <v>1127</v>
      </c>
      <c r="C1815" t="s">
        <v>1128</v>
      </c>
      <c r="D1815" t="s">
        <v>3800</v>
      </c>
      <c r="E1815" t="s">
        <v>23</v>
      </c>
      <c r="F1815" t="s">
        <v>3794</v>
      </c>
      <c r="G1815" s="3">
        <v>88.44</v>
      </c>
      <c r="H1815" s="3">
        <v>0</v>
      </c>
      <c r="I1815" s="3">
        <v>88.44</v>
      </c>
      <c r="J1815" s="3">
        <f>Table1[[#This Row],[قيمة الفاتورة]]*0.94-Table1[[#This Row],[قيمة المشاركة]]</f>
        <v>83.133599999999987</v>
      </c>
      <c r="L1815" s="3" t="str">
        <f t="shared" si="28"/>
        <v/>
      </c>
      <c r="N1815" t="s">
        <v>19</v>
      </c>
    </row>
    <row r="1816" spans="1:14" x14ac:dyDescent="0.3">
      <c r="A1816">
        <v>1</v>
      </c>
      <c r="B1816" t="s">
        <v>1060</v>
      </c>
      <c r="C1816" t="s">
        <v>173</v>
      </c>
      <c r="D1816" t="s">
        <v>3801</v>
      </c>
      <c r="E1816" t="s">
        <v>23</v>
      </c>
      <c r="F1816" t="s">
        <v>3802</v>
      </c>
      <c r="G1816" s="3">
        <v>5.68</v>
      </c>
      <c r="H1816" s="3">
        <v>0</v>
      </c>
      <c r="I1816" s="3">
        <v>5.68</v>
      </c>
      <c r="J1816" s="3">
        <f>Table1[[#This Row],[قيمة الفاتورة]]*0.94-Table1[[#This Row],[قيمة المشاركة]]</f>
        <v>5.3391999999999991</v>
      </c>
      <c r="L1816" s="3" t="str">
        <f t="shared" si="28"/>
        <v/>
      </c>
      <c r="N1816" t="s">
        <v>19</v>
      </c>
    </row>
    <row r="1817" spans="1:14" x14ac:dyDescent="0.3">
      <c r="A1817">
        <v>2</v>
      </c>
      <c r="B1817" t="s">
        <v>1565</v>
      </c>
      <c r="C1817" t="s">
        <v>1566</v>
      </c>
      <c r="D1817" t="s">
        <v>3803</v>
      </c>
      <c r="E1817" t="s">
        <v>23</v>
      </c>
      <c r="F1817" t="s">
        <v>3804</v>
      </c>
      <c r="G1817" s="3">
        <v>25.81</v>
      </c>
      <c r="H1817" s="3">
        <v>0</v>
      </c>
      <c r="I1817" s="3">
        <v>25.81</v>
      </c>
      <c r="J1817" s="3">
        <f>Table1[[#This Row],[قيمة الفاتورة]]*0.94-Table1[[#This Row],[قيمة المشاركة]]</f>
        <v>24.261399999999998</v>
      </c>
      <c r="L1817" s="3" t="str">
        <f t="shared" si="28"/>
        <v/>
      </c>
      <c r="N1817" t="s">
        <v>19</v>
      </c>
    </row>
    <row r="1818" spans="1:14" x14ac:dyDescent="0.3">
      <c r="A1818">
        <v>3</v>
      </c>
      <c r="B1818" t="s">
        <v>885</v>
      </c>
      <c r="C1818" t="s">
        <v>3805</v>
      </c>
      <c r="D1818" t="s">
        <v>3806</v>
      </c>
      <c r="E1818" t="s">
        <v>23</v>
      </c>
      <c r="F1818" t="s">
        <v>3804</v>
      </c>
      <c r="G1818" s="3">
        <v>8.77</v>
      </c>
      <c r="H1818" s="3">
        <v>0</v>
      </c>
      <c r="I1818" s="3">
        <v>8.77</v>
      </c>
      <c r="J1818" s="3">
        <f>Table1[[#This Row],[قيمة الفاتورة]]*0.94-Table1[[#This Row],[قيمة المشاركة]]</f>
        <v>8.2437999999999985</v>
      </c>
      <c r="L1818" s="3" t="str">
        <f t="shared" si="28"/>
        <v/>
      </c>
      <c r="N1818" t="s">
        <v>19</v>
      </c>
    </row>
    <row r="1819" spans="1:14" x14ac:dyDescent="0.3">
      <c r="A1819">
        <v>342</v>
      </c>
      <c r="B1819" t="s">
        <v>385</v>
      </c>
      <c r="C1819" t="s">
        <v>2634</v>
      </c>
      <c r="D1819" t="s">
        <v>3807</v>
      </c>
      <c r="E1819" t="s">
        <v>23</v>
      </c>
      <c r="F1819" t="s">
        <v>3804</v>
      </c>
      <c r="G1819" s="3">
        <v>15.14</v>
      </c>
      <c r="H1819" s="3">
        <v>0</v>
      </c>
      <c r="I1819" s="3">
        <v>15.14</v>
      </c>
      <c r="J1819" s="3">
        <f>Table1[[#This Row],[قيمة الفاتورة]]*0.94-Table1[[#This Row],[قيمة المشاركة]]</f>
        <v>14.2316</v>
      </c>
      <c r="L1819" s="3" t="str">
        <f t="shared" si="28"/>
        <v/>
      </c>
      <c r="N1819" t="s">
        <v>19</v>
      </c>
    </row>
    <row r="1820" spans="1:14" x14ac:dyDescent="0.3">
      <c r="A1820">
        <v>9</v>
      </c>
      <c r="B1820" t="s">
        <v>3808</v>
      </c>
      <c r="C1820" t="s">
        <v>1617</v>
      </c>
      <c r="D1820" t="s">
        <v>3809</v>
      </c>
      <c r="E1820" t="s">
        <v>17</v>
      </c>
      <c r="F1820" t="s">
        <v>3810</v>
      </c>
      <c r="G1820" s="3">
        <v>7.32</v>
      </c>
      <c r="H1820" s="3">
        <v>0</v>
      </c>
      <c r="I1820" s="3">
        <v>7.32</v>
      </c>
      <c r="J1820" s="3">
        <f>Table1[[#This Row],[قيمة الفاتورة]]*0.94-Table1[[#This Row],[قيمة المشاركة]]</f>
        <v>6.8807999999999998</v>
      </c>
      <c r="L1820" s="3" t="str">
        <f t="shared" si="28"/>
        <v/>
      </c>
      <c r="N1820" t="s">
        <v>19</v>
      </c>
    </row>
    <row r="1821" spans="1:14" x14ac:dyDescent="0.3">
      <c r="A1821">
        <v>7</v>
      </c>
      <c r="B1821" t="s">
        <v>203</v>
      </c>
      <c r="C1821" t="s">
        <v>204</v>
      </c>
      <c r="D1821" t="s">
        <v>3811</v>
      </c>
      <c r="E1821" t="s">
        <v>23</v>
      </c>
      <c r="F1821" t="s">
        <v>3810</v>
      </c>
      <c r="G1821" s="3">
        <v>27.1</v>
      </c>
      <c r="H1821" s="3">
        <v>0</v>
      </c>
      <c r="I1821" s="3">
        <v>27.1</v>
      </c>
      <c r="J1821" s="3">
        <f>Table1[[#This Row],[قيمة الفاتورة]]*0.94-Table1[[#This Row],[قيمة المشاركة]]</f>
        <v>25.474</v>
      </c>
      <c r="L1821" s="3" t="str">
        <f t="shared" si="28"/>
        <v/>
      </c>
      <c r="N1821" t="s">
        <v>19</v>
      </c>
    </row>
    <row r="1822" spans="1:14" x14ac:dyDescent="0.3">
      <c r="A1822">
        <v>10</v>
      </c>
      <c r="B1822" t="s">
        <v>1616</v>
      </c>
      <c r="C1822" t="s">
        <v>1617</v>
      </c>
      <c r="D1822" t="s">
        <v>3812</v>
      </c>
      <c r="E1822" t="s">
        <v>17</v>
      </c>
      <c r="F1822" t="s">
        <v>3810</v>
      </c>
      <c r="G1822" s="3">
        <v>22.3</v>
      </c>
      <c r="H1822" s="3">
        <v>0</v>
      </c>
      <c r="I1822" s="3">
        <v>22.3</v>
      </c>
      <c r="J1822" s="3">
        <f>Table1[[#This Row],[قيمة الفاتورة]]*0.94-Table1[[#This Row],[قيمة المشاركة]]</f>
        <v>20.962</v>
      </c>
      <c r="L1822" s="3" t="str">
        <f t="shared" si="28"/>
        <v/>
      </c>
      <c r="N1822" t="s">
        <v>19</v>
      </c>
    </row>
    <row r="1823" spans="1:14" x14ac:dyDescent="0.3">
      <c r="A1823">
        <v>11</v>
      </c>
      <c r="B1823" t="s">
        <v>185</v>
      </c>
      <c r="C1823" t="s">
        <v>186</v>
      </c>
      <c r="D1823" t="s">
        <v>3813</v>
      </c>
      <c r="E1823" t="s">
        <v>23</v>
      </c>
      <c r="F1823" t="s">
        <v>3810</v>
      </c>
      <c r="G1823" s="3">
        <v>2.7</v>
      </c>
      <c r="H1823" s="3">
        <v>0</v>
      </c>
      <c r="I1823" s="3">
        <v>2.7</v>
      </c>
      <c r="J1823" s="3">
        <f>Table1[[#This Row],[قيمة الفاتورة]]*0.94-Table1[[#This Row],[قيمة المشاركة]]</f>
        <v>2.5379999999999998</v>
      </c>
      <c r="L1823" s="3" t="str">
        <f t="shared" si="28"/>
        <v/>
      </c>
      <c r="N1823" t="s">
        <v>19</v>
      </c>
    </row>
    <row r="1824" spans="1:14" x14ac:dyDescent="0.3">
      <c r="A1824">
        <v>343</v>
      </c>
      <c r="B1824" t="s">
        <v>666</v>
      </c>
      <c r="C1824" t="s">
        <v>667</v>
      </c>
      <c r="D1824" t="s">
        <v>3814</v>
      </c>
      <c r="E1824" t="s">
        <v>17</v>
      </c>
      <c r="F1824" t="s">
        <v>3810</v>
      </c>
      <c r="G1824" s="3">
        <v>8.81</v>
      </c>
      <c r="H1824" s="3">
        <v>0</v>
      </c>
      <c r="I1824" s="3">
        <v>8.81</v>
      </c>
      <c r="J1824" s="3">
        <f>Table1[[#This Row],[قيمة الفاتورة]]*0.94-Table1[[#This Row],[قيمة المشاركة]]</f>
        <v>8.2813999999999997</v>
      </c>
      <c r="L1824" s="3" t="str">
        <f t="shared" si="28"/>
        <v/>
      </c>
      <c r="N1824" t="s">
        <v>19</v>
      </c>
    </row>
    <row r="1825" spans="1:14" x14ac:dyDescent="0.3">
      <c r="A1825">
        <v>4</v>
      </c>
      <c r="B1825" t="s">
        <v>2702</v>
      </c>
      <c r="C1825" t="s">
        <v>201</v>
      </c>
      <c r="D1825" t="s">
        <v>3815</v>
      </c>
      <c r="E1825" t="s">
        <v>17</v>
      </c>
      <c r="F1825" t="s">
        <v>3810</v>
      </c>
      <c r="G1825" s="3">
        <v>79.37</v>
      </c>
      <c r="H1825" s="3">
        <v>15.874000000000001</v>
      </c>
      <c r="I1825" s="3">
        <v>63.496000000000002</v>
      </c>
      <c r="J1825" s="3">
        <f>Table1[[#This Row],[قيمة الفاتورة]]*0.94-Table1[[#This Row],[قيمة المشاركة]]</f>
        <v>58.733799999999995</v>
      </c>
      <c r="L1825" s="3" t="str">
        <f t="shared" si="28"/>
        <v/>
      </c>
      <c r="N1825" t="s">
        <v>328</v>
      </c>
    </row>
    <row r="1826" spans="1:14" x14ac:dyDescent="0.3">
      <c r="A1826">
        <v>13</v>
      </c>
      <c r="B1826" t="s">
        <v>3222</v>
      </c>
      <c r="C1826" t="s">
        <v>3223</v>
      </c>
      <c r="D1826" t="s">
        <v>3816</v>
      </c>
      <c r="E1826" t="s">
        <v>23</v>
      </c>
      <c r="F1826" t="s">
        <v>3810</v>
      </c>
      <c r="G1826" s="3">
        <v>48.24</v>
      </c>
      <c r="H1826" s="3">
        <v>9.6479999999999997</v>
      </c>
      <c r="I1826" s="3">
        <v>38.591999999999999</v>
      </c>
      <c r="J1826" s="3">
        <f>Table1[[#This Row],[قيمة الفاتورة]]*0.94-Table1[[#This Row],[قيمة المشاركة]]</f>
        <v>35.697599999999994</v>
      </c>
      <c r="L1826" s="3" t="str">
        <f t="shared" si="28"/>
        <v/>
      </c>
      <c r="N1826" t="s">
        <v>328</v>
      </c>
    </row>
    <row r="1827" spans="1:14" x14ac:dyDescent="0.3">
      <c r="A1827">
        <v>14</v>
      </c>
      <c r="B1827" t="s">
        <v>2757</v>
      </c>
      <c r="C1827" t="s">
        <v>2758</v>
      </c>
      <c r="D1827" t="s">
        <v>3817</v>
      </c>
      <c r="E1827" t="s">
        <v>17</v>
      </c>
      <c r="F1827" t="s">
        <v>3810</v>
      </c>
      <c r="G1827" s="3">
        <v>49.81</v>
      </c>
      <c r="H1827" s="3">
        <v>9.9619999999999997</v>
      </c>
      <c r="I1827" s="3">
        <v>39.847999999999999</v>
      </c>
      <c r="J1827" s="3">
        <f>Table1[[#This Row],[قيمة الفاتورة]]*0.94-Table1[[#This Row],[قيمة المشاركة]]</f>
        <v>36.859399999999994</v>
      </c>
      <c r="L1827" s="3" t="str">
        <f t="shared" si="28"/>
        <v/>
      </c>
      <c r="N1827" t="s">
        <v>328</v>
      </c>
    </row>
    <row r="1828" spans="1:14" x14ac:dyDescent="0.3">
      <c r="A1828">
        <v>12</v>
      </c>
      <c r="B1828" t="s">
        <v>3818</v>
      </c>
      <c r="C1828" t="s">
        <v>3819</v>
      </c>
      <c r="D1828" t="s">
        <v>3820</v>
      </c>
      <c r="E1828" t="s">
        <v>23</v>
      </c>
      <c r="F1828" t="s">
        <v>3810</v>
      </c>
      <c r="G1828" s="3">
        <v>61</v>
      </c>
      <c r="H1828" s="3">
        <v>12.2</v>
      </c>
      <c r="I1828" s="3">
        <v>48.8</v>
      </c>
      <c r="J1828" s="3">
        <f>Table1[[#This Row],[قيمة الفاتورة]]*0.94-Table1[[#This Row],[قيمة المشاركة]]</f>
        <v>45.14</v>
      </c>
      <c r="L1828" s="3" t="str">
        <f t="shared" si="28"/>
        <v/>
      </c>
      <c r="N1828" t="s">
        <v>328</v>
      </c>
    </row>
    <row r="1829" spans="1:14" x14ac:dyDescent="0.3">
      <c r="A1829">
        <v>5</v>
      </c>
      <c r="B1829" t="s">
        <v>3821</v>
      </c>
      <c r="C1829" t="s">
        <v>472</v>
      </c>
      <c r="D1829" t="s">
        <v>3822</v>
      </c>
      <c r="E1829" t="s">
        <v>17</v>
      </c>
      <c r="F1829" t="s">
        <v>3810</v>
      </c>
      <c r="G1829" s="3">
        <v>15.78</v>
      </c>
      <c r="H1829" s="3">
        <v>3.1560000000000001</v>
      </c>
      <c r="I1829" s="3">
        <v>12.624000000000001</v>
      </c>
      <c r="J1829" s="3">
        <f>Table1[[#This Row],[قيمة الفاتورة]]*0.94-Table1[[#This Row],[قيمة المشاركة]]</f>
        <v>11.677199999999997</v>
      </c>
      <c r="L1829" s="3" t="str">
        <f t="shared" si="28"/>
        <v/>
      </c>
      <c r="N1829" t="s">
        <v>328</v>
      </c>
    </row>
    <row r="1830" spans="1:14" x14ac:dyDescent="0.3">
      <c r="A1830">
        <v>6</v>
      </c>
      <c r="B1830" t="s">
        <v>3823</v>
      </c>
      <c r="C1830" t="s">
        <v>3824</v>
      </c>
      <c r="D1830" t="s">
        <v>3825</v>
      </c>
      <c r="E1830" t="s">
        <v>23</v>
      </c>
      <c r="F1830" t="s">
        <v>3810</v>
      </c>
      <c r="G1830" s="3">
        <v>49.08</v>
      </c>
      <c r="H1830" s="3">
        <v>9.8160000000000007</v>
      </c>
      <c r="I1830" s="3">
        <v>39.264000000000003</v>
      </c>
      <c r="J1830" s="3">
        <f>Table1[[#This Row],[قيمة الفاتورة]]*0.94-Table1[[#This Row],[قيمة المشاركة]]</f>
        <v>36.319199999999995</v>
      </c>
      <c r="L1830" s="3" t="str">
        <f t="shared" si="28"/>
        <v/>
      </c>
      <c r="N1830" t="s">
        <v>328</v>
      </c>
    </row>
    <row r="1831" spans="1:14" x14ac:dyDescent="0.3">
      <c r="A1831">
        <v>344</v>
      </c>
      <c r="B1831" t="s">
        <v>3826</v>
      </c>
      <c r="C1831" t="s">
        <v>3827</v>
      </c>
      <c r="D1831" t="s">
        <v>3828</v>
      </c>
      <c r="E1831" t="s">
        <v>23</v>
      </c>
      <c r="F1831" t="s">
        <v>3810</v>
      </c>
      <c r="G1831" s="3">
        <v>36.576000000000001</v>
      </c>
      <c r="H1831" s="3">
        <v>29.260999999999999</v>
      </c>
      <c r="I1831" s="3">
        <v>7.3150000000000004</v>
      </c>
      <c r="J1831" s="3">
        <f>Table1[[#This Row],[قيمة الفاتورة]]*0.94-Table1[[#This Row],[قيمة المشاركة]]</f>
        <v>5.1204399999999985</v>
      </c>
      <c r="L1831" s="3" t="str">
        <f t="shared" si="28"/>
        <v/>
      </c>
      <c r="N1831" t="s">
        <v>328</v>
      </c>
    </row>
    <row r="1832" spans="1:14" x14ac:dyDescent="0.3">
      <c r="A1832">
        <v>345</v>
      </c>
      <c r="B1832" t="s">
        <v>3826</v>
      </c>
      <c r="C1832" t="s">
        <v>3827</v>
      </c>
      <c r="D1832" t="s">
        <v>3828</v>
      </c>
      <c r="E1832" t="s">
        <v>23</v>
      </c>
      <c r="F1832" t="s">
        <v>3810</v>
      </c>
      <c r="G1832" s="3">
        <v>36.576000000000001</v>
      </c>
      <c r="H1832" s="3">
        <v>7.3150000000000004</v>
      </c>
      <c r="I1832" s="3">
        <v>29.260999999999999</v>
      </c>
      <c r="J1832" s="3">
        <f>Table1[[#This Row],[قيمة الفاتورة]]*0.94-Table1[[#This Row],[قيمة المشاركة]]</f>
        <v>27.066439999999997</v>
      </c>
      <c r="L1832" s="3" t="str">
        <f t="shared" si="28"/>
        <v/>
      </c>
      <c r="N1832" t="s">
        <v>328</v>
      </c>
    </row>
    <row r="1833" spans="1:14" x14ac:dyDescent="0.3">
      <c r="A1833">
        <v>8</v>
      </c>
      <c r="B1833" t="s">
        <v>3255</v>
      </c>
      <c r="C1833" t="s">
        <v>3829</v>
      </c>
      <c r="D1833" t="s">
        <v>3830</v>
      </c>
      <c r="E1833" t="s">
        <v>17</v>
      </c>
      <c r="F1833" t="s">
        <v>3810</v>
      </c>
      <c r="G1833" s="3">
        <v>19.079999999999998</v>
      </c>
      <c r="H1833" s="3">
        <v>3.8159999999999998</v>
      </c>
      <c r="I1833" s="3">
        <v>15.263999999999999</v>
      </c>
      <c r="J1833" s="3">
        <f>Table1[[#This Row],[قيمة الفاتورة]]*0.94-Table1[[#This Row],[قيمة المشاركة]]</f>
        <v>14.119199999999999</v>
      </c>
      <c r="L1833" s="3" t="str">
        <f t="shared" si="28"/>
        <v/>
      </c>
      <c r="N1833" t="s">
        <v>328</v>
      </c>
    </row>
    <row r="1834" spans="1:14" x14ac:dyDescent="0.3">
      <c r="A1834">
        <v>346</v>
      </c>
      <c r="B1834" t="s">
        <v>3831</v>
      </c>
      <c r="C1834" t="s">
        <v>3832</v>
      </c>
      <c r="D1834" t="s">
        <v>3833</v>
      </c>
      <c r="E1834" t="s">
        <v>17</v>
      </c>
      <c r="F1834" t="s">
        <v>3834</v>
      </c>
      <c r="G1834" s="3">
        <v>34.49</v>
      </c>
      <c r="H1834" s="3">
        <v>0</v>
      </c>
      <c r="I1834" s="3">
        <v>34.49</v>
      </c>
      <c r="J1834" s="3">
        <f>Table1[[#This Row],[قيمة الفاتورة]]*0.94-Table1[[#This Row],[قيمة المشاركة]]</f>
        <v>32.4206</v>
      </c>
      <c r="L1834" s="3" t="str">
        <f t="shared" si="28"/>
        <v/>
      </c>
      <c r="N1834" t="s">
        <v>19</v>
      </c>
    </row>
    <row r="1835" spans="1:14" x14ac:dyDescent="0.3">
      <c r="A1835">
        <v>23</v>
      </c>
      <c r="B1835" t="s">
        <v>477</v>
      </c>
      <c r="C1835" t="s">
        <v>478</v>
      </c>
      <c r="D1835" t="s">
        <v>3835</v>
      </c>
      <c r="E1835" t="s">
        <v>23</v>
      </c>
      <c r="F1835" t="s">
        <v>3834</v>
      </c>
      <c r="G1835" s="3">
        <v>4.08</v>
      </c>
      <c r="H1835" s="3">
        <v>0</v>
      </c>
      <c r="I1835" s="3">
        <v>4.08</v>
      </c>
      <c r="J1835" s="3">
        <f>Table1[[#This Row],[قيمة الفاتورة]]*0.94-Table1[[#This Row],[قيمة المشاركة]]</f>
        <v>3.8351999999999999</v>
      </c>
      <c r="L1835" s="3" t="str">
        <f t="shared" si="28"/>
        <v/>
      </c>
      <c r="N1835" t="s">
        <v>19</v>
      </c>
    </row>
    <row r="1836" spans="1:14" x14ac:dyDescent="0.3">
      <c r="A1836">
        <v>22</v>
      </c>
      <c r="B1836" t="s">
        <v>838</v>
      </c>
      <c r="C1836" t="s">
        <v>839</v>
      </c>
      <c r="D1836" t="s">
        <v>3836</v>
      </c>
      <c r="E1836" t="s">
        <v>23</v>
      </c>
      <c r="F1836" t="s">
        <v>3834</v>
      </c>
      <c r="G1836" s="3">
        <v>5.42</v>
      </c>
      <c r="H1836" s="3">
        <v>0.81299999999999994</v>
      </c>
      <c r="I1836" s="3">
        <v>4.6070000000000002</v>
      </c>
      <c r="J1836" s="3">
        <f>Table1[[#This Row],[قيمة الفاتورة]]*0.94-Table1[[#This Row],[قيمة المشاركة]]</f>
        <v>4.2817999999999996</v>
      </c>
      <c r="L1836" s="3" t="str">
        <f t="shared" si="28"/>
        <v/>
      </c>
      <c r="N1836" t="s">
        <v>19</v>
      </c>
    </row>
    <row r="1837" spans="1:14" x14ac:dyDescent="0.3">
      <c r="A1837">
        <v>24</v>
      </c>
      <c r="B1837" t="s">
        <v>838</v>
      </c>
      <c r="C1837" t="s">
        <v>839</v>
      </c>
      <c r="D1837" t="s">
        <v>3837</v>
      </c>
      <c r="E1837" t="s">
        <v>23</v>
      </c>
      <c r="F1837" t="s">
        <v>3834</v>
      </c>
      <c r="G1837" s="3">
        <v>40.75</v>
      </c>
      <c r="H1837" s="3">
        <v>8.15</v>
      </c>
      <c r="I1837" s="3">
        <v>32.6</v>
      </c>
      <c r="J1837" s="3">
        <f>Table1[[#This Row],[قيمة الفاتورة]]*0.94-Table1[[#This Row],[قيمة المشاركة]]</f>
        <v>30.155000000000001</v>
      </c>
      <c r="L1837" s="3" t="str">
        <f t="shared" si="28"/>
        <v/>
      </c>
      <c r="N1837" t="s">
        <v>19</v>
      </c>
    </row>
    <row r="1838" spans="1:14" x14ac:dyDescent="0.3">
      <c r="A1838">
        <v>19</v>
      </c>
      <c r="B1838" t="s">
        <v>1694</v>
      </c>
      <c r="C1838" t="s">
        <v>1233</v>
      </c>
      <c r="D1838" t="s">
        <v>3838</v>
      </c>
      <c r="E1838" t="s">
        <v>23</v>
      </c>
      <c r="F1838" t="s">
        <v>3834</v>
      </c>
      <c r="G1838" s="3">
        <v>47.97</v>
      </c>
      <c r="H1838" s="3">
        <v>0</v>
      </c>
      <c r="I1838" s="3">
        <v>47.97</v>
      </c>
      <c r="J1838" s="3">
        <f>Table1[[#This Row],[قيمة الفاتورة]]*0.94-Table1[[#This Row],[قيمة المشاركة]]</f>
        <v>45.091799999999999</v>
      </c>
      <c r="L1838" s="3" t="str">
        <f t="shared" si="28"/>
        <v/>
      </c>
      <c r="N1838" t="s">
        <v>19</v>
      </c>
    </row>
    <row r="1839" spans="1:14" x14ac:dyDescent="0.3">
      <c r="A1839">
        <v>16</v>
      </c>
      <c r="B1839" t="s">
        <v>385</v>
      </c>
      <c r="C1839" t="s">
        <v>743</v>
      </c>
      <c r="D1839" t="s">
        <v>3807</v>
      </c>
      <c r="E1839" t="s">
        <v>17</v>
      </c>
      <c r="F1839" t="s">
        <v>3834</v>
      </c>
      <c r="G1839" s="3">
        <v>4.5999999999999996</v>
      </c>
      <c r="H1839" s="3">
        <v>0</v>
      </c>
      <c r="I1839" s="3">
        <v>4.5999999999999996</v>
      </c>
      <c r="J1839" s="3">
        <f>Table1[[#This Row],[قيمة الفاتورة]]*0.94-Table1[[#This Row],[قيمة المشاركة]]</f>
        <v>4.3239999999999998</v>
      </c>
      <c r="L1839" s="3" t="str">
        <f t="shared" si="28"/>
        <v/>
      </c>
      <c r="N1839" t="s">
        <v>19</v>
      </c>
    </row>
    <row r="1840" spans="1:14" x14ac:dyDescent="0.3">
      <c r="A1840">
        <v>17</v>
      </c>
      <c r="B1840" t="s">
        <v>385</v>
      </c>
      <c r="C1840" t="s">
        <v>743</v>
      </c>
      <c r="D1840" t="s">
        <v>3839</v>
      </c>
      <c r="E1840" t="s">
        <v>17</v>
      </c>
      <c r="F1840" t="s">
        <v>3834</v>
      </c>
      <c r="G1840" s="3">
        <v>5.85</v>
      </c>
      <c r="H1840" s="3">
        <v>0</v>
      </c>
      <c r="I1840" s="3">
        <v>5.85</v>
      </c>
      <c r="J1840" s="3">
        <f>Table1[[#This Row],[قيمة الفاتورة]]*0.94-Table1[[#This Row],[قيمة المشاركة]]</f>
        <v>5.4989999999999997</v>
      </c>
      <c r="L1840" s="3" t="str">
        <f t="shared" si="28"/>
        <v/>
      </c>
      <c r="N1840" t="s">
        <v>19</v>
      </c>
    </row>
    <row r="1841" spans="1:14" x14ac:dyDescent="0.3">
      <c r="A1841">
        <v>20</v>
      </c>
      <c r="B1841" t="s">
        <v>3297</v>
      </c>
      <c r="C1841" t="s">
        <v>3520</v>
      </c>
      <c r="D1841" t="s">
        <v>3840</v>
      </c>
      <c r="E1841" t="s">
        <v>17</v>
      </c>
      <c r="F1841" t="s">
        <v>3834</v>
      </c>
      <c r="G1841" s="3">
        <v>43.76</v>
      </c>
      <c r="H1841" s="3">
        <v>8.7520000000000007</v>
      </c>
      <c r="I1841" s="3">
        <v>35.008000000000003</v>
      </c>
      <c r="J1841" s="3">
        <f>Table1[[#This Row],[قيمة الفاتورة]]*0.94-Table1[[#This Row],[قيمة المشاركة]]</f>
        <v>32.38239999999999</v>
      </c>
      <c r="L1841" s="3" t="str">
        <f t="shared" si="28"/>
        <v/>
      </c>
      <c r="N1841" t="s">
        <v>328</v>
      </c>
    </row>
    <row r="1842" spans="1:14" x14ac:dyDescent="0.3">
      <c r="A1842">
        <v>21</v>
      </c>
      <c r="B1842" t="s">
        <v>3293</v>
      </c>
      <c r="C1842" t="s">
        <v>2991</v>
      </c>
      <c r="D1842" t="s">
        <v>3841</v>
      </c>
      <c r="E1842" t="s">
        <v>23</v>
      </c>
      <c r="F1842" t="s">
        <v>3834</v>
      </c>
      <c r="G1842" s="3">
        <v>56.03</v>
      </c>
      <c r="H1842" s="3">
        <v>11.206</v>
      </c>
      <c r="I1842" s="3">
        <v>44.823999999999998</v>
      </c>
      <c r="J1842" s="3">
        <f>Table1[[#This Row],[قيمة الفاتورة]]*0.94-Table1[[#This Row],[قيمة المشاركة]]</f>
        <v>41.462199999999996</v>
      </c>
      <c r="L1842" s="3" t="str">
        <f t="shared" si="28"/>
        <v/>
      </c>
      <c r="N1842" t="s">
        <v>328</v>
      </c>
    </row>
    <row r="1843" spans="1:14" x14ac:dyDescent="0.3">
      <c r="A1843">
        <v>18</v>
      </c>
      <c r="B1843" t="s">
        <v>3036</v>
      </c>
      <c r="C1843" t="s">
        <v>3517</v>
      </c>
      <c r="D1843" t="s">
        <v>3842</v>
      </c>
      <c r="E1843" t="s">
        <v>17</v>
      </c>
      <c r="F1843" t="s">
        <v>3834</v>
      </c>
      <c r="G1843" s="3">
        <v>19.850000000000001</v>
      </c>
      <c r="H1843" s="3">
        <v>3.97</v>
      </c>
      <c r="I1843" s="3">
        <v>15.88</v>
      </c>
      <c r="J1843" s="3">
        <f>Table1[[#This Row],[قيمة الفاتورة]]*0.94-Table1[[#This Row],[قيمة المشاركة]]</f>
        <v>14.688999999999998</v>
      </c>
      <c r="L1843" s="3" t="str">
        <f t="shared" si="28"/>
        <v/>
      </c>
      <c r="N1843" t="s">
        <v>328</v>
      </c>
    </row>
    <row r="1844" spans="1:14" x14ac:dyDescent="0.3">
      <c r="A1844">
        <v>15</v>
      </c>
      <c r="B1844" t="s">
        <v>3607</v>
      </c>
      <c r="C1844" t="s">
        <v>3843</v>
      </c>
      <c r="D1844" t="s">
        <v>3844</v>
      </c>
      <c r="E1844" t="s">
        <v>17</v>
      </c>
      <c r="F1844" t="s">
        <v>3834</v>
      </c>
      <c r="G1844" s="3">
        <v>62.28</v>
      </c>
      <c r="H1844" s="3">
        <v>12.456</v>
      </c>
      <c r="I1844" s="3">
        <v>49.823999999999998</v>
      </c>
      <c r="J1844" s="3">
        <f>Table1[[#This Row],[قيمة الفاتورة]]*0.94-Table1[[#This Row],[قيمة المشاركة]]</f>
        <v>46.087199999999996</v>
      </c>
      <c r="L1844" s="3" t="str">
        <f t="shared" si="28"/>
        <v/>
      </c>
      <c r="N1844" t="s">
        <v>328</v>
      </c>
    </row>
    <row r="1845" spans="1:14" x14ac:dyDescent="0.3">
      <c r="A1845">
        <v>25</v>
      </c>
      <c r="B1845" t="s">
        <v>2007</v>
      </c>
      <c r="C1845" t="s">
        <v>2008</v>
      </c>
      <c r="D1845" t="s">
        <v>3845</v>
      </c>
      <c r="E1845" t="s">
        <v>23</v>
      </c>
      <c r="F1845" t="s">
        <v>3846</v>
      </c>
      <c r="G1845" s="3">
        <v>65.25</v>
      </c>
      <c r="H1845" s="3">
        <v>13.05</v>
      </c>
      <c r="I1845" s="3">
        <v>52.2</v>
      </c>
      <c r="J1845" s="3">
        <f>Table1[[#This Row],[قيمة الفاتورة]]*0.94-Table1[[#This Row],[قيمة المشاركة]]</f>
        <v>48.284999999999997</v>
      </c>
      <c r="L1845" s="3" t="str">
        <f t="shared" si="28"/>
        <v/>
      </c>
      <c r="N1845" t="s">
        <v>328</v>
      </c>
    </row>
    <row r="1846" spans="1:14" x14ac:dyDescent="0.3">
      <c r="A1846">
        <v>26</v>
      </c>
      <c r="B1846" t="s">
        <v>732</v>
      </c>
      <c r="C1846" t="s">
        <v>733</v>
      </c>
      <c r="D1846" t="s">
        <v>3847</v>
      </c>
      <c r="E1846" t="s">
        <v>23</v>
      </c>
      <c r="F1846" t="s">
        <v>3846</v>
      </c>
      <c r="G1846" s="3">
        <v>15.7</v>
      </c>
      <c r="H1846" s="3">
        <v>3.14</v>
      </c>
      <c r="I1846" s="3">
        <v>12.56</v>
      </c>
      <c r="J1846" s="3">
        <f>Table1[[#This Row],[قيمة الفاتورة]]*0.94-Table1[[#This Row],[قيمة المشاركة]]</f>
        <v>11.617999999999999</v>
      </c>
      <c r="L1846" s="3" t="str">
        <f t="shared" si="28"/>
        <v/>
      </c>
      <c r="N1846" t="s">
        <v>328</v>
      </c>
    </row>
    <row r="1847" spans="1:14" x14ac:dyDescent="0.3">
      <c r="A1847">
        <v>27</v>
      </c>
      <c r="B1847" t="s">
        <v>2883</v>
      </c>
      <c r="C1847" t="s">
        <v>3848</v>
      </c>
      <c r="D1847" t="s">
        <v>3849</v>
      </c>
      <c r="E1847" t="s">
        <v>23</v>
      </c>
      <c r="F1847" t="s">
        <v>3846</v>
      </c>
      <c r="G1847" s="3">
        <v>30.21</v>
      </c>
      <c r="H1847" s="3">
        <v>0</v>
      </c>
      <c r="I1847" s="3">
        <v>30.21</v>
      </c>
      <c r="J1847" s="3">
        <f>Table1[[#This Row],[قيمة الفاتورة]]*0.94-Table1[[#This Row],[قيمة المشاركة]]</f>
        <v>28.397399999999998</v>
      </c>
      <c r="L1847" s="3" t="str">
        <f t="shared" si="28"/>
        <v/>
      </c>
      <c r="N1847" t="s">
        <v>19</v>
      </c>
    </row>
    <row r="1848" spans="1:14" x14ac:dyDescent="0.3">
      <c r="A1848">
        <v>351</v>
      </c>
      <c r="B1848" t="s">
        <v>196</v>
      </c>
      <c r="C1848" t="s">
        <v>197</v>
      </c>
      <c r="D1848" t="s">
        <v>3850</v>
      </c>
      <c r="E1848" t="s">
        <v>23</v>
      </c>
      <c r="F1848" t="s">
        <v>3851</v>
      </c>
      <c r="G1848" s="3">
        <v>23.61</v>
      </c>
      <c r="H1848" s="3">
        <v>0</v>
      </c>
      <c r="I1848" s="3">
        <v>23.61</v>
      </c>
      <c r="J1848" s="3">
        <f>Table1[[#This Row],[قيمة الفاتورة]]*0.94-Table1[[#This Row],[قيمة المشاركة]]</f>
        <v>22.193399999999997</v>
      </c>
      <c r="L1848" s="3" t="str">
        <f t="shared" si="28"/>
        <v/>
      </c>
      <c r="N1848" t="s">
        <v>19</v>
      </c>
    </row>
    <row r="1849" spans="1:14" x14ac:dyDescent="0.3">
      <c r="A1849">
        <v>352</v>
      </c>
      <c r="B1849" t="s">
        <v>196</v>
      </c>
      <c r="C1849" t="s">
        <v>3852</v>
      </c>
      <c r="D1849" t="s">
        <v>3853</v>
      </c>
      <c r="E1849" t="s">
        <v>23</v>
      </c>
      <c r="F1849" t="s">
        <v>3851</v>
      </c>
      <c r="G1849" s="3">
        <v>2.83</v>
      </c>
      <c r="H1849" s="3">
        <v>0</v>
      </c>
      <c r="I1849" s="3">
        <v>2.83</v>
      </c>
      <c r="J1849" s="3">
        <f>Table1[[#This Row],[قيمة الفاتورة]]*0.94-Table1[[#This Row],[قيمة المشاركة]]</f>
        <v>2.6602000000000001</v>
      </c>
      <c r="L1849" s="3" t="str">
        <f t="shared" si="28"/>
        <v/>
      </c>
      <c r="N1849" t="s">
        <v>19</v>
      </c>
    </row>
    <row r="1850" spans="1:14" x14ac:dyDescent="0.3">
      <c r="A1850">
        <v>348</v>
      </c>
      <c r="B1850" t="s">
        <v>596</v>
      </c>
      <c r="C1850" t="s">
        <v>173</v>
      </c>
      <c r="D1850" t="s">
        <v>3854</v>
      </c>
      <c r="E1850" t="s">
        <v>17</v>
      </c>
      <c r="F1850" t="s">
        <v>3851</v>
      </c>
      <c r="G1850" s="3">
        <v>25.32</v>
      </c>
      <c r="H1850" s="3">
        <v>0</v>
      </c>
      <c r="I1850" s="3">
        <v>25.32</v>
      </c>
      <c r="J1850" s="3">
        <f>Table1[[#This Row],[قيمة الفاتورة]]*0.94-Table1[[#This Row],[قيمة المشاركة]]</f>
        <v>23.800799999999999</v>
      </c>
      <c r="L1850" s="3" t="str">
        <f t="shared" si="28"/>
        <v/>
      </c>
      <c r="N1850" t="s">
        <v>19</v>
      </c>
    </row>
    <row r="1851" spans="1:14" x14ac:dyDescent="0.3">
      <c r="A1851">
        <v>349</v>
      </c>
      <c r="B1851" t="s">
        <v>3273</v>
      </c>
      <c r="C1851" t="s">
        <v>377</v>
      </c>
      <c r="D1851" t="s">
        <v>3855</v>
      </c>
      <c r="E1851" t="s">
        <v>23</v>
      </c>
      <c r="F1851" t="s">
        <v>3851</v>
      </c>
      <c r="G1851" s="3">
        <v>10.542999999999999</v>
      </c>
      <c r="H1851" s="3">
        <v>0</v>
      </c>
      <c r="I1851" s="3">
        <v>10.542999999999999</v>
      </c>
      <c r="J1851" s="3">
        <f>Table1[[#This Row],[قيمة الفاتورة]]*0.94-Table1[[#This Row],[قيمة المشاركة]]</f>
        <v>9.9104199999999985</v>
      </c>
      <c r="L1851" s="3" t="str">
        <f t="shared" si="28"/>
        <v/>
      </c>
      <c r="N1851" t="s">
        <v>19</v>
      </c>
    </row>
    <row r="1852" spans="1:14" x14ac:dyDescent="0.3">
      <c r="A1852">
        <v>31</v>
      </c>
      <c r="B1852" t="s">
        <v>360</v>
      </c>
      <c r="C1852" t="s">
        <v>361</v>
      </c>
      <c r="D1852" t="s">
        <v>3856</v>
      </c>
      <c r="E1852" t="s">
        <v>23</v>
      </c>
      <c r="F1852" t="s">
        <v>3851</v>
      </c>
      <c r="G1852" s="3">
        <v>8.3000000000000007</v>
      </c>
      <c r="H1852" s="3">
        <v>0</v>
      </c>
      <c r="I1852" s="3">
        <v>8.3000000000000007</v>
      </c>
      <c r="J1852" s="3">
        <f>Table1[[#This Row],[قيمة الفاتورة]]*0.94-Table1[[#This Row],[قيمة المشاركة]]</f>
        <v>7.8020000000000005</v>
      </c>
      <c r="L1852" s="3" t="str">
        <f t="shared" si="28"/>
        <v/>
      </c>
      <c r="N1852" t="s">
        <v>19</v>
      </c>
    </row>
    <row r="1853" spans="1:14" x14ac:dyDescent="0.3">
      <c r="A1853">
        <v>33</v>
      </c>
      <c r="B1853" t="s">
        <v>1753</v>
      </c>
      <c r="C1853" t="s">
        <v>1754</v>
      </c>
      <c r="D1853" t="s">
        <v>3857</v>
      </c>
      <c r="E1853" t="s">
        <v>23</v>
      </c>
      <c r="F1853" t="s">
        <v>3851</v>
      </c>
      <c r="G1853" s="3">
        <v>22.875</v>
      </c>
      <c r="H1853" s="3">
        <v>0</v>
      </c>
      <c r="I1853" s="3">
        <v>22.875</v>
      </c>
      <c r="J1853" s="3">
        <f>Table1[[#This Row],[قيمة الفاتورة]]*0.94-Table1[[#This Row],[قيمة المشاركة]]</f>
        <v>21.502499999999998</v>
      </c>
      <c r="L1853" s="3" t="str">
        <f t="shared" si="28"/>
        <v/>
      </c>
      <c r="N1853" t="s">
        <v>19</v>
      </c>
    </row>
    <row r="1854" spans="1:14" x14ac:dyDescent="0.3">
      <c r="A1854">
        <v>347</v>
      </c>
      <c r="B1854" t="s">
        <v>2313</v>
      </c>
      <c r="C1854" t="s">
        <v>2314</v>
      </c>
      <c r="D1854" t="s">
        <v>3858</v>
      </c>
      <c r="E1854" t="s">
        <v>23</v>
      </c>
      <c r="F1854" t="s">
        <v>3851</v>
      </c>
      <c r="G1854" s="3">
        <v>17.82</v>
      </c>
      <c r="H1854" s="3">
        <v>0</v>
      </c>
      <c r="I1854" s="3">
        <v>17.82</v>
      </c>
      <c r="J1854" s="3">
        <f>Table1[[#This Row],[قيمة الفاتورة]]*0.94-Table1[[#This Row],[قيمة المشاركة]]</f>
        <v>16.750799999999998</v>
      </c>
      <c r="L1854" s="3" t="str">
        <f t="shared" si="28"/>
        <v/>
      </c>
      <c r="N1854" t="s">
        <v>19</v>
      </c>
    </row>
    <row r="1855" spans="1:14" x14ac:dyDescent="0.3">
      <c r="A1855">
        <v>32</v>
      </c>
      <c r="B1855" t="s">
        <v>3248</v>
      </c>
      <c r="C1855" t="s">
        <v>3249</v>
      </c>
      <c r="D1855" t="s">
        <v>3859</v>
      </c>
      <c r="E1855" t="s">
        <v>17</v>
      </c>
      <c r="F1855" t="s">
        <v>3851</v>
      </c>
      <c r="G1855" s="3">
        <v>52.98</v>
      </c>
      <c r="H1855" s="3">
        <v>10.596</v>
      </c>
      <c r="I1855" s="3">
        <v>42.384</v>
      </c>
      <c r="J1855" s="3">
        <f>Table1[[#This Row],[قيمة الفاتورة]]*0.94-Table1[[#This Row],[قيمة المشاركة]]</f>
        <v>39.205199999999991</v>
      </c>
      <c r="L1855" s="3" t="str">
        <f t="shared" si="28"/>
        <v/>
      </c>
      <c r="N1855" t="s">
        <v>328</v>
      </c>
    </row>
    <row r="1856" spans="1:14" x14ac:dyDescent="0.3">
      <c r="A1856">
        <v>30</v>
      </c>
      <c r="B1856" t="s">
        <v>3397</v>
      </c>
      <c r="C1856" t="s">
        <v>3398</v>
      </c>
      <c r="D1856" t="s">
        <v>3860</v>
      </c>
      <c r="E1856" t="s">
        <v>17</v>
      </c>
      <c r="F1856" t="s">
        <v>3851</v>
      </c>
      <c r="G1856" s="3">
        <v>13.43</v>
      </c>
      <c r="H1856" s="3">
        <v>2.6859999999999999</v>
      </c>
      <c r="I1856" s="3">
        <v>10.744</v>
      </c>
      <c r="J1856" s="3">
        <f>Table1[[#This Row],[قيمة الفاتورة]]*0.94-Table1[[#This Row],[قيمة المشاركة]]</f>
        <v>9.9381999999999984</v>
      </c>
      <c r="L1856" s="3" t="str">
        <f t="shared" si="28"/>
        <v/>
      </c>
      <c r="N1856" t="s">
        <v>328</v>
      </c>
    </row>
    <row r="1857" spans="1:14" x14ac:dyDescent="0.3">
      <c r="A1857">
        <v>28</v>
      </c>
      <c r="B1857" t="s">
        <v>3861</v>
      </c>
      <c r="C1857" t="s">
        <v>3862</v>
      </c>
      <c r="D1857" t="s">
        <v>3863</v>
      </c>
      <c r="E1857" t="s">
        <v>17</v>
      </c>
      <c r="F1857" t="s">
        <v>3851</v>
      </c>
      <c r="G1857" s="3">
        <v>46.89</v>
      </c>
      <c r="H1857" s="3">
        <v>9.3780000000000001</v>
      </c>
      <c r="I1857" s="3">
        <v>37.512</v>
      </c>
      <c r="J1857" s="3">
        <f>Table1[[#This Row],[قيمة الفاتورة]]*0.94-Table1[[#This Row],[قيمة المشاركة]]</f>
        <v>34.698599999999999</v>
      </c>
      <c r="L1857" s="3" t="str">
        <f t="shared" si="28"/>
        <v/>
      </c>
      <c r="N1857" t="s">
        <v>328</v>
      </c>
    </row>
    <row r="1858" spans="1:14" x14ac:dyDescent="0.3">
      <c r="A1858">
        <v>29</v>
      </c>
      <c r="B1858" t="s">
        <v>3861</v>
      </c>
      <c r="C1858" t="s">
        <v>3862</v>
      </c>
      <c r="D1858" t="s">
        <v>3864</v>
      </c>
      <c r="E1858" t="s">
        <v>17</v>
      </c>
      <c r="F1858" t="s">
        <v>3851</v>
      </c>
      <c r="G1858" s="3">
        <v>18.63</v>
      </c>
      <c r="H1858" s="3">
        <v>3.726</v>
      </c>
      <c r="I1858" s="3">
        <v>14.904</v>
      </c>
      <c r="J1858" s="3">
        <f>Table1[[#This Row],[قيمة الفاتورة]]*0.94-Table1[[#This Row],[قيمة المشاركة]]</f>
        <v>13.786199999999997</v>
      </c>
      <c r="L1858" s="3" t="str">
        <f t="shared" ref="L1858:L1921" si="29">IF(ISNUMBER(K1858), J1858-K1858, "")</f>
        <v/>
      </c>
      <c r="N1858" t="s">
        <v>328</v>
      </c>
    </row>
    <row r="1859" spans="1:14" x14ac:dyDescent="0.3">
      <c r="A1859">
        <v>350</v>
      </c>
      <c r="B1859" t="s">
        <v>3210</v>
      </c>
      <c r="C1859" t="s">
        <v>3865</v>
      </c>
      <c r="D1859" t="s">
        <v>3866</v>
      </c>
      <c r="E1859" t="s">
        <v>17</v>
      </c>
      <c r="F1859" t="s">
        <v>3851</v>
      </c>
      <c r="G1859" s="3">
        <v>27.69</v>
      </c>
      <c r="H1859" s="3">
        <v>5.5380000000000003</v>
      </c>
      <c r="I1859" s="3">
        <v>22.152000000000001</v>
      </c>
      <c r="J1859" s="3">
        <f>Table1[[#This Row],[قيمة الفاتورة]]*0.94-Table1[[#This Row],[قيمة المشاركة]]</f>
        <v>20.490600000000001</v>
      </c>
      <c r="K1859" s="3">
        <v>15.51</v>
      </c>
      <c r="L1859" s="3">
        <f t="shared" si="29"/>
        <v>4.9806000000000008</v>
      </c>
      <c r="M1859" s="6">
        <v>46188</v>
      </c>
      <c r="N1859" s="6" t="s">
        <v>328</v>
      </c>
    </row>
    <row r="1860" spans="1:14" x14ac:dyDescent="0.3">
      <c r="A1860">
        <v>34</v>
      </c>
      <c r="B1860" t="s">
        <v>437</v>
      </c>
      <c r="C1860" t="s">
        <v>438</v>
      </c>
      <c r="D1860" t="s">
        <v>3867</v>
      </c>
      <c r="E1860" t="s">
        <v>23</v>
      </c>
      <c r="F1860" t="s">
        <v>3868</v>
      </c>
      <c r="G1860" s="3">
        <v>8.6199999999999992</v>
      </c>
      <c r="H1860" s="3">
        <v>0</v>
      </c>
      <c r="I1860" s="3">
        <v>8.6199999999999992</v>
      </c>
      <c r="J1860" s="3">
        <f>Table1[[#This Row],[قيمة الفاتورة]]*0.94-Table1[[#This Row],[قيمة المشاركة]]</f>
        <v>8.1027999999999984</v>
      </c>
      <c r="L1860" s="3" t="str">
        <f t="shared" si="29"/>
        <v/>
      </c>
      <c r="N1860" t="s">
        <v>19</v>
      </c>
    </row>
    <row r="1861" spans="1:14" x14ac:dyDescent="0.3">
      <c r="A1861">
        <v>35</v>
      </c>
      <c r="B1861" t="s">
        <v>3707</v>
      </c>
      <c r="C1861" t="s">
        <v>3708</v>
      </c>
      <c r="D1861" t="s">
        <v>3869</v>
      </c>
      <c r="E1861" t="s">
        <v>17</v>
      </c>
      <c r="F1861" t="s">
        <v>3868</v>
      </c>
      <c r="G1861" s="3">
        <v>34.74</v>
      </c>
      <c r="H1861" s="3">
        <v>6.9480000000000004</v>
      </c>
      <c r="I1861" s="3">
        <v>27.792000000000002</v>
      </c>
      <c r="J1861" s="3">
        <f>Table1[[#This Row],[قيمة الفاتورة]]*0.94-Table1[[#This Row],[قيمة المشاركة]]</f>
        <v>25.707599999999999</v>
      </c>
      <c r="L1861" s="3" t="str">
        <f t="shared" si="29"/>
        <v/>
      </c>
      <c r="N1861" t="s">
        <v>328</v>
      </c>
    </row>
    <row r="1862" spans="1:14" x14ac:dyDescent="0.3">
      <c r="A1862">
        <v>36</v>
      </c>
      <c r="B1862" t="s">
        <v>707</v>
      </c>
      <c r="C1862" t="s">
        <v>708</v>
      </c>
      <c r="D1862" t="s">
        <v>3870</v>
      </c>
      <c r="E1862" t="s">
        <v>23</v>
      </c>
      <c r="F1862" t="s">
        <v>3871</v>
      </c>
      <c r="G1862" s="3">
        <v>4.4800000000000004</v>
      </c>
      <c r="H1862" s="3">
        <v>0</v>
      </c>
      <c r="I1862" s="3">
        <v>4.4800000000000004</v>
      </c>
      <c r="J1862" s="3">
        <f>Table1[[#This Row],[قيمة الفاتورة]]*0.94-Table1[[#This Row],[قيمة المشاركة]]</f>
        <v>4.2111999999999998</v>
      </c>
      <c r="L1862" s="3" t="str">
        <f t="shared" si="29"/>
        <v/>
      </c>
      <c r="N1862" t="s">
        <v>19</v>
      </c>
    </row>
    <row r="1863" spans="1:14" x14ac:dyDescent="0.3">
      <c r="A1863">
        <v>353</v>
      </c>
      <c r="B1863" t="s">
        <v>2239</v>
      </c>
      <c r="C1863" t="s">
        <v>2240</v>
      </c>
      <c r="D1863" t="s">
        <v>3872</v>
      </c>
      <c r="E1863" t="s">
        <v>23</v>
      </c>
      <c r="F1863" t="s">
        <v>3871</v>
      </c>
      <c r="G1863" s="3">
        <v>3</v>
      </c>
      <c r="H1863" s="3">
        <v>0</v>
      </c>
      <c r="I1863" s="3">
        <v>3</v>
      </c>
      <c r="J1863" s="3">
        <f>Table1[[#This Row],[قيمة الفاتورة]]*0.94-Table1[[#This Row],[قيمة المشاركة]]</f>
        <v>2.82</v>
      </c>
      <c r="L1863" s="3" t="str">
        <f t="shared" si="29"/>
        <v/>
      </c>
      <c r="N1863" t="s">
        <v>19</v>
      </c>
    </row>
    <row r="1864" spans="1:14" x14ac:dyDescent="0.3">
      <c r="A1864">
        <v>37</v>
      </c>
      <c r="B1864" t="s">
        <v>3873</v>
      </c>
      <c r="C1864" t="s">
        <v>3874</v>
      </c>
      <c r="D1864" t="s">
        <v>3875</v>
      </c>
      <c r="E1864" t="s">
        <v>23</v>
      </c>
      <c r="F1864" t="s">
        <v>3871</v>
      </c>
      <c r="G1864" s="3">
        <v>40.25</v>
      </c>
      <c r="H1864" s="3">
        <v>8.0500000000000007</v>
      </c>
      <c r="I1864" s="3">
        <v>32.200000000000003</v>
      </c>
      <c r="J1864" s="3">
        <f>Table1[[#This Row],[قيمة الفاتورة]]*0.94-Table1[[#This Row],[قيمة المشاركة]]</f>
        <v>29.785</v>
      </c>
      <c r="L1864" s="3" t="str">
        <f t="shared" si="29"/>
        <v/>
      </c>
      <c r="N1864" t="s">
        <v>328</v>
      </c>
    </row>
    <row r="1865" spans="1:14" x14ac:dyDescent="0.3">
      <c r="A1865">
        <v>38</v>
      </c>
      <c r="B1865" t="s">
        <v>3876</v>
      </c>
      <c r="C1865" t="s">
        <v>3301</v>
      </c>
      <c r="D1865" t="s">
        <v>3877</v>
      </c>
      <c r="E1865" t="s">
        <v>23</v>
      </c>
      <c r="F1865" t="s">
        <v>3871</v>
      </c>
      <c r="G1865" s="3">
        <v>38.200000000000003</v>
      </c>
      <c r="H1865" s="3">
        <v>7.64</v>
      </c>
      <c r="I1865" s="3">
        <v>30.56</v>
      </c>
      <c r="J1865" s="3">
        <f>Table1[[#This Row],[قيمة الفاتورة]]*0.94-Table1[[#This Row],[قيمة المشاركة]]</f>
        <v>28.268000000000001</v>
      </c>
      <c r="L1865" s="3" t="str">
        <f t="shared" si="29"/>
        <v/>
      </c>
      <c r="N1865" t="s">
        <v>328</v>
      </c>
    </row>
    <row r="1866" spans="1:14" x14ac:dyDescent="0.3">
      <c r="A1866">
        <v>45</v>
      </c>
      <c r="B1866" t="s">
        <v>1616</v>
      </c>
      <c r="C1866" t="s">
        <v>1617</v>
      </c>
      <c r="D1866" t="s">
        <v>3878</v>
      </c>
      <c r="E1866" t="s">
        <v>17</v>
      </c>
      <c r="F1866" t="s">
        <v>3879</v>
      </c>
      <c r="G1866" s="3">
        <v>2.81</v>
      </c>
      <c r="H1866" s="3">
        <v>0</v>
      </c>
      <c r="I1866" s="3">
        <v>2.81</v>
      </c>
      <c r="J1866" s="3">
        <f>Table1[[#This Row],[قيمة الفاتورة]]*0.94-Table1[[#This Row],[قيمة المشاركة]]</f>
        <v>2.6414</v>
      </c>
      <c r="L1866" s="3" t="str">
        <f t="shared" si="29"/>
        <v/>
      </c>
      <c r="N1866" t="s">
        <v>19</v>
      </c>
    </row>
    <row r="1867" spans="1:14" x14ac:dyDescent="0.3">
      <c r="A1867">
        <v>40</v>
      </c>
      <c r="B1867" t="s">
        <v>3503</v>
      </c>
      <c r="C1867" t="s">
        <v>3504</v>
      </c>
      <c r="D1867" t="s">
        <v>3880</v>
      </c>
      <c r="E1867" t="s">
        <v>23</v>
      </c>
      <c r="F1867" t="s">
        <v>3879</v>
      </c>
      <c r="G1867" s="3">
        <v>25.08</v>
      </c>
      <c r="H1867" s="3">
        <v>0</v>
      </c>
      <c r="I1867" s="3">
        <v>25.08</v>
      </c>
      <c r="J1867" s="3">
        <f>Table1[[#This Row],[قيمة الفاتورة]]*0.94-Table1[[#This Row],[قيمة المشاركة]]</f>
        <v>23.575199999999999</v>
      </c>
      <c r="L1867" s="3" t="str">
        <f t="shared" si="29"/>
        <v/>
      </c>
      <c r="N1867" t="s">
        <v>19</v>
      </c>
    </row>
    <row r="1868" spans="1:14" x14ac:dyDescent="0.3">
      <c r="A1868">
        <v>39</v>
      </c>
      <c r="B1868" t="s">
        <v>437</v>
      </c>
      <c r="C1868" t="s">
        <v>3881</v>
      </c>
      <c r="D1868" t="s">
        <v>3882</v>
      </c>
      <c r="E1868" t="s">
        <v>17</v>
      </c>
      <c r="F1868" t="s">
        <v>3879</v>
      </c>
      <c r="G1868" s="3">
        <v>8.44</v>
      </c>
      <c r="H1868" s="3">
        <v>0</v>
      </c>
      <c r="I1868" s="3">
        <v>8.44</v>
      </c>
      <c r="J1868" s="3">
        <f>Table1[[#This Row],[قيمة الفاتورة]]*0.94-Table1[[#This Row],[قيمة المشاركة]]</f>
        <v>7.9335999999999993</v>
      </c>
      <c r="L1868" s="3" t="str">
        <f t="shared" si="29"/>
        <v/>
      </c>
      <c r="N1868" t="s">
        <v>19</v>
      </c>
    </row>
    <row r="1869" spans="1:14" x14ac:dyDescent="0.3">
      <c r="A1869">
        <v>43</v>
      </c>
      <c r="B1869" t="s">
        <v>2001</v>
      </c>
      <c r="C1869" t="s">
        <v>2002</v>
      </c>
      <c r="D1869" t="s">
        <v>3883</v>
      </c>
      <c r="E1869" t="s">
        <v>17</v>
      </c>
      <c r="F1869" t="s">
        <v>3879</v>
      </c>
      <c r="G1869" s="3">
        <v>3.12</v>
      </c>
      <c r="H1869" s="3">
        <v>0</v>
      </c>
      <c r="I1869" s="3">
        <v>3.12</v>
      </c>
      <c r="J1869" s="3">
        <f>Table1[[#This Row],[قيمة الفاتورة]]*0.94-Table1[[#This Row],[قيمة المشاركة]]</f>
        <v>2.9327999999999999</v>
      </c>
      <c r="L1869" s="3" t="str">
        <f t="shared" si="29"/>
        <v/>
      </c>
      <c r="N1869" t="s">
        <v>19</v>
      </c>
    </row>
    <row r="1870" spans="1:14" x14ac:dyDescent="0.3">
      <c r="A1870">
        <v>44</v>
      </c>
      <c r="B1870" t="s">
        <v>739</v>
      </c>
      <c r="C1870" t="s">
        <v>201</v>
      </c>
      <c r="D1870" t="s">
        <v>3884</v>
      </c>
      <c r="E1870" t="s">
        <v>23</v>
      </c>
      <c r="F1870" t="s">
        <v>3879</v>
      </c>
      <c r="G1870" s="3">
        <v>30.34</v>
      </c>
      <c r="H1870" s="3">
        <v>0</v>
      </c>
      <c r="I1870" s="3">
        <v>30.34</v>
      </c>
      <c r="J1870" s="3">
        <f>Table1[[#This Row],[قيمة الفاتورة]]*0.94-Table1[[#This Row],[قيمة المشاركة]]</f>
        <v>28.519599999999997</v>
      </c>
      <c r="L1870" s="3" t="str">
        <f t="shared" si="29"/>
        <v/>
      </c>
      <c r="N1870" t="s">
        <v>19</v>
      </c>
    </row>
    <row r="1871" spans="1:14" x14ac:dyDescent="0.3">
      <c r="A1871">
        <v>42</v>
      </c>
      <c r="B1871" t="s">
        <v>3885</v>
      </c>
      <c r="C1871" t="s">
        <v>611</v>
      </c>
      <c r="D1871" t="s">
        <v>3886</v>
      </c>
      <c r="E1871" t="s">
        <v>23</v>
      </c>
      <c r="F1871" t="s">
        <v>3879</v>
      </c>
      <c r="G1871" s="3">
        <v>20</v>
      </c>
      <c r="H1871" s="3">
        <v>0</v>
      </c>
      <c r="I1871" s="3">
        <v>20</v>
      </c>
      <c r="J1871" s="3">
        <f>Table1[[#This Row],[قيمة الفاتورة]]*0.94-Table1[[#This Row],[قيمة المشاركة]]</f>
        <v>18.799999999999997</v>
      </c>
      <c r="L1871" s="3" t="str">
        <f t="shared" si="29"/>
        <v/>
      </c>
      <c r="N1871" t="s">
        <v>19</v>
      </c>
    </row>
    <row r="1872" spans="1:14" x14ac:dyDescent="0.3">
      <c r="A1872">
        <v>41</v>
      </c>
      <c r="B1872" t="s">
        <v>3329</v>
      </c>
      <c r="C1872" t="s">
        <v>3330</v>
      </c>
      <c r="D1872" t="s">
        <v>3887</v>
      </c>
      <c r="E1872" t="s">
        <v>17</v>
      </c>
      <c r="F1872" t="s">
        <v>3879</v>
      </c>
      <c r="G1872" s="3">
        <v>77.59</v>
      </c>
      <c r="H1872" s="3">
        <v>15.518000000000001</v>
      </c>
      <c r="I1872" s="3">
        <v>62.072000000000003</v>
      </c>
      <c r="J1872" s="3">
        <f>Table1[[#This Row],[قيمة الفاتورة]]*0.94-Table1[[#This Row],[قيمة المشاركة]]</f>
        <v>57.416600000000003</v>
      </c>
      <c r="L1872" s="3" t="str">
        <f t="shared" si="29"/>
        <v/>
      </c>
      <c r="N1872" t="s">
        <v>328</v>
      </c>
    </row>
    <row r="1873" spans="1:14" x14ac:dyDescent="0.3">
      <c r="A1873">
        <v>354</v>
      </c>
      <c r="B1873" t="s">
        <v>3888</v>
      </c>
      <c r="C1873" t="s">
        <v>2351</v>
      </c>
      <c r="D1873" t="s">
        <v>3889</v>
      </c>
      <c r="E1873" t="s">
        <v>23</v>
      </c>
      <c r="F1873" t="s">
        <v>3879</v>
      </c>
      <c r="G1873" s="3">
        <v>6.86</v>
      </c>
      <c r="H1873" s="3">
        <v>1.3720000000000001</v>
      </c>
      <c r="I1873" s="3">
        <v>5.4880000000000004</v>
      </c>
      <c r="J1873" s="3">
        <f>Table1[[#This Row],[قيمة الفاتورة]]*0.94-Table1[[#This Row],[قيمة المشاركة]]</f>
        <v>5.0764000000000005</v>
      </c>
      <c r="L1873" s="3" t="str">
        <f t="shared" si="29"/>
        <v/>
      </c>
      <c r="N1873" t="s">
        <v>19</v>
      </c>
    </row>
    <row r="1874" spans="1:14" x14ac:dyDescent="0.3">
      <c r="A1874">
        <v>355</v>
      </c>
      <c r="B1874" t="s">
        <v>3888</v>
      </c>
      <c r="C1874" t="s">
        <v>2351</v>
      </c>
      <c r="D1874" t="s">
        <v>3889</v>
      </c>
      <c r="E1874" t="s">
        <v>23</v>
      </c>
      <c r="F1874" t="s">
        <v>3879</v>
      </c>
      <c r="G1874" s="3">
        <v>6.86</v>
      </c>
      <c r="H1874" s="3">
        <v>0</v>
      </c>
      <c r="I1874" s="3">
        <v>6.86</v>
      </c>
      <c r="J1874" s="3">
        <f>Table1[[#This Row],[قيمة الفاتورة]]*0.94-Table1[[#This Row],[قيمة المشاركة]]</f>
        <v>6.4484000000000004</v>
      </c>
      <c r="L1874" s="3" t="str">
        <f t="shared" si="29"/>
        <v/>
      </c>
      <c r="N1874" t="s">
        <v>19</v>
      </c>
    </row>
    <row r="1875" spans="1:14" x14ac:dyDescent="0.3">
      <c r="A1875">
        <v>357</v>
      </c>
      <c r="B1875" t="s">
        <v>812</v>
      </c>
      <c r="C1875" t="s">
        <v>167</v>
      </c>
      <c r="D1875" t="s">
        <v>3890</v>
      </c>
      <c r="E1875" t="s">
        <v>23</v>
      </c>
      <c r="F1875" t="s">
        <v>3891</v>
      </c>
      <c r="G1875" s="3">
        <v>21.41</v>
      </c>
      <c r="H1875" s="3">
        <v>0</v>
      </c>
      <c r="I1875" s="3">
        <v>21.41</v>
      </c>
      <c r="J1875" s="3">
        <f>Table1[[#This Row],[قيمة الفاتورة]]*0.94-Table1[[#This Row],[قيمة المشاركة]]</f>
        <v>20.125399999999999</v>
      </c>
      <c r="L1875" s="3" t="str">
        <f t="shared" si="29"/>
        <v/>
      </c>
      <c r="N1875" t="s">
        <v>19</v>
      </c>
    </row>
    <row r="1876" spans="1:14" x14ac:dyDescent="0.3">
      <c r="A1876">
        <v>358</v>
      </c>
      <c r="B1876" t="s">
        <v>196</v>
      </c>
      <c r="C1876" t="s">
        <v>197</v>
      </c>
      <c r="D1876" t="s">
        <v>3892</v>
      </c>
      <c r="E1876" t="s">
        <v>23</v>
      </c>
      <c r="F1876" t="s">
        <v>3891</v>
      </c>
      <c r="G1876" s="3">
        <v>18.57</v>
      </c>
      <c r="H1876" s="3">
        <v>0</v>
      </c>
      <c r="I1876" s="3">
        <v>18.57</v>
      </c>
      <c r="J1876" s="3">
        <f>Table1[[#This Row],[قيمة الفاتورة]]*0.94-Table1[[#This Row],[قيمة المشاركة]]</f>
        <v>17.4558</v>
      </c>
      <c r="L1876" s="3" t="str">
        <f t="shared" si="29"/>
        <v/>
      </c>
      <c r="N1876" t="s">
        <v>19</v>
      </c>
    </row>
    <row r="1877" spans="1:14" x14ac:dyDescent="0.3">
      <c r="A1877">
        <v>356</v>
      </c>
      <c r="B1877" t="s">
        <v>3893</v>
      </c>
      <c r="C1877" t="s">
        <v>3894</v>
      </c>
      <c r="D1877" t="s">
        <v>3895</v>
      </c>
      <c r="E1877" t="s">
        <v>17</v>
      </c>
      <c r="F1877" t="s">
        <v>3891</v>
      </c>
      <c r="G1877" s="3">
        <v>36.409999999999997</v>
      </c>
      <c r="H1877" s="3">
        <v>0</v>
      </c>
      <c r="I1877" s="3">
        <v>36.409999999999997</v>
      </c>
      <c r="J1877" s="3">
        <f>Table1[[#This Row],[قيمة الفاتورة]]*0.94-Table1[[#This Row],[قيمة المشاركة]]</f>
        <v>34.225399999999993</v>
      </c>
      <c r="L1877" s="3" t="str">
        <f t="shared" si="29"/>
        <v/>
      </c>
      <c r="N1877" t="s">
        <v>19</v>
      </c>
    </row>
    <row r="1878" spans="1:14" x14ac:dyDescent="0.3">
      <c r="A1878">
        <v>50</v>
      </c>
      <c r="B1878" t="s">
        <v>142</v>
      </c>
      <c r="C1878" t="s">
        <v>143</v>
      </c>
      <c r="D1878" t="s">
        <v>3896</v>
      </c>
      <c r="E1878" t="s">
        <v>23</v>
      </c>
      <c r="F1878" t="s">
        <v>3891</v>
      </c>
      <c r="G1878" s="3">
        <v>3.95</v>
      </c>
      <c r="H1878" s="3">
        <v>0</v>
      </c>
      <c r="I1878" s="3">
        <v>3.95</v>
      </c>
      <c r="J1878" s="3">
        <f>Table1[[#This Row],[قيمة الفاتورة]]*0.94-Table1[[#This Row],[قيمة المشاركة]]</f>
        <v>3.7130000000000001</v>
      </c>
      <c r="L1878" s="3" t="str">
        <f t="shared" si="29"/>
        <v/>
      </c>
      <c r="N1878" t="s">
        <v>19</v>
      </c>
    </row>
    <row r="1879" spans="1:14" x14ac:dyDescent="0.3">
      <c r="A1879">
        <v>47</v>
      </c>
      <c r="B1879" t="s">
        <v>2912</v>
      </c>
      <c r="C1879" t="s">
        <v>2698</v>
      </c>
      <c r="D1879" t="s">
        <v>3484</v>
      </c>
      <c r="E1879" t="s">
        <v>17</v>
      </c>
      <c r="F1879" t="s">
        <v>3891</v>
      </c>
      <c r="G1879" s="3">
        <v>7.08</v>
      </c>
      <c r="H1879" s="3">
        <v>1.4159999999999999</v>
      </c>
      <c r="I1879" s="3">
        <v>5.6639999999999997</v>
      </c>
      <c r="J1879" s="3">
        <f>Table1[[#This Row],[قيمة الفاتورة]]*0.94-Table1[[#This Row],[قيمة المشاركة]]</f>
        <v>5.2392000000000003</v>
      </c>
      <c r="L1879" s="3" t="str">
        <f t="shared" si="29"/>
        <v/>
      </c>
      <c r="N1879" t="s">
        <v>328</v>
      </c>
    </row>
    <row r="1880" spans="1:14" x14ac:dyDescent="0.3">
      <c r="A1880">
        <v>48</v>
      </c>
      <c r="B1880" t="s">
        <v>2870</v>
      </c>
      <c r="C1880" t="s">
        <v>3059</v>
      </c>
      <c r="D1880" t="s">
        <v>3897</v>
      </c>
      <c r="E1880" t="s">
        <v>23</v>
      </c>
      <c r="F1880" t="s">
        <v>3891</v>
      </c>
      <c r="G1880" s="3">
        <v>31.8</v>
      </c>
      <c r="H1880" s="3">
        <v>6.36</v>
      </c>
      <c r="I1880" s="3">
        <v>25.44</v>
      </c>
      <c r="J1880" s="3">
        <f>Table1[[#This Row],[قيمة الفاتورة]]*0.94-Table1[[#This Row],[قيمة المشاركة]]</f>
        <v>23.532</v>
      </c>
      <c r="L1880" s="3" t="str">
        <f t="shared" si="29"/>
        <v/>
      </c>
      <c r="N1880" t="s">
        <v>328</v>
      </c>
    </row>
    <row r="1881" spans="1:14" x14ac:dyDescent="0.3">
      <c r="A1881">
        <v>49</v>
      </c>
      <c r="B1881" t="s">
        <v>3791</v>
      </c>
      <c r="C1881" t="s">
        <v>3792</v>
      </c>
      <c r="D1881" t="s">
        <v>3898</v>
      </c>
      <c r="E1881" t="s">
        <v>17</v>
      </c>
      <c r="F1881" t="s">
        <v>3891</v>
      </c>
      <c r="G1881" s="3">
        <v>53.82</v>
      </c>
      <c r="H1881" s="3">
        <v>10.763999999999999</v>
      </c>
      <c r="I1881" s="3">
        <v>43.055999999999997</v>
      </c>
      <c r="J1881" s="3">
        <f>Table1[[#This Row],[قيمة الفاتورة]]*0.94-Table1[[#This Row],[قيمة المشاركة]]</f>
        <v>39.826799999999992</v>
      </c>
      <c r="L1881" s="3" t="str">
        <f t="shared" si="29"/>
        <v/>
      </c>
      <c r="N1881" t="s">
        <v>328</v>
      </c>
    </row>
    <row r="1882" spans="1:14" x14ac:dyDescent="0.3">
      <c r="A1882">
        <v>46</v>
      </c>
      <c r="B1882" t="s">
        <v>3549</v>
      </c>
      <c r="C1882" t="s">
        <v>312</v>
      </c>
      <c r="D1882" t="s">
        <v>3899</v>
      </c>
      <c r="E1882" t="s">
        <v>17</v>
      </c>
      <c r="F1882" t="s">
        <v>3891</v>
      </c>
      <c r="G1882" s="3">
        <v>32.024999999999999</v>
      </c>
      <c r="H1882" s="3">
        <v>6.4050000000000002</v>
      </c>
      <c r="I1882" s="3">
        <v>25.62</v>
      </c>
      <c r="J1882" s="3">
        <f>Table1[[#This Row],[قيمة الفاتورة]]*0.94-Table1[[#This Row],[قيمة المشاركة]]</f>
        <v>23.698499999999996</v>
      </c>
      <c r="L1882" s="3" t="str">
        <f t="shared" si="29"/>
        <v/>
      </c>
      <c r="N1882" t="s">
        <v>328</v>
      </c>
    </row>
    <row r="1883" spans="1:14" x14ac:dyDescent="0.3">
      <c r="A1883">
        <v>53</v>
      </c>
      <c r="B1883" t="s">
        <v>2607</v>
      </c>
      <c r="C1883" t="s">
        <v>2608</v>
      </c>
      <c r="D1883" t="s">
        <v>3900</v>
      </c>
      <c r="E1883" t="s">
        <v>17</v>
      </c>
      <c r="F1883" t="s">
        <v>3901</v>
      </c>
      <c r="G1883" s="3">
        <v>30.54</v>
      </c>
      <c r="H1883" s="3">
        <v>0</v>
      </c>
      <c r="I1883" s="3">
        <v>30.54</v>
      </c>
      <c r="J1883" s="3">
        <f>Table1[[#This Row],[قيمة الفاتورة]]*0.94-Table1[[#This Row],[قيمة المشاركة]]</f>
        <v>28.707599999999999</v>
      </c>
      <c r="L1883" s="3" t="str">
        <f t="shared" si="29"/>
        <v/>
      </c>
      <c r="N1883" t="s">
        <v>19</v>
      </c>
    </row>
    <row r="1884" spans="1:14" x14ac:dyDescent="0.3">
      <c r="A1884">
        <v>361</v>
      </c>
      <c r="B1884" t="s">
        <v>2607</v>
      </c>
      <c r="C1884" t="s">
        <v>2608</v>
      </c>
      <c r="D1884" t="s">
        <v>3900</v>
      </c>
      <c r="E1884" t="s">
        <v>23</v>
      </c>
      <c r="F1884" t="s">
        <v>3901</v>
      </c>
      <c r="G1884" s="3">
        <v>12.23</v>
      </c>
      <c r="H1884" s="3">
        <v>0</v>
      </c>
      <c r="I1884" s="3">
        <v>12.23</v>
      </c>
      <c r="J1884" s="3">
        <f>Table1[[#This Row],[قيمة الفاتورة]]*0.94-Table1[[#This Row],[قيمة المشاركة]]</f>
        <v>11.4962</v>
      </c>
      <c r="L1884" s="3" t="str">
        <f t="shared" si="29"/>
        <v/>
      </c>
      <c r="N1884" t="s">
        <v>19</v>
      </c>
    </row>
    <row r="1885" spans="1:14" x14ac:dyDescent="0.3">
      <c r="A1885">
        <v>359</v>
      </c>
      <c r="B1885" t="s">
        <v>1926</v>
      </c>
      <c r="C1885" t="s">
        <v>3080</v>
      </c>
      <c r="D1885" t="s">
        <v>3902</v>
      </c>
      <c r="E1885" t="s">
        <v>17</v>
      </c>
      <c r="F1885" t="s">
        <v>3901</v>
      </c>
      <c r="G1885" s="3">
        <v>18.45</v>
      </c>
      <c r="H1885" s="3">
        <v>0</v>
      </c>
      <c r="I1885" s="3">
        <v>18.45</v>
      </c>
      <c r="J1885" s="3">
        <f>Table1[[#This Row],[قيمة الفاتورة]]*0.94-Table1[[#This Row],[قيمة المشاركة]]</f>
        <v>17.343</v>
      </c>
      <c r="L1885" s="3" t="str">
        <f t="shared" si="29"/>
        <v/>
      </c>
      <c r="N1885" t="s">
        <v>19</v>
      </c>
    </row>
    <row r="1886" spans="1:14" x14ac:dyDescent="0.3">
      <c r="A1886">
        <v>362</v>
      </c>
      <c r="B1886" t="s">
        <v>299</v>
      </c>
      <c r="C1886" t="s">
        <v>2955</v>
      </c>
      <c r="D1886" t="s">
        <v>3903</v>
      </c>
      <c r="E1886" t="s">
        <v>23</v>
      </c>
      <c r="F1886" t="s">
        <v>3901</v>
      </c>
      <c r="G1886" s="3">
        <v>5.07</v>
      </c>
      <c r="H1886" s="3">
        <v>0</v>
      </c>
      <c r="I1886" s="3">
        <v>5.07</v>
      </c>
      <c r="J1886" s="3">
        <f>Table1[[#This Row],[قيمة الفاتورة]]*0.94-Table1[[#This Row],[قيمة المشاركة]]</f>
        <v>4.7657999999999996</v>
      </c>
      <c r="L1886" s="3" t="str">
        <f t="shared" si="29"/>
        <v/>
      </c>
      <c r="N1886" t="s">
        <v>19</v>
      </c>
    </row>
    <row r="1887" spans="1:14" x14ac:dyDescent="0.3">
      <c r="A1887">
        <v>363</v>
      </c>
      <c r="B1887" t="s">
        <v>299</v>
      </c>
      <c r="C1887" t="s">
        <v>2955</v>
      </c>
      <c r="D1887" t="s">
        <v>3903</v>
      </c>
      <c r="E1887" t="s">
        <v>23</v>
      </c>
      <c r="F1887" t="s">
        <v>3901</v>
      </c>
      <c r="G1887" s="3">
        <v>18.135999999999999</v>
      </c>
      <c r="H1887" s="3">
        <v>0</v>
      </c>
      <c r="I1887" s="3">
        <v>18.135999999999999</v>
      </c>
      <c r="J1887" s="3">
        <f>Table1[[#This Row],[قيمة الفاتورة]]*0.94-Table1[[#This Row],[قيمة المشاركة]]</f>
        <v>17.047839999999997</v>
      </c>
      <c r="L1887" s="3" t="str">
        <f t="shared" si="29"/>
        <v/>
      </c>
      <c r="N1887" t="s">
        <v>19</v>
      </c>
    </row>
    <row r="1888" spans="1:14" x14ac:dyDescent="0.3">
      <c r="A1888">
        <v>56</v>
      </c>
      <c r="B1888" t="s">
        <v>142</v>
      </c>
      <c r="C1888" t="s">
        <v>143</v>
      </c>
      <c r="D1888" t="s">
        <v>3904</v>
      </c>
      <c r="E1888" t="s">
        <v>23</v>
      </c>
      <c r="F1888" t="s">
        <v>3901</v>
      </c>
      <c r="G1888" s="3">
        <v>10.69</v>
      </c>
      <c r="H1888" s="3">
        <v>0</v>
      </c>
      <c r="I1888" s="3">
        <v>10.69</v>
      </c>
      <c r="J1888" s="3">
        <f>Table1[[#This Row],[قيمة الفاتورة]]*0.94-Table1[[#This Row],[قيمة المشاركة]]</f>
        <v>10.048599999999999</v>
      </c>
      <c r="L1888" s="3" t="str">
        <f t="shared" si="29"/>
        <v/>
      </c>
      <c r="N1888" t="s">
        <v>19</v>
      </c>
    </row>
    <row r="1889" spans="1:14" x14ac:dyDescent="0.3">
      <c r="A1889">
        <v>55</v>
      </c>
      <c r="B1889" t="s">
        <v>2809</v>
      </c>
      <c r="C1889" t="s">
        <v>2810</v>
      </c>
      <c r="D1889" t="s">
        <v>3905</v>
      </c>
      <c r="E1889" t="s">
        <v>23</v>
      </c>
      <c r="F1889" t="s">
        <v>3901</v>
      </c>
      <c r="G1889" s="3">
        <v>9.9600000000000009</v>
      </c>
      <c r="H1889" s="3">
        <v>1.992</v>
      </c>
      <c r="I1889" s="3">
        <v>7.968</v>
      </c>
      <c r="J1889" s="3">
        <f>Table1[[#This Row],[قيمة الفاتورة]]*0.94-Table1[[#This Row],[قيمة المشاركة]]</f>
        <v>7.370400000000001</v>
      </c>
      <c r="L1889" s="3" t="str">
        <f t="shared" si="29"/>
        <v/>
      </c>
      <c r="N1889" t="s">
        <v>328</v>
      </c>
    </row>
    <row r="1890" spans="1:14" x14ac:dyDescent="0.3">
      <c r="A1890">
        <v>54</v>
      </c>
      <c r="B1890" t="s">
        <v>2812</v>
      </c>
      <c r="C1890" t="s">
        <v>3906</v>
      </c>
      <c r="D1890" t="s">
        <v>3907</v>
      </c>
      <c r="E1890" t="s">
        <v>23</v>
      </c>
      <c r="F1890" t="s">
        <v>3901</v>
      </c>
      <c r="G1890" s="3">
        <v>20.91</v>
      </c>
      <c r="H1890" s="3">
        <v>4.1820000000000004</v>
      </c>
      <c r="I1890" s="3">
        <v>16.728000000000002</v>
      </c>
      <c r="J1890" s="3">
        <f>Table1[[#This Row],[قيمة الفاتورة]]*0.94-Table1[[#This Row],[قيمة المشاركة]]</f>
        <v>15.4734</v>
      </c>
      <c r="L1890" s="3" t="str">
        <f t="shared" si="29"/>
        <v/>
      </c>
      <c r="N1890" t="s">
        <v>328</v>
      </c>
    </row>
    <row r="1891" spans="1:14" x14ac:dyDescent="0.3">
      <c r="A1891">
        <v>52</v>
      </c>
      <c r="B1891" t="s">
        <v>3381</v>
      </c>
      <c r="C1891" t="s">
        <v>3382</v>
      </c>
      <c r="D1891" t="s">
        <v>3908</v>
      </c>
      <c r="E1891" t="s">
        <v>23</v>
      </c>
      <c r="F1891" t="s">
        <v>3901</v>
      </c>
      <c r="G1891" s="3">
        <v>15.61</v>
      </c>
      <c r="H1891" s="3">
        <v>3.1219999999999999</v>
      </c>
      <c r="I1891" s="3">
        <v>12.488</v>
      </c>
      <c r="J1891" s="3">
        <f>Table1[[#This Row],[قيمة الفاتورة]]*0.94-Table1[[#This Row],[قيمة المشاركة]]</f>
        <v>11.551399999999999</v>
      </c>
      <c r="L1891" s="3" t="str">
        <f t="shared" si="29"/>
        <v/>
      </c>
      <c r="N1891" t="s">
        <v>328</v>
      </c>
    </row>
    <row r="1892" spans="1:14" x14ac:dyDescent="0.3">
      <c r="A1892">
        <v>51</v>
      </c>
      <c r="B1892" t="s">
        <v>3020</v>
      </c>
      <c r="C1892" t="s">
        <v>3021</v>
      </c>
      <c r="D1892" t="s">
        <v>3909</v>
      </c>
      <c r="E1892" t="s">
        <v>23</v>
      </c>
      <c r="F1892" t="s">
        <v>3901</v>
      </c>
      <c r="G1892" s="3">
        <v>24.46</v>
      </c>
      <c r="H1892" s="3">
        <v>4.8920000000000003</v>
      </c>
      <c r="I1892" s="3">
        <v>19.568000000000001</v>
      </c>
      <c r="J1892" s="3">
        <f>Table1[[#This Row],[قيمة الفاتورة]]*0.94-Table1[[#This Row],[قيمة المشاركة]]</f>
        <v>18.1004</v>
      </c>
      <c r="L1892" s="3" t="str">
        <f t="shared" si="29"/>
        <v/>
      </c>
      <c r="N1892" t="s">
        <v>328</v>
      </c>
    </row>
    <row r="1893" spans="1:14" x14ac:dyDescent="0.3">
      <c r="A1893">
        <v>360</v>
      </c>
      <c r="B1893" t="s">
        <v>3158</v>
      </c>
      <c r="C1893" t="s">
        <v>1954</v>
      </c>
      <c r="D1893" t="s">
        <v>3910</v>
      </c>
      <c r="E1893" t="s">
        <v>17</v>
      </c>
      <c r="F1893" t="s">
        <v>3901</v>
      </c>
      <c r="G1893" s="3">
        <v>16.186</v>
      </c>
      <c r="H1893" s="3">
        <v>3.2370000000000001</v>
      </c>
      <c r="I1893" s="3">
        <v>12.949</v>
      </c>
      <c r="J1893" s="3">
        <f>Table1[[#This Row],[قيمة الفاتورة]]*0.94-Table1[[#This Row],[قيمة المشاركة]]</f>
        <v>11.977839999999999</v>
      </c>
      <c r="L1893" s="3" t="str">
        <f t="shared" si="29"/>
        <v/>
      </c>
      <c r="N1893" t="s">
        <v>328</v>
      </c>
    </row>
    <row r="1894" spans="1:14" x14ac:dyDescent="0.3">
      <c r="A1894">
        <v>57</v>
      </c>
      <c r="B1894" t="s">
        <v>3911</v>
      </c>
      <c r="C1894" t="s">
        <v>3912</v>
      </c>
      <c r="D1894" t="s">
        <v>3913</v>
      </c>
      <c r="E1894" t="s">
        <v>23</v>
      </c>
      <c r="F1894" t="s">
        <v>3914</v>
      </c>
      <c r="G1894" s="3">
        <v>11.23</v>
      </c>
      <c r="H1894" s="3">
        <v>0</v>
      </c>
      <c r="I1894" s="3">
        <v>11.23</v>
      </c>
      <c r="J1894" s="3">
        <f>Table1[[#This Row],[قيمة الفاتورة]]*0.94-Table1[[#This Row],[قيمة المشاركة]]</f>
        <v>10.5562</v>
      </c>
      <c r="L1894" s="3" t="str">
        <f t="shared" si="29"/>
        <v/>
      </c>
      <c r="N1894" t="s">
        <v>19</v>
      </c>
    </row>
    <row r="1895" spans="1:14" x14ac:dyDescent="0.3">
      <c r="A1895">
        <v>60</v>
      </c>
      <c r="B1895" t="s">
        <v>3915</v>
      </c>
      <c r="C1895" t="s">
        <v>3143</v>
      </c>
      <c r="D1895" t="s">
        <v>3916</v>
      </c>
      <c r="E1895" t="s">
        <v>23</v>
      </c>
      <c r="F1895" t="s">
        <v>3914</v>
      </c>
      <c r="G1895" s="3">
        <v>14.79</v>
      </c>
      <c r="H1895" s="3">
        <v>0</v>
      </c>
      <c r="I1895" s="3">
        <v>14.79</v>
      </c>
      <c r="J1895" s="3">
        <f>Table1[[#This Row],[قيمة الفاتورة]]*0.94-Table1[[#This Row],[قيمة المشاركة]]</f>
        <v>13.902599999999998</v>
      </c>
      <c r="L1895" s="3" t="str">
        <f t="shared" si="29"/>
        <v/>
      </c>
      <c r="N1895" t="s">
        <v>19</v>
      </c>
    </row>
    <row r="1896" spans="1:14" x14ac:dyDescent="0.3">
      <c r="A1896">
        <v>61</v>
      </c>
      <c r="B1896" t="s">
        <v>484</v>
      </c>
      <c r="C1896" t="s">
        <v>485</v>
      </c>
      <c r="D1896" t="s">
        <v>3917</v>
      </c>
      <c r="E1896" t="s">
        <v>23</v>
      </c>
      <c r="F1896" t="s">
        <v>3914</v>
      </c>
      <c r="G1896" s="3">
        <v>23.21</v>
      </c>
      <c r="H1896" s="3">
        <v>0</v>
      </c>
      <c r="I1896" s="3">
        <v>23.21</v>
      </c>
      <c r="J1896" s="3">
        <f>Table1[[#This Row],[قيمة الفاتورة]]*0.94-Table1[[#This Row],[قيمة المشاركة]]</f>
        <v>21.817399999999999</v>
      </c>
      <c r="L1896" s="3" t="str">
        <f t="shared" si="29"/>
        <v/>
      </c>
      <c r="N1896" t="s">
        <v>19</v>
      </c>
    </row>
    <row r="1897" spans="1:14" x14ac:dyDescent="0.3">
      <c r="A1897">
        <v>62</v>
      </c>
      <c r="B1897" t="s">
        <v>3670</v>
      </c>
      <c r="C1897" t="s">
        <v>3755</v>
      </c>
      <c r="D1897" t="s">
        <v>3918</v>
      </c>
      <c r="E1897" t="s">
        <v>23</v>
      </c>
      <c r="F1897" t="s">
        <v>3914</v>
      </c>
      <c r="G1897" s="3">
        <v>0.7</v>
      </c>
      <c r="H1897" s="3">
        <v>0.14000000000000001</v>
      </c>
      <c r="I1897" s="3">
        <v>0.56000000000000005</v>
      </c>
      <c r="J1897" s="3">
        <f>Table1[[#This Row],[قيمة الفاتورة]]*0.94-Table1[[#This Row],[قيمة المشاركة]]</f>
        <v>0.5179999999999999</v>
      </c>
      <c r="L1897" s="3" t="str">
        <f t="shared" si="29"/>
        <v/>
      </c>
      <c r="N1897" t="s">
        <v>328</v>
      </c>
    </row>
    <row r="1898" spans="1:14" x14ac:dyDescent="0.3">
      <c r="A1898">
        <v>59</v>
      </c>
      <c r="B1898" t="s">
        <v>2714</v>
      </c>
      <c r="C1898" t="s">
        <v>2715</v>
      </c>
      <c r="D1898" t="s">
        <v>3919</v>
      </c>
      <c r="E1898" t="s">
        <v>17</v>
      </c>
      <c r="F1898" t="s">
        <v>3914</v>
      </c>
      <c r="G1898" s="3">
        <v>36.93</v>
      </c>
      <c r="H1898" s="3">
        <v>7.3860000000000001</v>
      </c>
      <c r="I1898" s="3">
        <v>29.544</v>
      </c>
      <c r="J1898" s="3">
        <f>Table1[[#This Row],[قيمة الفاتورة]]*0.94-Table1[[#This Row],[قيمة المشاركة]]</f>
        <v>27.328199999999999</v>
      </c>
      <c r="L1898" s="3" t="str">
        <f t="shared" si="29"/>
        <v/>
      </c>
      <c r="N1898" t="s">
        <v>328</v>
      </c>
    </row>
    <row r="1899" spans="1:14" x14ac:dyDescent="0.3">
      <c r="A1899">
        <v>58</v>
      </c>
      <c r="B1899" t="s">
        <v>3264</v>
      </c>
      <c r="C1899" t="s">
        <v>3265</v>
      </c>
      <c r="D1899" t="s">
        <v>3920</v>
      </c>
      <c r="E1899" t="s">
        <v>17</v>
      </c>
      <c r="F1899" t="s">
        <v>3914</v>
      </c>
      <c r="G1899" s="3">
        <v>3.02</v>
      </c>
      <c r="H1899" s="3">
        <v>0.60399999999999998</v>
      </c>
      <c r="I1899" s="3">
        <v>2.4159999999999999</v>
      </c>
      <c r="J1899" s="3">
        <f>Table1[[#This Row],[قيمة الفاتورة]]*0.94-Table1[[#This Row],[قيمة المشاركة]]</f>
        <v>2.2347999999999999</v>
      </c>
      <c r="L1899" s="3" t="str">
        <f t="shared" si="29"/>
        <v/>
      </c>
      <c r="N1899" t="s">
        <v>328</v>
      </c>
    </row>
    <row r="1900" spans="1:14" x14ac:dyDescent="0.3">
      <c r="A1900">
        <v>64</v>
      </c>
      <c r="B1900" t="s">
        <v>373</v>
      </c>
      <c r="C1900" t="s">
        <v>374</v>
      </c>
      <c r="D1900" t="s">
        <v>3921</v>
      </c>
      <c r="E1900" t="s">
        <v>23</v>
      </c>
      <c r="F1900" t="s">
        <v>3922</v>
      </c>
      <c r="G1900" s="3">
        <v>10.01</v>
      </c>
      <c r="H1900" s="3">
        <v>0</v>
      </c>
      <c r="I1900" s="3">
        <v>10.01</v>
      </c>
      <c r="J1900" s="3">
        <f>Table1[[#This Row],[قيمة الفاتورة]]*0.94-Table1[[#This Row],[قيمة المشاركة]]</f>
        <v>9.4093999999999998</v>
      </c>
      <c r="L1900" s="3" t="str">
        <f t="shared" si="29"/>
        <v/>
      </c>
      <c r="N1900" t="s">
        <v>19</v>
      </c>
    </row>
    <row r="1901" spans="1:14" x14ac:dyDescent="0.3">
      <c r="A1901">
        <v>65</v>
      </c>
      <c r="B1901" t="s">
        <v>1654</v>
      </c>
      <c r="C1901" t="s">
        <v>3923</v>
      </c>
      <c r="D1901" t="s">
        <v>3924</v>
      </c>
      <c r="E1901" t="s">
        <v>23</v>
      </c>
      <c r="F1901" t="s">
        <v>3922</v>
      </c>
      <c r="G1901" s="3">
        <v>9.1</v>
      </c>
      <c r="H1901" s="3">
        <v>0</v>
      </c>
      <c r="I1901" s="3">
        <v>9.1</v>
      </c>
      <c r="J1901" s="3">
        <f>Table1[[#This Row],[قيمة الفاتورة]]*0.94-Table1[[#This Row],[قيمة المشاركة]]</f>
        <v>8.5539999999999985</v>
      </c>
      <c r="L1901" s="3" t="str">
        <f t="shared" si="29"/>
        <v/>
      </c>
      <c r="N1901" t="s">
        <v>19</v>
      </c>
    </row>
    <row r="1902" spans="1:14" x14ac:dyDescent="0.3">
      <c r="A1902">
        <v>66</v>
      </c>
      <c r="B1902" t="s">
        <v>3925</v>
      </c>
      <c r="C1902" t="s">
        <v>3926</v>
      </c>
      <c r="D1902" t="s">
        <v>3927</v>
      </c>
      <c r="E1902" t="s">
        <v>17</v>
      </c>
      <c r="F1902" t="s">
        <v>3922</v>
      </c>
      <c r="G1902" s="3">
        <v>36.82</v>
      </c>
      <c r="H1902" s="3">
        <v>0</v>
      </c>
      <c r="I1902" s="3">
        <v>36.82</v>
      </c>
      <c r="J1902" s="3">
        <f>Table1[[#This Row],[قيمة الفاتورة]]*0.94-Table1[[#This Row],[قيمة المشاركة]]</f>
        <v>34.610799999999998</v>
      </c>
      <c r="L1902" s="3" t="str">
        <f t="shared" si="29"/>
        <v/>
      </c>
      <c r="N1902" t="s">
        <v>19</v>
      </c>
    </row>
    <row r="1903" spans="1:14" x14ac:dyDescent="0.3">
      <c r="A1903">
        <v>63</v>
      </c>
      <c r="B1903" t="s">
        <v>971</v>
      </c>
      <c r="C1903" t="s">
        <v>2408</v>
      </c>
      <c r="D1903" t="s">
        <v>3928</v>
      </c>
      <c r="E1903" t="s">
        <v>17</v>
      </c>
      <c r="F1903" t="s">
        <v>3922</v>
      </c>
      <c r="G1903" s="3">
        <v>15.72</v>
      </c>
      <c r="H1903" s="3">
        <v>0</v>
      </c>
      <c r="I1903" s="3">
        <v>15.72</v>
      </c>
      <c r="J1903" s="3">
        <f>Table1[[#This Row],[قيمة الفاتورة]]*0.94-Table1[[#This Row],[قيمة المشاركة]]</f>
        <v>14.7768</v>
      </c>
      <c r="L1903" s="3" t="str">
        <f t="shared" si="29"/>
        <v/>
      </c>
      <c r="N1903" t="s">
        <v>19</v>
      </c>
    </row>
    <row r="1904" spans="1:14" x14ac:dyDescent="0.3">
      <c r="A1904">
        <v>364</v>
      </c>
      <c r="B1904" t="s">
        <v>1491</v>
      </c>
      <c r="C1904" t="s">
        <v>3929</v>
      </c>
      <c r="D1904" t="s">
        <v>3930</v>
      </c>
      <c r="E1904" t="s">
        <v>23</v>
      </c>
      <c r="F1904" t="s">
        <v>3922</v>
      </c>
      <c r="G1904" s="3">
        <v>27.24</v>
      </c>
      <c r="H1904" s="3">
        <v>0</v>
      </c>
      <c r="I1904" s="3">
        <v>27.24</v>
      </c>
      <c r="J1904" s="3">
        <f>Table1[[#This Row],[قيمة الفاتورة]]*0.94-Table1[[#This Row],[قيمة المشاركة]]</f>
        <v>25.605599999999995</v>
      </c>
      <c r="L1904" s="3" t="str">
        <f t="shared" si="29"/>
        <v/>
      </c>
      <c r="N1904" t="s">
        <v>19</v>
      </c>
    </row>
    <row r="1905" spans="1:14" x14ac:dyDescent="0.3">
      <c r="A1905">
        <v>366</v>
      </c>
      <c r="B1905" t="s">
        <v>493</v>
      </c>
      <c r="C1905" t="s">
        <v>494</v>
      </c>
      <c r="D1905" t="s">
        <v>3931</v>
      </c>
      <c r="E1905" t="s">
        <v>17</v>
      </c>
      <c r="F1905" t="s">
        <v>3932</v>
      </c>
      <c r="G1905" s="3">
        <v>41.38</v>
      </c>
      <c r="H1905" s="3">
        <v>0</v>
      </c>
      <c r="I1905" s="3">
        <v>41.38</v>
      </c>
      <c r="J1905" s="3">
        <f>Table1[[#This Row],[قيمة الفاتورة]]*0.94-Table1[[#This Row],[قيمة المشاركة]]</f>
        <v>38.897199999999998</v>
      </c>
      <c r="L1905" s="3" t="str">
        <f t="shared" si="29"/>
        <v/>
      </c>
      <c r="N1905" t="s">
        <v>19</v>
      </c>
    </row>
    <row r="1906" spans="1:14" x14ac:dyDescent="0.3">
      <c r="A1906">
        <v>72</v>
      </c>
      <c r="B1906" t="s">
        <v>2823</v>
      </c>
      <c r="C1906" t="s">
        <v>2824</v>
      </c>
      <c r="D1906" t="s">
        <v>3933</v>
      </c>
      <c r="E1906" t="s">
        <v>23</v>
      </c>
      <c r="F1906" t="s">
        <v>3932</v>
      </c>
      <c r="G1906" s="3">
        <v>15.31</v>
      </c>
      <c r="H1906" s="3">
        <v>0</v>
      </c>
      <c r="I1906" s="3">
        <v>15.31</v>
      </c>
      <c r="J1906" s="3">
        <f>Table1[[#This Row],[قيمة الفاتورة]]*0.94-Table1[[#This Row],[قيمة المشاركة]]</f>
        <v>14.391399999999999</v>
      </c>
      <c r="L1906" s="3" t="str">
        <f t="shared" si="29"/>
        <v/>
      </c>
      <c r="N1906" t="s">
        <v>19</v>
      </c>
    </row>
    <row r="1907" spans="1:14" x14ac:dyDescent="0.3">
      <c r="A1907">
        <v>365</v>
      </c>
      <c r="B1907" t="s">
        <v>2610</v>
      </c>
      <c r="C1907" t="s">
        <v>2611</v>
      </c>
      <c r="D1907" t="s">
        <v>3934</v>
      </c>
      <c r="E1907" t="s">
        <v>23</v>
      </c>
      <c r="F1907" t="s">
        <v>3932</v>
      </c>
      <c r="G1907" s="3">
        <v>22.21</v>
      </c>
      <c r="H1907" s="3">
        <v>0</v>
      </c>
      <c r="I1907" s="3">
        <v>22.21</v>
      </c>
      <c r="J1907" s="3">
        <f>Table1[[#This Row],[قيمة الفاتورة]]*0.94-Table1[[#This Row],[قيمة المشاركة]]</f>
        <v>20.877399999999998</v>
      </c>
      <c r="L1907" s="3" t="str">
        <f t="shared" si="29"/>
        <v/>
      </c>
      <c r="N1907" t="s">
        <v>19</v>
      </c>
    </row>
    <row r="1908" spans="1:14" x14ac:dyDescent="0.3">
      <c r="A1908">
        <v>68</v>
      </c>
      <c r="B1908" t="s">
        <v>139</v>
      </c>
      <c r="C1908" t="s">
        <v>140</v>
      </c>
      <c r="D1908" t="s">
        <v>3935</v>
      </c>
      <c r="E1908" t="s">
        <v>17</v>
      </c>
      <c r="F1908" t="s">
        <v>3932</v>
      </c>
      <c r="G1908" s="3">
        <v>26.61</v>
      </c>
      <c r="H1908" s="3">
        <v>0</v>
      </c>
      <c r="I1908" s="3">
        <v>26.61</v>
      </c>
      <c r="J1908" s="3">
        <f>Table1[[#This Row],[قيمة الفاتورة]]*0.94-Table1[[#This Row],[قيمة المشاركة]]</f>
        <v>25.013399999999997</v>
      </c>
      <c r="L1908" s="3" t="str">
        <f t="shared" si="29"/>
        <v/>
      </c>
      <c r="N1908" t="s">
        <v>19</v>
      </c>
    </row>
    <row r="1909" spans="1:14" x14ac:dyDescent="0.3">
      <c r="A1909">
        <v>69</v>
      </c>
      <c r="B1909" t="s">
        <v>1017</v>
      </c>
      <c r="C1909" t="s">
        <v>1018</v>
      </c>
      <c r="D1909" t="s">
        <v>3936</v>
      </c>
      <c r="E1909" t="s">
        <v>17</v>
      </c>
      <c r="F1909" t="s">
        <v>3932</v>
      </c>
      <c r="G1909" s="3">
        <v>8.68</v>
      </c>
      <c r="H1909" s="3">
        <v>0</v>
      </c>
      <c r="I1909" s="3">
        <v>8.68</v>
      </c>
      <c r="J1909" s="3">
        <f>Table1[[#This Row],[قيمة الفاتورة]]*0.94-Table1[[#This Row],[قيمة المشاركة]]</f>
        <v>8.1591999999999985</v>
      </c>
      <c r="L1909" s="3" t="str">
        <f t="shared" si="29"/>
        <v/>
      </c>
      <c r="N1909" t="s">
        <v>19</v>
      </c>
    </row>
    <row r="1910" spans="1:14" x14ac:dyDescent="0.3">
      <c r="A1910">
        <v>67</v>
      </c>
      <c r="B1910" t="s">
        <v>464</v>
      </c>
      <c r="C1910" t="s">
        <v>465</v>
      </c>
      <c r="D1910" t="s">
        <v>3937</v>
      </c>
      <c r="E1910" t="s">
        <v>23</v>
      </c>
      <c r="F1910" t="s">
        <v>3932</v>
      </c>
      <c r="G1910" s="3">
        <v>28.23</v>
      </c>
      <c r="H1910" s="3">
        <v>0</v>
      </c>
      <c r="I1910" s="3">
        <v>28.23</v>
      </c>
      <c r="J1910" s="3">
        <f>Table1[[#This Row],[قيمة الفاتورة]]*0.94-Table1[[#This Row],[قيمة المشاركة]]</f>
        <v>26.536199999999997</v>
      </c>
      <c r="L1910" s="3" t="str">
        <f t="shared" si="29"/>
        <v/>
      </c>
      <c r="N1910" t="s">
        <v>19</v>
      </c>
    </row>
    <row r="1911" spans="1:14" x14ac:dyDescent="0.3">
      <c r="A1911">
        <v>71</v>
      </c>
      <c r="B1911" t="s">
        <v>1572</v>
      </c>
      <c r="C1911" t="s">
        <v>614</v>
      </c>
      <c r="D1911" t="s">
        <v>3938</v>
      </c>
      <c r="E1911" t="s">
        <v>23</v>
      </c>
      <c r="F1911" t="s">
        <v>3932</v>
      </c>
      <c r="G1911" s="3">
        <v>24.97</v>
      </c>
      <c r="H1911" s="3">
        <v>0</v>
      </c>
      <c r="I1911" s="3">
        <v>24.97</v>
      </c>
      <c r="J1911" s="3">
        <f>Table1[[#This Row],[قيمة الفاتورة]]*0.94-Table1[[#This Row],[قيمة المشاركة]]</f>
        <v>23.471799999999998</v>
      </c>
      <c r="L1911" s="3" t="str">
        <f t="shared" si="29"/>
        <v/>
      </c>
      <c r="N1911" t="s">
        <v>19</v>
      </c>
    </row>
    <row r="1912" spans="1:14" x14ac:dyDescent="0.3">
      <c r="A1912" s="7">
        <v>70</v>
      </c>
      <c r="B1912" s="7">
        <v>1479774</v>
      </c>
      <c r="C1912" s="7" t="s">
        <v>2790</v>
      </c>
      <c r="D1912" s="7" t="s">
        <v>3939</v>
      </c>
      <c r="E1912" s="7" t="s">
        <v>17</v>
      </c>
      <c r="F1912" s="7" t="s">
        <v>3932</v>
      </c>
      <c r="G1912" s="8">
        <v>8.75</v>
      </c>
      <c r="H1912" s="8">
        <v>0</v>
      </c>
      <c r="I1912" s="8">
        <v>8.75</v>
      </c>
      <c r="J1912" s="8">
        <f>Table1[[#This Row],[قيمة الفاتورة]]*0.94-Table1[[#This Row],[قيمة المشاركة]]</f>
        <v>8.2249999999999996</v>
      </c>
      <c r="L1912" s="3" t="str">
        <f t="shared" si="29"/>
        <v/>
      </c>
      <c r="N1912" t="s">
        <v>19</v>
      </c>
    </row>
    <row r="1913" spans="1:14" x14ac:dyDescent="0.3">
      <c r="A1913">
        <v>367</v>
      </c>
      <c r="B1913" t="s">
        <v>3940</v>
      </c>
      <c r="C1913" t="s">
        <v>3941</v>
      </c>
      <c r="D1913" t="s">
        <v>3942</v>
      </c>
      <c r="E1913" t="s">
        <v>23</v>
      </c>
      <c r="F1913" t="s">
        <v>3943</v>
      </c>
      <c r="G1913" s="3">
        <v>14.646000000000001</v>
      </c>
      <c r="H1913" s="3">
        <v>0</v>
      </c>
      <c r="I1913" s="3">
        <v>14.646000000000001</v>
      </c>
      <c r="J1913" s="3">
        <f>Table1[[#This Row],[قيمة الفاتورة]]*0.94-Table1[[#This Row],[قيمة المشاركة]]</f>
        <v>13.767239999999999</v>
      </c>
      <c r="L1913" s="3" t="str">
        <f t="shared" si="29"/>
        <v/>
      </c>
      <c r="N1913" t="s">
        <v>19</v>
      </c>
    </row>
    <row r="1914" spans="1:14" x14ac:dyDescent="0.3">
      <c r="A1914">
        <v>75</v>
      </c>
      <c r="B1914" t="s">
        <v>627</v>
      </c>
      <c r="C1914" t="s">
        <v>628</v>
      </c>
      <c r="D1914" t="s">
        <v>3944</v>
      </c>
      <c r="E1914" t="s">
        <v>23</v>
      </c>
      <c r="F1914" t="s">
        <v>3943</v>
      </c>
      <c r="G1914" s="3">
        <v>8.74</v>
      </c>
      <c r="H1914" s="3">
        <v>0</v>
      </c>
      <c r="I1914" s="3">
        <v>8.74</v>
      </c>
      <c r="J1914" s="3">
        <f>Table1[[#This Row],[قيمة الفاتورة]]*0.94-Table1[[#This Row],[قيمة المشاركة]]</f>
        <v>8.2156000000000002</v>
      </c>
      <c r="L1914" s="3" t="str">
        <f t="shared" si="29"/>
        <v/>
      </c>
      <c r="N1914" t="s">
        <v>19</v>
      </c>
    </row>
    <row r="1915" spans="1:14" x14ac:dyDescent="0.3">
      <c r="A1915">
        <v>74</v>
      </c>
      <c r="B1915" t="s">
        <v>3911</v>
      </c>
      <c r="C1915" t="s">
        <v>3912</v>
      </c>
      <c r="D1915" t="s">
        <v>3945</v>
      </c>
      <c r="E1915" t="s">
        <v>23</v>
      </c>
      <c r="F1915" t="s">
        <v>3943</v>
      </c>
      <c r="G1915" s="3">
        <v>1.62</v>
      </c>
      <c r="H1915" s="3">
        <v>0</v>
      </c>
      <c r="I1915" s="3">
        <v>1.62</v>
      </c>
      <c r="J1915" s="3">
        <f>Table1[[#This Row],[قيمة الفاتورة]]*0.94-Table1[[#This Row],[قيمة المشاركة]]</f>
        <v>1.5227999999999999</v>
      </c>
      <c r="L1915" s="3" t="str">
        <f t="shared" si="29"/>
        <v/>
      </c>
      <c r="N1915" t="s">
        <v>19</v>
      </c>
    </row>
    <row r="1916" spans="1:14" x14ac:dyDescent="0.3">
      <c r="A1916">
        <v>369</v>
      </c>
      <c r="B1916" t="s">
        <v>3946</v>
      </c>
      <c r="C1916" t="s">
        <v>3947</v>
      </c>
      <c r="D1916" t="s">
        <v>3948</v>
      </c>
      <c r="E1916" t="s">
        <v>17</v>
      </c>
      <c r="F1916" t="s">
        <v>3943</v>
      </c>
      <c r="G1916" s="3">
        <v>16.07</v>
      </c>
      <c r="H1916" s="3">
        <v>0</v>
      </c>
      <c r="I1916" s="3">
        <v>16.07</v>
      </c>
      <c r="J1916" s="3">
        <f>Table1[[#This Row],[قيمة الفاتورة]]*0.94-Table1[[#This Row],[قيمة المشاركة]]</f>
        <v>15.105799999999999</v>
      </c>
      <c r="L1916" s="3" t="str">
        <f t="shared" si="29"/>
        <v/>
      </c>
      <c r="N1916" t="s">
        <v>19</v>
      </c>
    </row>
    <row r="1917" spans="1:14" x14ac:dyDescent="0.3">
      <c r="A1917">
        <v>368</v>
      </c>
      <c r="B1917" t="s">
        <v>3949</v>
      </c>
      <c r="C1917" t="s">
        <v>3950</v>
      </c>
      <c r="D1917" t="s">
        <v>3951</v>
      </c>
      <c r="E1917" t="s">
        <v>23</v>
      </c>
      <c r="F1917" t="s">
        <v>3943</v>
      </c>
      <c r="G1917" s="3">
        <v>25.35</v>
      </c>
      <c r="H1917" s="3">
        <v>0</v>
      </c>
      <c r="I1917" s="3">
        <v>25.35</v>
      </c>
      <c r="J1917" s="3">
        <f>Table1[[#This Row],[قيمة الفاتورة]]*0.94-Table1[[#This Row],[قيمة المشاركة]]</f>
        <v>23.829000000000001</v>
      </c>
      <c r="L1917" s="3" t="str">
        <f t="shared" si="29"/>
        <v/>
      </c>
      <c r="N1917" t="s">
        <v>19</v>
      </c>
    </row>
    <row r="1918" spans="1:14" x14ac:dyDescent="0.3">
      <c r="A1918">
        <v>77</v>
      </c>
      <c r="B1918" t="s">
        <v>2410</v>
      </c>
      <c r="C1918" t="s">
        <v>2411</v>
      </c>
      <c r="D1918" t="s">
        <v>3952</v>
      </c>
      <c r="E1918" t="s">
        <v>23</v>
      </c>
      <c r="F1918" t="s">
        <v>3943</v>
      </c>
      <c r="G1918" s="3">
        <v>9.16</v>
      </c>
      <c r="H1918" s="3">
        <v>0</v>
      </c>
      <c r="I1918" s="3">
        <v>9.16</v>
      </c>
      <c r="J1918" s="3">
        <f>Table1[[#This Row],[قيمة الفاتورة]]*0.94-Table1[[#This Row],[قيمة المشاركة]]</f>
        <v>8.6104000000000003</v>
      </c>
      <c r="L1918" s="3" t="str">
        <f t="shared" si="29"/>
        <v/>
      </c>
      <c r="N1918" t="s">
        <v>19</v>
      </c>
    </row>
    <row r="1919" spans="1:14" x14ac:dyDescent="0.3">
      <c r="A1919">
        <v>73</v>
      </c>
      <c r="B1919" t="s">
        <v>3070</v>
      </c>
      <c r="C1919" t="s">
        <v>3071</v>
      </c>
      <c r="D1919" t="s">
        <v>3953</v>
      </c>
      <c r="E1919" t="s">
        <v>23</v>
      </c>
      <c r="F1919" t="s">
        <v>3943</v>
      </c>
      <c r="G1919" s="3">
        <v>13.26</v>
      </c>
      <c r="H1919" s="3">
        <v>0</v>
      </c>
      <c r="I1919" s="3">
        <v>13.26</v>
      </c>
      <c r="J1919" s="3">
        <f>Table1[[#This Row],[قيمة الفاتورة]]*0.94-Table1[[#This Row],[قيمة المشاركة]]</f>
        <v>12.464399999999999</v>
      </c>
      <c r="L1919" s="3" t="str">
        <f t="shared" si="29"/>
        <v/>
      </c>
      <c r="N1919" t="s">
        <v>19</v>
      </c>
    </row>
    <row r="1920" spans="1:14" x14ac:dyDescent="0.3">
      <c r="A1920">
        <v>76</v>
      </c>
      <c r="B1920" t="s">
        <v>3397</v>
      </c>
      <c r="C1920" t="s">
        <v>3398</v>
      </c>
      <c r="D1920" t="s">
        <v>3954</v>
      </c>
      <c r="E1920" t="s">
        <v>17</v>
      </c>
      <c r="F1920" t="s">
        <v>3943</v>
      </c>
      <c r="G1920" s="3">
        <v>72.180000000000007</v>
      </c>
      <c r="H1920" s="3">
        <v>14.436</v>
      </c>
      <c r="I1920" s="3">
        <v>57.744</v>
      </c>
      <c r="J1920" s="3">
        <f>Table1[[#This Row],[قيمة الفاتورة]]*0.94-Table1[[#This Row],[قيمة المشاركة]]</f>
        <v>53.413199999999996</v>
      </c>
      <c r="L1920" s="3" t="str">
        <f t="shared" si="29"/>
        <v/>
      </c>
      <c r="N1920" t="s">
        <v>328</v>
      </c>
    </row>
    <row r="1921" spans="1:14" x14ac:dyDescent="0.3">
      <c r="A1921">
        <v>81</v>
      </c>
      <c r="B1921" t="s">
        <v>1008</v>
      </c>
      <c r="C1921" t="s">
        <v>354</v>
      </c>
      <c r="D1921" t="s">
        <v>3955</v>
      </c>
      <c r="E1921" t="s">
        <v>23</v>
      </c>
      <c r="F1921" t="s">
        <v>3956</v>
      </c>
      <c r="G1921" s="3">
        <v>11.18</v>
      </c>
      <c r="H1921" s="3">
        <v>0</v>
      </c>
      <c r="I1921" s="3">
        <v>11.18</v>
      </c>
      <c r="J1921" s="3">
        <f>Table1[[#This Row],[قيمة الفاتورة]]*0.94-Table1[[#This Row],[قيمة المشاركة]]</f>
        <v>10.5092</v>
      </c>
      <c r="L1921" s="3" t="str">
        <f t="shared" si="29"/>
        <v/>
      </c>
      <c r="N1921" t="s">
        <v>19</v>
      </c>
    </row>
    <row r="1922" spans="1:14" x14ac:dyDescent="0.3">
      <c r="A1922">
        <v>78</v>
      </c>
      <c r="B1922" t="s">
        <v>134</v>
      </c>
      <c r="C1922" t="s">
        <v>220</v>
      </c>
      <c r="D1922" t="s">
        <v>3957</v>
      </c>
      <c r="E1922" t="s">
        <v>23</v>
      </c>
      <c r="F1922" t="s">
        <v>3956</v>
      </c>
      <c r="G1922" s="3">
        <v>19.95</v>
      </c>
      <c r="H1922" s="3">
        <v>0</v>
      </c>
      <c r="I1922" s="3">
        <v>19.95</v>
      </c>
      <c r="J1922" s="3">
        <f>Table1[[#This Row],[قيمة الفاتورة]]*0.94-Table1[[#This Row],[قيمة المشاركة]]</f>
        <v>18.752999999999997</v>
      </c>
      <c r="L1922" s="3" t="str">
        <f t="shared" ref="L1922:L1985" si="30">IF(ISNUMBER(K1922), J1922-K1922, "")</f>
        <v/>
      </c>
      <c r="N1922" t="s">
        <v>19</v>
      </c>
    </row>
    <row r="1923" spans="1:14" x14ac:dyDescent="0.3">
      <c r="A1923">
        <v>370</v>
      </c>
      <c r="B1923" t="s">
        <v>385</v>
      </c>
      <c r="C1923" t="s">
        <v>743</v>
      </c>
      <c r="D1923" t="s">
        <v>3958</v>
      </c>
      <c r="E1923" t="s">
        <v>23</v>
      </c>
      <c r="F1923" t="s">
        <v>3956</v>
      </c>
      <c r="G1923" s="3">
        <v>12.98</v>
      </c>
      <c r="H1923" s="3">
        <v>0</v>
      </c>
      <c r="I1923" s="3">
        <v>12.98</v>
      </c>
      <c r="J1923" s="3">
        <f>Table1[[#This Row],[قيمة الفاتورة]]*0.94-Table1[[#This Row],[قيمة المشاركة]]</f>
        <v>12.2012</v>
      </c>
      <c r="L1923" s="3" t="str">
        <f t="shared" si="30"/>
        <v/>
      </c>
      <c r="N1923" t="s">
        <v>19</v>
      </c>
    </row>
    <row r="1924" spans="1:14" x14ac:dyDescent="0.3">
      <c r="A1924">
        <v>80</v>
      </c>
      <c r="B1924" t="s">
        <v>1207</v>
      </c>
      <c r="C1924" t="s">
        <v>1208</v>
      </c>
      <c r="D1924" t="s">
        <v>3959</v>
      </c>
      <c r="E1924" t="s">
        <v>23</v>
      </c>
      <c r="F1924" t="s">
        <v>3956</v>
      </c>
      <c r="G1924" s="3">
        <v>24.91</v>
      </c>
      <c r="H1924" s="3">
        <v>0</v>
      </c>
      <c r="I1924" s="3">
        <v>24.91</v>
      </c>
      <c r="J1924" s="3">
        <f>Table1[[#This Row],[قيمة الفاتورة]]*0.94-Table1[[#This Row],[قيمة المشاركة]]</f>
        <v>23.415399999999998</v>
      </c>
      <c r="L1924" s="3" t="str">
        <f t="shared" si="30"/>
        <v/>
      </c>
      <c r="N1924" t="s">
        <v>19</v>
      </c>
    </row>
    <row r="1925" spans="1:14" x14ac:dyDescent="0.3">
      <c r="A1925" s="7">
        <v>79</v>
      </c>
      <c r="B1925" s="7">
        <v>1540863</v>
      </c>
      <c r="C1925" s="7" t="s">
        <v>3960</v>
      </c>
      <c r="D1925" s="7" t="s">
        <v>3961</v>
      </c>
      <c r="E1925" s="7" t="s">
        <v>23</v>
      </c>
      <c r="F1925" s="7" t="s">
        <v>3956</v>
      </c>
      <c r="G1925" s="8">
        <v>27.19</v>
      </c>
      <c r="H1925" s="8">
        <v>5.4379999999999997</v>
      </c>
      <c r="I1925" s="8">
        <v>21.751999999999999</v>
      </c>
      <c r="J1925" s="8">
        <f>Table1[[#This Row],[قيمة الفاتورة]]*0.94-Table1[[#This Row],[قيمة المشاركة]]</f>
        <v>20.1206</v>
      </c>
      <c r="L1925" s="3" t="str">
        <f t="shared" si="30"/>
        <v/>
      </c>
      <c r="N1925" t="s">
        <v>328</v>
      </c>
    </row>
    <row r="1926" spans="1:14" x14ac:dyDescent="0.3">
      <c r="A1926">
        <v>372</v>
      </c>
      <c r="B1926" t="s">
        <v>1392</v>
      </c>
      <c r="C1926" t="s">
        <v>354</v>
      </c>
      <c r="D1926" t="s">
        <v>3962</v>
      </c>
      <c r="E1926" t="s">
        <v>23</v>
      </c>
      <c r="F1926" t="s">
        <v>3963</v>
      </c>
      <c r="G1926" s="3">
        <v>16.47</v>
      </c>
      <c r="H1926" s="3">
        <v>0</v>
      </c>
      <c r="I1926" s="3">
        <v>16.47</v>
      </c>
      <c r="J1926" s="3">
        <f>Table1[[#This Row],[قيمة الفاتورة]]*0.94-Table1[[#This Row],[قيمة المشاركة]]</f>
        <v>15.481799999999998</v>
      </c>
      <c r="L1926" s="3" t="str">
        <f t="shared" si="30"/>
        <v/>
      </c>
      <c r="N1926" t="s">
        <v>19</v>
      </c>
    </row>
    <row r="1927" spans="1:14" x14ac:dyDescent="0.3">
      <c r="A1927">
        <v>371</v>
      </c>
      <c r="B1927" t="s">
        <v>945</v>
      </c>
      <c r="C1927" t="s">
        <v>946</v>
      </c>
      <c r="D1927" t="s">
        <v>3964</v>
      </c>
      <c r="E1927" t="s">
        <v>23</v>
      </c>
      <c r="F1927" t="s">
        <v>3963</v>
      </c>
      <c r="G1927" s="3">
        <v>22.24</v>
      </c>
      <c r="H1927" s="3">
        <v>0</v>
      </c>
      <c r="I1927" s="3">
        <v>22.24</v>
      </c>
      <c r="J1927" s="3">
        <f>Table1[[#This Row],[قيمة الفاتورة]]*0.94-Table1[[#This Row],[قيمة المشاركة]]</f>
        <v>20.905599999999996</v>
      </c>
      <c r="L1927" s="3" t="str">
        <f t="shared" si="30"/>
        <v/>
      </c>
      <c r="N1927" t="s">
        <v>19</v>
      </c>
    </row>
    <row r="1928" spans="1:14" x14ac:dyDescent="0.3">
      <c r="A1928">
        <v>83</v>
      </c>
      <c r="B1928" t="s">
        <v>1680</v>
      </c>
      <c r="C1928" t="s">
        <v>1681</v>
      </c>
      <c r="D1928" t="s">
        <v>3965</v>
      </c>
      <c r="E1928" t="s">
        <v>17</v>
      </c>
      <c r="F1928" t="s">
        <v>3963</v>
      </c>
      <c r="G1928" s="3">
        <v>20.454000000000001</v>
      </c>
      <c r="H1928" s="3">
        <v>0</v>
      </c>
      <c r="I1928" s="3">
        <v>20.454000000000001</v>
      </c>
      <c r="J1928" s="3">
        <f>Table1[[#This Row],[قيمة الفاتورة]]*0.94-Table1[[#This Row],[قيمة المشاركة]]</f>
        <v>19.226759999999999</v>
      </c>
      <c r="L1928" s="3" t="str">
        <f t="shared" si="30"/>
        <v/>
      </c>
      <c r="N1928" t="s">
        <v>19</v>
      </c>
    </row>
    <row r="1929" spans="1:14" x14ac:dyDescent="0.3">
      <c r="A1929">
        <v>82</v>
      </c>
      <c r="B1929" t="s">
        <v>3438</v>
      </c>
      <c r="C1929" t="s">
        <v>3439</v>
      </c>
      <c r="D1929" t="s">
        <v>3966</v>
      </c>
      <c r="E1929" t="s">
        <v>23</v>
      </c>
      <c r="F1929" t="s">
        <v>3963</v>
      </c>
      <c r="G1929" s="3">
        <v>20.454000000000001</v>
      </c>
      <c r="H1929" s="3">
        <v>0</v>
      </c>
      <c r="I1929" s="3">
        <v>20.454000000000001</v>
      </c>
      <c r="J1929" s="3">
        <f>Table1[[#This Row],[قيمة الفاتورة]]*0.94-Table1[[#This Row],[قيمة المشاركة]]</f>
        <v>19.226759999999999</v>
      </c>
      <c r="L1929" s="3" t="str">
        <f t="shared" si="30"/>
        <v/>
      </c>
      <c r="N1929" t="s">
        <v>19</v>
      </c>
    </row>
    <row r="1930" spans="1:14" x14ac:dyDescent="0.3">
      <c r="A1930">
        <v>84</v>
      </c>
      <c r="B1930" t="s">
        <v>3036</v>
      </c>
      <c r="C1930" t="s">
        <v>3517</v>
      </c>
      <c r="D1930" t="s">
        <v>3967</v>
      </c>
      <c r="E1930" t="s">
        <v>17</v>
      </c>
      <c r="F1930" t="s">
        <v>3963</v>
      </c>
      <c r="G1930" s="3">
        <v>41.98</v>
      </c>
      <c r="H1930" s="3">
        <v>8.3960000000000008</v>
      </c>
      <c r="I1930" s="3">
        <v>33.584000000000003</v>
      </c>
      <c r="J1930" s="3">
        <f>Table1[[#This Row],[قيمة الفاتورة]]*0.94-Table1[[#This Row],[قيمة المشاركة]]</f>
        <v>31.065199999999997</v>
      </c>
      <c r="L1930" s="3" t="str">
        <f t="shared" si="30"/>
        <v/>
      </c>
      <c r="N1930" t="s">
        <v>328</v>
      </c>
    </row>
    <row r="1931" spans="1:14" x14ac:dyDescent="0.3">
      <c r="A1931">
        <v>85</v>
      </c>
      <c r="B1931" t="s">
        <v>3968</v>
      </c>
      <c r="C1931" t="s">
        <v>3969</v>
      </c>
      <c r="D1931" t="s">
        <v>3970</v>
      </c>
      <c r="E1931" t="s">
        <v>17</v>
      </c>
      <c r="F1931" t="s">
        <v>3963</v>
      </c>
      <c r="G1931" s="3">
        <v>64.81</v>
      </c>
      <c r="H1931" s="3">
        <v>12.962</v>
      </c>
      <c r="I1931" s="3">
        <v>51.847999999999999</v>
      </c>
      <c r="J1931" s="3">
        <f>Table1[[#This Row],[قيمة الفاتورة]]*0.94-Table1[[#This Row],[قيمة المشاركة]]</f>
        <v>47.959400000000002</v>
      </c>
      <c r="L1931" s="3" t="str">
        <f t="shared" si="30"/>
        <v/>
      </c>
      <c r="N1931" t="s">
        <v>328</v>
      </c>
    </row>
    <row r="1932" spans="1:14" x14ac:dyDescent="0.3">
      <c r="A1932">
        <v>91</v>
      </c>
      <c r="B1932" t="s">
        <v>3581</v>
      </c>
      <c r="C1932" t="s">
        <v>3582</v>
      </c>
      <c r="D1932" t="s">
        <v>3971</v>
      </c>
      <c r="E1932" t="s">
        <v>23</v>
      </c>
      <c r="F1932" t="s">
        <v>3972</v>
      </c>
      <c r="G1932" s="3">
        <v>21.94</v>
      </c>
      <c r="H1932" s="3">
        <v>0</v>
      </c>
      <c r="I1932" s="3">
        <v>21.94</v>
      </c>
      <c r="J1932" s="3">
        <f>Table1[[#This Row],[قيمة الفاتورة]]*0.94-Table1[[#This Row],[قيمة المشاركة]]</f>
        <v>20.6236</v>
      </c>
      <c r="L1932" s="3" t="str">
        <f t="shared" si="30"/>
        <v/>
      </c>
      <c r="N1932" t="s">
        <v>19</v>
      </c>
    </row>
    <row r="1933" spans="1:14" x14ac:dyDescent="0.3">
      <c r="A1933">
        <v>373</v>
      </c>
      <c r="B1933" t="s">
        <v>1261</v>
      </c>
      <c r="C1933" t="s">
        <v>1262</v>
      </c>
      <c r="D1933" t="s">
        <v>3973</v>
      </c>
      <c r="E1933" t="s">
        <v>23</v>
      </c>
      <c r="F1933" t="s">
        <v>3972</v>
      </c>
      <c r="G1933" s="3">
        <v>24.13</v>
      </c>
      <c r="H1933" s="3">
        <v>0</v>
      </c>
      <c r="I1933" s="3">
        <v>24.13</v>
      </c>
      <c r="J1933" s="3">
        <f>Table1[[#This Row],[قيمة الفاتورة]]*0.94-Table1[[#This Row],[قيمة المشاركة]]</f>
        <v>22.682199999999998</v>
      </c>
      <c r="L1933" s="3" t="str">
        <f t="shared" si="30"/>
        <v/>
      </c>
      <c r="N1933" t="s">
        <v>19</v>
      </c>
    </row>
    <row r="1934" spans="1:14" x14ac:dyDescent="0.3">
      <c r="A1934">
        <v>374</v>
      </c>
      <c r="B1934" t="s">
        <v>638</v>
      </c>
      <c r="C1934" t="s">
        <v>639</v>
      </c>
      <c r="D1934" t="s">
        <v>3974</v>
      </c>
      <c r="E1934" t="s">
        <v>23</v>
      </c>
      <c r="F1934" t="s">
        <v>3972</v>
      </c>
      <c r="G1934" s="3">
        <v>9.8800000000000008</v>
      </c>
      <c r="H1934" s="3">
        <v>0</v>
      </c>
      <c r="I1934" s="3">
        <v>9.8800000000000008</v>
      </c>
      <c r="J1934" s="3">
        <f>Table1[[#This Row],[قيمة الفاتورة]]*0.94-Table1[[#This Row],[قيمة المشاركة]]</f>
        <v>9.2872000000000003</v>
      </c>
      <c r="L1934" s="3" t="str">
        <f t="shared" si="30"/>
        <v/>
      </c>
      <c r="N1934" t="s">
        <v>19</v>
      </c>
    </row>
    <row r="1935" spans="1:14" x14ac:dyDescent="0.3">
      <c r="A1935">
        <v>90</v>
      </c>
      <c r="B1935" t="s">
        <v>2957</v>
      </c>
      <c r="C1935" t="s">
        <v>3372</v>
      </c>
      <c r="D1935" t="s">
        <v>3975</v>
      </c>
      <c r="E1935" t="s">
        <v>17</v>
      </c>
      <c r="F1935" t="s">
        <v>3972</v>
      </c>
      <c r="G1935" s="3">
        <v>4.24</v>
      </c>
      <c r="H1935" s="3">
        <v>0</v>
      </c>
      <c r="I1935" s="3">
        <v>4.24</v>
      </c>
      <c r="J1935" s="3">
        <f>Table1[[#This Row],[قيمة الفاتورة]]*0.94-Table1[[#This Row],[قيمة المشاركة]]</f>
        <v>3.9855999999999998</v>
      </c>
      <c r="L1935" s="3" t="str">
        <f t="shared" si="30"/>
        <v/>
      </c>
      <c r="N1935" t="s">
        <v>19</v>
      </c>
    </row>
    <row r="1936" spans="1:14" x14ac:dyDescent="0.3">
      <c r="A1936">
        <v>89</v>
      </c>
      <c r="B1936" t="s">
        <v>1846</v>
      </c>
      <c r="C1936" t="s">
        <v>1867</v>
      </c>
      <c r="D1936" t="s">
        <v>3976</v>
      </c>
      <c r="E1936" t="s">
        <v>17</v>
      </c>
      <c r="F1936" t="s">
        <v>3972</v>
      </c>
      <c r="G1936" s="3">
        <v>20.76</v>
      </c>
      <c r="H1936" s="3">
        <v>0</v>
      </c>
      <c r="I1936" s="3">
        <v>20.76</v>
      </c>
      <c r="J1936" s="3">
        <f>Table1[[#This Row],[قيمة الفاتورة]]*0.94-Table1[[#This Row],[قيمة المشاركة]]</f>
        <v>19.514400000000002</v>
      </c>
      <c r="L1936" s="3" t="str">
        <f t="shared" si="30"/>
        <v/>
      </c>
      <c r="N1936" t="s">
        <v>19</v>
      </c>
    </row>
    <row r="1937" spans="1:14" x14ac:dyDescent="0.3">
      <c r="A1937">
        <v>88</v>
      </c>
      <c r="B1937" t="s">
        <v>185</v>
      </c>
      <c r="C1937" t="s">
        <v>186</v>
      </c>
      <c r="D1937" t="s">
        <v>3977</v>
      </c>
      <c r="E1937" t="s">
        <v>23</v>
      </c>
      <c r="F1937" t="s">
        <v>3972</v>
      </c>
      <c r="G1937" s="3">
        <v>32.35</v>
      </c>
      <c r="H1937" s="3">
        <v>0</v>
      </c>
      <c r="I1937" s="3">
        <v>32.35</v>
      </c>
      <c r="J1937" s="3">
        <f>Table1[[#This Row],[قيمة الفاتورة]]*0.94-Table1[[#This Row],[قيمة المشاركة]]</f>
        <v>30.408999999999999</v>
      </c>
      <c r="L1937" s="3" t="str">
        <f t="shared" si="30"/>
        <v/>
      </c>
      <c r="N1937" t="s">
        <v>19</v>
      </c>
    </row>
    <row r="1938" spans="1:14" x14ac:dyDescent="0.3">
      <c r="A1938">
        <v>87</v>
      </c>
      <c r="B1938" t="s">
        <v>1345</v>
      </c>
      <c r="C1938" t="s">
        <v>1346</v>
      </c>
      <c r="D1938" t="s">
        <v>3978</v>
      </c>
      <c r="E1938" t="s">
        <v>23</v>
      </c>
      <c r="F1938" t="s">
        <v>3972</v>
      </c>
      <c r="G1938" s="3">
        <v>26.01</v>
      </c>
      <c r="H1938" s="3">
        <v>0</v>
      </c>
      <c r="I1938" s="3">
        <v>26.01</v>
      </c>
      <c r="J1938" s="3">
        <f>Table1[[#This Row],[قيمة الفاتورة]]*0.94-Table1[[#This Row],[قيمة المشاركة]]</f>
        <v>24.449400000000001</v>
      </c>
      <c r="L1938" s="3" t="str">
        <f t="shared" si="30"/>
        <v/>
      </c>
      <c r="N1938" t="s">
        <v>19</v>
      </c>
    </row>
    <row r="1939" spans="1:14" x14ac:dyDescent="0.3">
      <c r="A1939">
        <v>92</v>
      </c>
      <c r="B1939" t="s">
        <v>1562</v>
      </c>
      <c r="C1939" t="s">
        <v>1563</v>
      </c>
      <c r="D1939" t="s">
        <v>3979</v>
      </c>
      <c r="E1939" t="s">
        <v>23</v>
      </c>
      <c r="F1939" t="s">
        <v>3972</v>
      </c>
      <c r="G1939" s="3">
        <v>14.41</v>
      </c>
      <c r="H1939" s="3">
        <v>0</v>
      </c>
      <c r="I1939" s="3">
        <v>14.41</v>
      </c>
      <c r="J1939" s="3">
        <f>Table1[[#This Row],[قيمة الفاتورة]]*0.94-Table1[[#This Row],[قيمة المشاركة]]</f>
        <v>13.545399999999999</v>
      </c>
      <c r="L1939" s="3" t="str">
        <f t="shared" si="30"/>
        <v/>
      </c>
      <c r="N1939" t="s">
        <v>19</v>
      </c>
    </row>
    <row r="1940" spans="1:14" x14ac:dyDescent="0.3">
      <c r="A1940">
        <v>86</v>
      </c>
      <c r="B1940" t="s">
        <v>1757</v>
      </c>
      <c r="C1940" t="s">
        <v>3980</v>
      </c>
      <c r="D1940" t="s">
        <v>3981</v>
      </c>
      <c r="E1940" t="s">
        <v>17</v>
      </c>
      <c r="F1940" t="s">
        <v>3972</v>
      </c>
      <c r="G1940" s="3">
        <v>12.4</v>
      </c>
      <c r="H1940" s="3">
        <v>0</v>
      </c>
      <c r="I1940" s="3">
        <v>12.4</v>
      </c>
      <c r="J1940" s="3">
        <f>Table1[[#This Row],[قيمة الفاتورة]]*0.94-Table1[[#This Row],[قيمة المشاركة]]</f>
        <v>11.655999999999999</v>
      </c>
      <c r="L1940" s="3" t="str">
        <f t="shared" si="30"/>
        <v/>
      </c>
      <c r="N1940" t="s">
        <v>19</v>
      </c>
    </row>
    <row r="1941" spans="1:14" x14ac:dyDescent="0.3">
      <c r="A1941">
        <v>93</v>
      </c>
      <c r="B1941" t="s">
        <v>2410</v>
      </c>
      <c r="C1941" t="s">
        <v>2411</v>
      </c>
      <c r="D1941" t="s">
        <v>3982</v>
      </c>
      <c r="E1941" t="s">
        <v>17</v>
      </c>
      <c r="F1941" t="s">
        <v>3983</v>
      </c>
      <c r="G1941" s="3">
        <v>35.159999999999997</v>
      </c>
      <c r="H1941" s="3">
        <v>0</v>
      </c>
      <c r="I1941" s="3">
        <v>35.159999999999997</v>
      </c>
      <c r="J1941" s="3">
        <f>Table1[[#This Row],[قيمة الفاتورة]]*0.94-Table1[[#This Row],[قيمة المشاركة]]</f>
        <v>33.050399999999996</v>
      </c>
      <c r="L1941" s="3" t="str">
        <f t="shared" si="30"/>
        <v/>
      </c>
      <c r="N1941" t="s">
        <v>19</v>
      </c>
    </row>
    <row r="1942" spans="1:14" x14ac:dyDescent="0.3">
      <c r="A1942">
        <v>94</v>
      </c>
      <c r="B1942" t="s">
        <v>3984</v>
      </c>
      <c r="C1942" t="s">
        <v>1309</v>
      </c>
      <c r="D1942" t="s">
        <v>3985</v>
      </c>
      <c r="E1942" t="s">
        <v>17</v>
      </c>
      <c r="F1942" t="s">
        <v>3983</v>
      </c>
      <c r="G1942" s="3">
        <v>38.79</v>
      </c>
      <c r="H1942" s="3">
        <v>7.758</v>
      </c>
      <c r="I1942" s="3">
        <v>31.032</v>
      </c>
      <c r="J1942" s="3">
        <f>Table1[[#This Row],[قيمة الفاتورة]]*0.94-Table1[[#This Row],[قيمة المشاركة]]</f>
        <v>28.704599999999996</v>
      </c>
      <c r="L1942" s="3" t="str">
        <f t="shared" si="30"/>
        <v/>
      </c>
      <c r="N1942" t="s">
        <v>328</v>
      </c>
    </row>
    <row r="1943" spans="1:14" x14ac:dyDescent="0.3">
      <c r="A1943">
        <v>375</v>
      </c>
      <c r="B1943" t="s">
        <v>681</v>
      </c>
      <c r="C1943" t="s">
        <v>682</v>
      </c>
      <c r="D1943" t="s">
        <v>3986</v>
      </c>
      <c r="E1943" t="s">
        <v>23</v>
      </c>
      <c r="F1943" t="s">
        <v>3987</v>
      </c>
      <c r="G1943" s="3">
        <v>3.96</v>
      </c>
      <c r="H1943" s="3">
        <v>0</v>
      </c>
      <c r="I1943" s="3">
        <v>3.96</v>
      </c>
      <c r="J1943" s="3">
        <f>Table1[[#This Row],[قيمة الفاتورة]]*0.94-Table1[[#This Row],[قيمة المشاركة]]</f>
        <v>3.7223999999999999</v>
      </c>
      <c r="L1943" s="3" t="str">
        <f t="shared" si="30"/>
        <v/>
      </c>
      <c r="N1943" t="s">
        <v>19</v>
      </c>
    </row>
    <row r="1944" spans="1:14" x14ac:dyDescent="0.3">
      <c r="A1944">
        <v>96</v>
      </c>
      <c r="B1944" t="s">
        <v>751</v>
      </c>
      <c r="C1944" t="s">
        <v>752</v>
      </c>
      <c r="D1944" t="s">
        <v>3988</v>
      </c>
      <c r="E1944" t="s">
        <v>23</v>
      </c>
      <c r="F1944" t="s">
        <v>3987</v>
      </c>
      <c r="G1944" s="3">
        <v>15.27</v>
      </c>
      <c r="H1944" s="3">
        <v>0</v>
      </c>
      <c r="I1944" s="3">
        <v>15.27</v>
      </c>
      <c r="J1944" s="3">
        <f>Table1[[#This Row],[قيمة الفاتورة]]*0.94-Table1[[#This Row],[قيمة المشاركة]]</f>
        <v>14.3538</v>
      </c>
      <c r="L1944" s="3" t="str">
        <f t="shared" si="30"/>
        <v/>
      </c>
      <c r="N1944" t="s">
        <v>19</v>
      </c>
    </row>
    <row r="1945" spans="1:14" x14ac:dyDescent="0.3">
      <c r="A1945">
        <v>99</v>
      </c>
      <c r="B1945" t="s">
        <v>3087</v>
      </c>
      <c r="C1945" t="s">
        <v>682</v>
      </c>
      <c r="D1945" t="s">
        <v>3989</v>
      </c>
      <c r="E1945" t="s">
        <v>17</v>
      </c>
      <c r="F1945" t="s">
        <v>3987</v>
      </c>
      <c r="G1945" s="3">
        <v>52.48</v>
      </c>
      <c r="H1945" s="3">
        <v>10.496</v>
      </c>
      <c r="I1945" s="3">
        <v>41.984000000000002</v>
      </c>
      <c r="J1945" s="3">
        <f>Table1[[#This Row],[قيمة الفاتورة]]*0.94-Table1[[#This Row],[قيمة المشاركة]]</f>
        <v>38.835199999999993</v>
      </c>
      <c r="L1945" s="3" t="str">
        <f t="shared" si="30"/>
        <v/>
      </c>
      <c r="N1945" t="s">
        <v>328</v>
      </c>
    </row>
    <row r="1946" spans="1:14" x14ac:dyDescent="0.3">
      <c r="A1946">
        <v>98</v>
      </c>
      <c r="B1946" t="s">
        <v>3097</v>
      </c>
      <c r="C1946" t="s">
        <v>3990</v>
      </c>
      <c r="D1946" t="s">
        <v>3991</v>
      </c>
      <c r="E1946" t="s">
        <v>23</v>
      </c>
      <c r="F1946" t="s">
        <v>3987</v>
      </c>
      <c r="G1946" s="3">
        <v>68.099999999999994</v>
      </c>
      <c r="H1946" s="3">
        <v>13.62</v>
      </c>
      <c r="I1946" s="3">
        <v>54.48</v>
      </c>
      <c r="J1946" s="3">
        <f>Table1[[#This Row],[قيمة الفاتورة]]*0.94-Table1[[#This Row],[قيمة المشاركة]]</f>
        <v>50.393999999999998</v>
      </c>
      <c r="L1946" s="3" t="str">
        <f t="shared" si="30"/>
        <v/>
      </c>
      <c r="N1946" t="s">
        <v>328</v>
      </c>
    </row>
    <row r="1947" spans="1:14" x14ac:dyDescent="0.3">
      <c r="A1947">
        <v>95</v>
      </c>
      <c r="B1947" t="s">
        <v>3992</v>
      </c>
      <c r="C1947" t="s">
        <v>3993</v>
      </c>
      <c r="D1947" t="s">
        <v>3994</v>
      </c>
      <c r="E1947" t="s">
        <v>17</v>
      </c>
      <c r="F1947" t="s">
        <v>3987</v>
      </c>
      <c r="G1947" s="3">
        <v>7.53</v>
      </c>
      <c r="H1947" s="3">
        <v>1.506</v>
      </c>
      <c r="I1947" s="3">
        <v>6.024</v>
      </c>
      <c r="J1947" s="3">
        <f>Table1[[#This Row],[قيمة الفاتورة]]*0.94-Table1[[#This Row],[قيمة المشاركة]]</f>
        <v>5.5721999999999996</v>
      </c>
      <c r="L1947" s="3" t="str">
        <f t="shared" si="30"/>
        <v/>
      </c>
      <c r="N1947" t="s">
        <v>328</v>
      </c>
    </row>
    <row r="1948" spans="1:14" x14ac:dyDescent="0.3">
      <c r="A1948">
        <v>97</v>
      </c>
      <c r="B1948" t="s">
        <v>3995</v>
      </c>
      <c r="C1948" t="s">
        <v>3996</v>
      </c>
      <c r="D1948" t="s">
        <v>3997</v>
      </c>
      <c r="E1948" t="s">
        <v>17</v>
      </c>
      <c r="F1948" t="s">
        <v>3987</v>
      </c>
      <c r="G1948" s="3">
        <v>16.690000000000001</v>
      </c>
      <c r="H1948" s="3">
        <v>3.3380000000000001</v>
      </c>
      <c r="I1948" s="3">
        <v>13.352</v>
      </c>
      <c r="J1948" s="3">
        <f>Table1[[#This Row],[قيمة الفاتورة]]*0.94-Table1[[#This Row],[قيمة المشاركة]]</f>
        <v>12.3506</v>
      </c>
      <c r="L1948" s="3" t="str">
        <f t="shared" si="30"/>
        <v/>
      </c>
      <c r="N1948" t="s">
        <v>328</v>
      </c>
    </row>
    <row r="1949" spans="1:14" x14ac:dyDescent="0.3">
      <c r="A1949">
        <v>103</v>
      </c>
      <c r="B1949" t="s">
        <v>3998</v>
      </c>
      <c r="C1949" t="s">
        <v>3999</v>
      </c>
      <c r="D1949" t="s">
        <v>4000</v>
      </c>
      <c r="E1949" t="s">
        <v>17</v>
      </c>
      <c r="F1949" t="s">
        <v>4001</v>
      </c>
      <c r="G1949" s="3">
        <v>31.35</v>
      </c>
      <c r="H1949" s="3">
        <v>4.702</v>
      </c>
      <c r="I1949" s="3">
        <v>26.648</v>
      </c>
      <c r="J1949" s="3">
        <f>Table1[[#This Row],[قيمة الفاتورة]]*0.94-Table1[[#This Row],[قيمة المشاركة]]</f>
        <v>24.767000000000003</v>
      </c>
      <c r="L1949" s="3" t="str">
        <f t="shared" si="30"/>
        <v/>
      </c>
      <c r="N1949" t="s">
        <v>19</v>
      </c>
    </row>
    <row r="1950" spans="1:14" x14ac:dyDescent="0.3">
      <c r="A1950">
        <v>104</v>
      </c>
      <c r="B1950" t="s">
        <v>411</v>
      </c>
      <c r="C1950" t="s">
        <v>412</v>
      </c>
      <c r="D1950" t="s">
        <v>4002</v>
      </c>
      <c r="E1950" t="s">
        <v>17</v>
      </c>
      <c r="F1950" t="s">
        <v>4001</v>
      </c>
      <c r="G1950" s="3">
        <v>31.17</v>
      </c>
      <c r="H1950" s="3">
        <v>0</v>
      </c>
      <c r="I1950" s="3">
        <v>31.17</v>
      </c>
      <c r="J1950" s="3">
        <f>Table1[[#This Row],[قيمة الفاتورة]]*0.94-Table1[[#This Row],[قيمة المشاركة]]</f>
        <v>29.299800000000001</v>
      </c>
      <c r="L1950" s="3" t="str">
        <f t="shared" si="30"/>
        <v/>
      </c>
      <c r="N1950" t="s">
        <v>19</v>
      </c>
    </row>
    <row r="1951" spans="1:14" x14ac:dyDescent="0.3">
      <c r="A1951">
        <v>101</v>
      </c>
      <c r="B1951" t="s">
        <v>2957</v>
      </c>
      <c r="C1951" t="s">
        <v>3372</v>
      </c>
      <c r="D1951" t="s">
        <v>4003</v>
      </c>
      <c r="E1951" t="s">
        <v>23</v>
      </c>
      <c r="F1951" t="s">
        <v>4001</v>
      </c>
      <c r="G1951" s="3">
        <v>23.91</v>
      </c>
      <c r="H1951" s="3">
        <v>0</v>
      </c>
      <c r="I1951" s="3">
        <v>23.91</v>
      </c>
      <c r="J1951" s="3">
        <f>Table1[[#This Row],[قيمة الفاتورة]]*0.94-Table1[[#This Row],[قيمة المشاركة]]</f>
        <v>22.4754</v>
      </c>
      <c r="L1951" s="3" t="str">
        <f t="shared" si="30"/>
        <v/>
      </c>
      <c r="N1951" t="s">
        <v>19</v>
      </c>
    </row>
    <row r="1952" spans="1:14" x14ac:dyDescent="0.3">
      <c r="A1952">
        <v>100</v>
      </c>
      <c r="B1952" t="s">
        <v>2686</v>
      </c>
      <c r="C1952" t="s">
        <v>4004</v>
      </c>
      <c r="D1952" t="s">
        <v>4005</v>
      </c>
      <c r="E1952" t="s">
        <v>23</v>
      </c>
      <c r="F1952" t="s">
        <v>4001</v>
      </c>
      <c r="G1952" s="3">
        <v>15.31</v>
      </c>
      <c r="H1952" s="3">
        <v>3.0619999999999998</v>
      </c>
      <c r="I1952" s="3">
        <v>12.247999999999999</v>
      </c>
      <c r="J1952" s="3">
        <f>Table1[[#This Row],[قيمة الفاتورة]]*0.94-Table1[[#This Row],[قيمة المشاركة]]</f>
        <v>11.3294</v>
      </c>
      <c r="L1952" s="3" t="str">
        <f t="shared" si="30"/>
        <v/>
      </c>
      <c r="N1952" t="s">
        <v>328</v>
      </c>
    </row>
    <row r="1953" spans="1:14" x14ac:dyDescent="0.3">
      <c r="A1953">
        <v>376</v>
      </c>
      <c r="B1953" t="s">
        <v>4006</v>
      </c>
      <c r="C1953" t="s">
        <v>4007</v>
      </c>
      <c r="D1953" t="s">
        <v>4008</v>
      </c>
      <c r="E1953" t="s">
        <v>23</v>
      </c>
      <c r="F1953" t="s">
        <v>4001</v>
      </c>
      <c r="G1953" s="3">
        <v>22.91</v>
      </c>
      <c r="H1953" s="3">
        <v>4.5819999999999999</v>
      </c>
      <c r="I1953" s="3">
        <v>18.327999999999999</v>
      </c>
      <c r="J1953" s="3">
        <f>Table1[[#This Row],[قيمة الفاتورة]]*0.94-Table1[[#This Row],[قيمة المشاركة]]</f>
        <v>16.953399999999998</v>
      </c>
      <c r="L1953" s="3" t="str">
        <f t="shared" si="30"/>
        <v/>
      </c>
      <c r="N1953" t="s">
        <v>328</v>
      </c>
    </row>
    <row r="1954" spans="1:14" x14ac:dyDescent="0.3">
      <c r="A1954">
        <v>377</v>
      </c>
      <c r="B1954" t="s">
        <v>4006</v>
      </c>
      <c r="C1954" t="s">
        <v>4007</v>
      </c>
      <c r="D1954" t="s">
        <v>4009</v>
      </c>
      <c r="E1954" t="s">
        <v>23</v>
      </c>
      <c r="F1954" t="s">
        <v>4001</v>
      </c>
      <c r="G1954" s="3">
        <v>1.25</v>
      </c>
      <c r="H1954" s="3">
        <v>0.25</v>
      </c>
      <c r="I1954" s="3">
        <v>1</v>
      </c>
      <c r="J1954" s="3">
        <f>Table1[[#This Row],[قيمة الفاتورة]]*0.94-Table1[[#This Row],[قيمة المشاركة]]</f>
        <v>0.92499999999999982</v>
      </c>
      <c r="L1954" s="3" t="str">
        <f t="shared" si="30"/>
        <v/>
      </c>
      <c r="N1954" t="s">
        <v>328</v>
      </c>
    </row>
    <row r="1955" spans="1:14" x14ac:dyDescent="0.3">
      <c r="A1955">
        <v>102</v>
      </c>
      <c r="B1955" t="s">
        <v>3451</v>
      </c>
      <c r="C1955" t="s">
        <v>4010</v>
      </c>
      <c r="D1955" t="s">
        <v>4011</v>
      </c>
      <c r="E1955" t="s">
        <v>23</v>
      </c>
      <c r="F1955" t="s">
        <v>4001</v>
      </c>
      <c r="G1955" s="3">
        <v>8.7200000000000006</v>
      </c>
      <c r="H1955" s="3">
        <v>1.744</v>
      </c>
      <c r="I1955" s="3">
        <v>6.976</v>
      </c>
      <c r="J1955" s="3">
        <f>Table1[[#This Row],[قيمة الفاتورة]]*0.94-Table1[[#This Row],[قيمة المشاركة]]</f>
        <v>6.4527999999999999</v>
      </c>
      <c r="L1955" s="3" t="str">
        <f t="shared" si="30"/>
        <v/>
      </c>
      <c r="N1955" t="s">
        <v>328</v>
      </c>
    </row>
    <row r="1956" spans="1:14" x14ac:dyDescent="0.3">
      <c r="A1956">
        <v>113</v>
      </c>
      <c r="B1956" t="s">
        <v>4012</v>
      </c>
      <c r="C1956" t="s">
        <v>433</v>
      </c>
      <c r="D1956" t="s">
        <v>4013</v>
      </c>
      <c r="E1956" t="s">
        <v>23</v>
      </c>
      <c r="F1956" t="s">
        <v>4014</v>
      </c>
      <c r="G1956" s="3">
        <v>22.85</v>
      </c>
      <c r="H1956" s="3">
        <v>3.427</v>
      </c>
      <c r="I1956" s="3">
        <v>19.422999999999998</v>
      </c>
      <c r="J1956" s="3">
        <f>Table1[[#This Row],[قيمة الفاتورة]]*0.94-Table1[[#This Row],[قيمة المشاركة]]</f>
        <v>18.052</v>
      </c>
      <c r="L1956" s="3" t="str">
        <f t="shared" si="30"/>
        <v/>
      </c>
      <c r="N1956" t="s">
        <v>126</v>
      </c>
    </row>
    <row r="1957" spans="1:14" x14ac:dyDescent="0.3">
      <c r="A1957">
        <v>105</v>
      </c>
      <c r="B1957" t="s">
        <v>864</v>
      </c>
      <c r="C1957" t="s">
        <v>92</v>
      </c>
      <c r="D1957" t="s">
        <v>4015</v>
      </c>
      <c r="E1957" t="s">
        <v>17</v>
      </c>
      <c r="F1957" t="s">
        <v>4014</v>
      </c>
      <c r="G1957" s="3">
        <v>20.905000000000001</v>
      </c>
      <c r="H1957" s="3">
        <v>0</v>
      </c>
      <c r="I1957" s="3">
        <v>20.905000000000001</v>
      </c>
      <c r="J1957" s="3">
        <f>Table1[[#This Row],[قيمة الفاتورة]]*0.94-Table1[[#This Row],[قيمة المشاركة]]</f>
        <v>19.650700000000001</v>
      </c>
      <c r="L1957" s="3" t="str">
        <f t="shared" si="30"/>
        <v/>
      </c>
      <c r="N1957" t="s">
        <v>19</v>
      </c>
    </row>
    <row r="1958" spans="1:14" x14ac:dyDescent="0.3">
      <c r="A1958">
        <v>107</v>
      </c>
      <c r="B1958" t="s">
        <v>556</v>
      </c>
      <c r="C1958" t="s">
        <v>557</v>
      </c>
      <c r="D1958" t="s">
        <v>4016</v>
      </c>
      <c r="E1958" t="s">
        <v>17</v>
      </c>
      <c r="F1958" t="s">
        <v>4014</v>
      </c>
      <c r="G1958" s="3">
        <v>3.43</v>
      </c>
      <c r="H1958" s="3">
        <v>0</v>
      </c>
      <c r="I1958" s="3">
        <v>3.43</v>
      </c>
      <c r="J1958" s="3">
        <f>Table1[[#This Row],[قيمة الفاتورة]]*0.94-Table1[[#This Row],[قيمة المشاركة]]</f>
        <v>3.2242000000000002</v>
      </c>
      <c r="L1958" s="3" t="str">
        <f t="shared" si="30"/>
        <v/>
      </c>
      <c r="N1958" t="s">
        <v>19</v>
      </c>
    </row>
    <row r="1959" spans="1:14" x14ac:dyDescent="0.3">
      <c r="A1959">
        <v>106</v>
      </c>
      <c r="B1959" t="s">
        <v>4017</v>
      </c>
      <c r="C1959" t="s">
        <v>4018</v>
      </c>
      <c r="D1959" t="s">
        <v>4019</v>
      </c>
      <c r="E1959" t="s">
        <v>23</v>
      </c>
      <c r="F1959" t="s">
        <v>4014</v>
      </c>
      <c r="G1959" s="3">
        <v>9.93</v>
      </c>
      <c r="H1959" s="3">
        <v>0</v>
      </c>
      <c r="I1959" s="3">
        <v>9.93</v>
      </c>
      <c r="J1959" s="3">
        <f>Table1[[#This Row],[قيمة الفاتورة]]*0.94-Table1[[#This Row],[قيمة المشاركة]]</f>
        <v>9.3341999999999992</v>
      </c>
      <c r="L1959" s="3" t="str">
        <f t="shared" si="30"/>
        <v/>
      </c>
      <c r="N1959" t="s">
        <v>19</v>
      </c>
    </row>
    <row r="1960" spans="1:14" x14ac:dyDescent="0.3">
      <c r="A1960">
        <v>110</v>
      </c>
      <c r="B1960" t="s">
        <v>2656</v>
      </c>
      <c r="C1960" t="s">
        <v>2657</v>
      </c>
      <c r="D1960" t="s">
        <v>4020</v>
      </c>
      <c r="E1960" t="s">
        <v>23</v>
      </c>
      <c r="F1960" t="s">
        <v>4014</v>
      </c>
      <c r="G1960" s="3">
        <v>2.5099999999999998</v>
      </c>
      <c r="H1960" s="3">
        <v>0</v>
      </c>
      <c r="I1960" s="3">
        <v>2.5099999999999998</v>
      </c>
      <c r="J1960" s="3">
        <f>Table1[[#This Row],[قيمة الفاتورة]]*0.94-Table1[[#This Row],[قيمة المشاركة]]</f>
        <v>2.3593999999999995</v>
      </c>
      <c r="L1960" s="3" t="str">
        <f t="shared" si="30"/>
        <v/>
      </c>
      <c r="N1960" t="s">
        <v>19</v>
      </c>
    </row>
    <row r="1961" spans="1:14" x14ac:dyDescent="0.3">
      <c r="A1961">
        <v>108</v>
      </c>
      <c r="B1961" t="s">
        <v>2686</v>
      </c>
      <c r="C1961" t="s">
        <v>3028</v>
      </c>
      <c r="D1961" t="s">
        <v>4021</v>
      </c>
      <c r="E1961" t="s">
        <v>23</v>
      </c>
      <c r="F1961" t="s">
        <v>4014</v>
      </c>
      <c r="G1961" s="3">
        <v>30.11</v>
      </c>
      <c r="H1961" s="3">
        <v>6.0220000000000002</v>
      </c>
      <c r="I1961" s="3">
        <v>24.088000000000001</v>
      </c>
      <c r="J1961" s="3">
        <f>Table1[[#This Row],[قيمة الفاتورة]]*0.94-Table1[[#This Row],[قيمة المشاركة]]</f>
        <v>22.281399999999998</v>
      </c>
      <c r="L1961" s="3" t="str">
        <f t="shared" si="30"/>
        <v/>
      </c>
      <c r="N1961" t="s">
        <v>328</v>
      </c>
    </row>
    <row r="1962" spans="1:14" x14ac:dyDescent="0.3">
      <c r="A1962">
        <v>111</v>
      </c>
      <c r="B1962" t="s">
        <v>3297</v>
      </c>
      <c r="C1962" t="s">
        <v>3520</v>
      </c>
      <c r="D1962" t="s">
        <v>4022</v>
      </c>
      <c r="E1962" t="s">
        <v>17</v>
      </c>
      <c r="F1962" t="s">
        <v>4014</v>
      </c>
      <c r="G1962" s="3">
        <v>55.69</v>
      </c>
      <c r="H1962" s="3">
        <v>11.138</v>
      </c>
      <c r="I1962" s="3">
        <v>44.552</v>
      </c>
      <c r="J1962" s="3">
        <f>Table1[[#This Row],[قيمة الفاتورة]]*0.94-Table1[[#This Row],[قيمة المشاركة]]</f>
        <v>41.210599999999999</v>
      </c>
      <c r="L1962" s="3" t="str">
        <f t="shared" si="30"/>
        <v/>
      </c>
      <c r="N1962" t="s">
        <v>328</v>
      </c>
    </row>
    <row r="1963" spans="1:14" x14ac:dyDescent="0.3">
      <c r="A1963">
        <v>112</v>
      </c>
      <c r="B1963" t="s">
        <v>3293</v>
      </c>
      <c r="C1963" t="s">
        <v>2991</v>
      </c>
      <c r="D1963" t="s">
        <v>4023</v>
      </c>
      <c r="E1963" t="s">
        <v>23</v>
      </c>
      <c r="F1963" t="s">
        <v>4014</v>
      </c>
      <c r="G1963" s="3">
        <v>44.86</v>
      </c>
      <c r="H1963" s="3">
        <v>8.9719999999999995</v>
      </c>
      <c r="I1963" s="3">
        <v>35.887999999999998</v>
      </c>
      <c r="J1963" s="3">
        <f>Table1[[#This Row],[قيمة الفاتورة]]*0.94-Table1[[#This Row],[قيمة المشاركة]]</f>
        <v>33.196399999999997</v>
      </c>
      <c r="L1963" s="3" t="str">
        <f t="shared" si="30"/>
        <v/>
      </c>
      <c r="N1963" t="s">
        <v>328</v>
      </c>
    </row>
    <row r="1964" spans="1:14" x14ac:dyDescent="0.3">
      <c r="A1964">
        <v>1</v>
      </c>
      <c r="B1964" t="s">
        <v>4024</v>
      </c>
      <c r="C1964" t="s">
        <v>4025</v>
      </c>
      <c r="D1964" t="s">
        <v>4026</v>
      </c>
      <c r="E1964" t="s">
        <v>17</v>
      </c>
      <c r="F1964" t="s">
        <v>4014</v>
      </c>
      <c r="G1964" s="3">
        <v>15.54</v>
      </c>
      <c r="H1964" s="3">
        <v>3.1080000000000001</v>
      </c>
      <c r="I1964" s="3">
        <v>12.432</v>
      </c>
      <c r="J1964" s="3">
        <f>Table1[[#This Row],[قيمة الفاتورة]]*0.94-Table1[[#This Row],[قيمة المشاركة]]</f>
        <v>11.499599999999997</v>
      </c>
      <c r="L1964" s="3" t="str">
        <f t="shared" si="30"/>
        <v/>
      </c>
      <c r="N1964" t="s">
        <v>328</v>
      </c>
    </row>
    <row r="1965" spans="1:14" x14ac:dyDescent="0.3">
      <c r="A1965">
        <v>109</v>
      </c>
      <c r="B1965" t="s">
        <v>4027</v>
      </c>
      <c r="C1965" t="s">
        <v>4028</v>
      </c>
      <c r="D1965" t="s">
        <v>4029</v>
      </c>
      <c r="E1965" t="s">
        <v>23</v>
      </c>
      <c r="F1965" t="s">
        <v>4014</v>
      </c>
      <c r="G1965" s="3">
        <v>36.450000000000003</v>
      </c>
      <c r="H1965" s="3">
        <v>0</v>
      </c>
      <c r="I1965" s="3">
        <v>36.450000000000003</v>
      </c>
      <c r="J1965" s="3">
        <f>Table1[[#This Row],[قيمة الفاتورة]]*0.94-Table1[[#This Row],[قيمة المشاركة]]</f>
        <v>34.262999999999998</v>
      </c>
      <c r="L1965" s="3" t="str">
        <f t="shared" si="30"/>
        <v/>
      </c>
      <c r="N1965" t="s">
        <v>328</v>
      </c>
    </row>
    <row r="1966" spans="1:14" x14ac:dyDescent="0.3">
      <c r="A1966">
        <v>116</v>
      </c>
      <c r="B1966" t="s">
        <v>882</v>
      </c>
      <c r="C1966" t="s">
        <v>523</v>
      </c>
      <c r="D1966" t="s">
        <v>4030</v>
      </c>
      <c r="E1966" t="s">
        <v>23</v>
      </c>
      <c r="F1966" t="s">
        <v>4031</v>
      </c>
      <c r="G1966" s="3">
        <v>36.450000000000003</v>
      </c>
      <c r="H1966" s="3">
        <v>0</v>
      </c>
      <c r="I1966" s="3">
        <v>36.450000000000003</v>
      </c>
      <c r="J1966" s="3">
        <f>Table1[[#This Row],[قيمة الفاتورة]]*0.94-Table1[[#This Row],[قيمة المشاركة]]</f>
        <v>34.262999999999998</v>
      </c>
      <c r="L1966" s="3" t="str">
        <f t="shared" si="30"/>
        <v/>
      </c>
      <c r="N1966" t="s">
        <v>19</v>
      </c>
    </row>
    <row r="1967" spans="1:14" x14ac:dyDescent="0.3">
      <c r="A1967">
        <v>378</v>
      </c>
      <c r="B1967" t="s">
        <v>503</v>
      </c>
      <c r="C1967" t="s">
        <v>504</v>
      </c>
      <c r="D1967" t="s">
        <v>4032</v>
      </c>
      <c r="E1967" t="s">
        <v>23</v>
      </c>
      <c r="F1967" t="s">
        <v>4031</v>
      </c>
      <c r="G1967" s="3">
        <v>7.55</v>
      </c>
      <c r="H1967" s="3">
        <v>0</v>
      </c>
      <c r="I1967" s="3">
        <v>7.55</v>
      </c>
      <c r="J1967" s="3">
        <f>Table1[[#This Row],[قيمة الفاتورة]]*0.94-Table1[[#This Row],[قيمة المشاركة]]</f>
        <v>7.0969999999999995</v>
      </c>
      <c r="L1967" s="3" t="str">
        <f t="shared" si="30"/>
        <v/>
      </c>
      <c r="N1967" t="s">
        <v>19</v>
      </c>
    </row>
    <row r="1968" spans="1:14" x14ac:dyDescent="0.3">
      <c r="A1968">
        <v>118</v>
      </c>
      <c r="B1968" t="s">
        <v>1554</v>
      </c>
      <c r="C1968" t="s">
        <v>1555</v>
      </c>
      <c r="D1968" t="s">
        <v>4033</v>
      </c>
      <c r="E1968" t="s">
        <v>23</v>
      </c>
      <c r="F1968" t="s">
        <v>4031</v>
      </c>
      <c r="G1968" s="3">
        <v>18.649999999999999</v>
      </c>
      <c r="H1968" s="3">
        <v>0</v>
      </c>
      <c r="I1968" s="3">
        <v>18.649999999999999</v>
      </c>
      <c r="J1968" s="3">
        <f>Table1[[#This Row],[قيمة الفاتورة]]*0.94-Table1[[#This Row],[قيمة المشاركة]]</f>
        <v>17.530999999999999</v>
      </c>
      <c r="L1968" s="3" t="str">
        <f t="shared" si="30"/>
        <v/>
      </c>
      <c r="N1968" t="s">
        <v>19</v>
      </c>
    </row>
    <row r="1969" spans="1:14" x14ac:dyDescent="0.3">
      <c r="A1969">
        <v>115</v>
      </c>
      <c r="B1969" t="s">
        <v>1627</v>
      </c>
      <c r="C1969" t="s">
        <v>1628</v>
      </c>
      <c r="D1969" t="s">
        <v>4034</v>
      </c>
      <c r="E1969" t="s">
        <v>17</v>
      </c>
      <c r="F1969" t="s">
        <v>4031</v>
      </c>
      <c r="G1969" s="3">
        <v>25.99</v>
      </c>
      <c r="H1969" s="3">
        <v>0</v>
      </c>
      <c r="I1969" s="3">
        <v>25.99</v>
      </c>
      <c r="J1969" s="3">
        <f>Table1[[#This Row],[قيمة الفاتورة]]*0.94-Table1[[#This Row],[قيمة المشاركة]]</f>
        <v>24.430599999999998</v>
      </c>
      <c r="L1969" s="3" t="str">
        <f t="shared" si="30"/>
        <v/>
      </c>
      <c r="N1969" t="s">
        <v>19</v>
      </c>
    </row>
    <row r="1970" spans="1:14" x14ac:dyDescent="0.3">
      <c r="A1970">
        <v>117</v>
      </c>
      <c r="B1970" t="s">
        <v>2424</v>
      </c>
      <c r="C1970" t="s">
        <v>2425</v>
      </c>
      <c r="D1970" t="s">
        <v>4035</v>
      </c>
      <c r="E1970" t="s">
        <v>17</v>
      </c>
      <c r="F1970" t="s">
        <v>4031</v>
      </c>
      <c r="G1970" s="3">
        <v>10</v>
      </c>
      <c r="H1970" s="3">
        <v>0</v>
      </c>
      <c r="I1970" s="3">
        <v>10</v>
      </c>
      <c r="J1970" s="3">
        <f>Table1[[#This Row],[قيمة الفاتورة]]*0.94-Table1[[#This Row],[قيمة المشاركة]]</f>
        <v>9.3999999999999986</v>
      </c>
      <c r="L1970" s="3" t="str">
        <f t="shared" si="30"/>
        <v/>
      </c>
      <c r="N1970" t="s">
        <v>19</v>
      </c>
    </row>
    <row r="1971" spans="1:14" x14ac:dyDescent="0.3">
      <c r="A1971">
        <v>379</v>
      </c>
      <c r="B1971" t="s">
        <v>4036</v>
      </c>
      <c r="C1971" t="s">
        <v>377</v>
      </c>
      <c r="D1971" t="s">
        <v>4037</v>
      </c>
      <c r="E1971" t="s">
        <v>23</v>
      </c>
      <c r="F1971" t="s">
        <v>4031</v>
      </c>
      <c r="G1971" s="3">
        <v>18.489999999999998</v>
      </c>
      <c r="H1971" s="3">
        <v>3.698</v>
      </c>
      <c r="I1971" s="3">
        <v>14.792</v>
      </c>
      <c r="J1971" s="3">
        <f>Table1[[#This Row],[قيمة الفاتورة]]*0.94-Table1[[#This Row],[قيمة المشاركة]]</f>
        <v>13.682599999999997</v>
      </c>
      <c r="L1971" s="3" t="str">
        <f t="shared" si="30"/>
        <v/>
      </c>
      <c r="N1971" t="s">
        <v>19</v>
      </c>
    </row>
    <row r="1972" spans="1:14" x14ac:dyDescent="0.3">
      <c r="A1972">
        <v>120</v>
      </c>
      <c r="B1972" t="s">
        <v>3512</v>
      </c>
      <c r="C1972" t="s">
        <v>3513</v>
      </c>
      <c r="D1972" t="s">
        <v>4038</v>
      </c>
      <c r="E1972" t="s">
        <v>23</v>
      </c>
      <c r="F1972" t="s">
        <v>4031</v>
      </c>
      <c r="G1972" s="3">
        <v>49.47</v>
      </c>
      <c r="H1972" s="3">
        <v>9.8940000000000001</v>
      </c>
      <c r="I1972" s="3">
        <v>39.576000000000001</v>
      </c>
      <c r="J1972" s="3">
        <f>Table1[[#This Row],[قيمة الفاتورة]]*0.94-Table1[[#This Row],[قيمة المشاركة]]</f>
        <v>36.607799999999997</v>
      </c>
      <c r="L1972" s="3" t="str">
        <f t="shared" si="30"/>
        <v/>
      </c>
      <c r="N1972" t="s">
        <v>328</v>
      </c>
    </row>
    <row r="1973" spans="1:14" x14ac:dyDescent="0.3">
      <c r="A1973">
        <v>121</v>
      </c>
      <c r="B1973" t="s">
        <v>3616</v>
      </c>
      <c r="C1973" t="s">
        <v>620</v>
      </c>
      <c r="D1973" t="s">
        <v>4039</v>
      </c>
      <c r="E1973" t="s">
        <v>23</v>
      </c>
      <c r="F1973" t="s">
        <v>4031</v>
      </c>
      <c r="G1973" s="3">
        <v>61.31</v>
      </c>
      <c r="H1973" s="3">
        <v>12.262</v>
      </c>
      <c r="I1973" s="3">
        <v>49.048000000000002</v>
      </c>
      <c r="J1973" s="3">
        <f>Table1[[#This Row],[قيمة الفاتورة]]*0.94-Table1[[#This Row],[قيمة المشاركة]]</f>
        <v>45.369399999999999</v>
      </c>
      <c r="L1973" s="3" t="str">
        <f t="shared" si="30"/>
        <v/>
      </c>
      <c r="N1973" t="s">
        <v>328</v>
      </c>
    </row>
    <row r="1974" spans="1:14" x14ac:dyDescent="0.3">
      <c r="A1974">
        <v>114</v>
      </c>
      <c r="B1974" t="s">
        <v>4040</v>
      </c>
      <c r="C1974" t="s">
        <v>4041</v>
      </c>
      <c r="D1974" t="s">
        <v>4042</v>
      </c>
      <c r="E1974" t="s">
        <v>17</v>
      </c>
      <c r="F1974" t="s">
        <v>4031</v>
      </c>
      <c r="G1974" s="3">
        <v>27.57</v>
      </c>
      <c r="H1974" s="3">
        <v>5.5140000000000002</v>
      </c>
      <c r="I1974" s="3">
        <v>22.056000000000001</v>
      </c>
      <c r="J1974" s="3">
        <f>Table1[[#This Row],[قيمة الفاتورة]]*0.94-Table1[[#This Row],[قيمة المشاركة]]</f>
        <v>20.401799999999998</v>
      </c>
      <c r="L1974" s="3" t="str">
        <f t="shared" si="30"/>
        <v/>
      </c>
      <c r="N1974" t="s">
        <v>328</v>
      </c>
    </row>
    <row r="1975" spans="1:14" x14ac:dyDescent="0.3">
      <c r="A1975">
        <v>119</v>
      </c>
      <c r="B1975" t="s">
        <v>4043</v>
      </c>
      <c r="C1975" t="s">
        <v>4044</v>
      </c>
      <c r="D1975" t="s">
        <v>4045</v>
      </c>
      <c r="E1975" t="s">
        <v>17</v>
      </c>
      <c r="F1975" t="s">
        <v>4031</v>
      </c>
      <c r="G1975" s="3">
        <v>38.67</v>
      </c>
      <c r="H1975" s="3">
        <v>7.734</v>
      </c>
      <c r="I1975" s="3">
        <v>30.936</v>
      </c>
      <c r="J1975" s="3">
        <f>Table1[[#This Row],[قيمة الفاتورة]]*0.94-Table1[[#This Row],[قيمة المشاركة]]</f>
        <v>28.6158</v>
      </c>
      <c r="L1975" s="3" t="str">
        <f t="shared" si="30"/>
        <v/>
      </c>
      <c r="N1975" t="s">
        <v>328</v>
      </c>
    </row>
    <row r="1976" spans="1:14" x14ac:dyDescent="0.3">
      <c r="A1976">
        <v>128</v>
      </c>
      <c r="B1976" t="s">
        <v>1908</v>
      </c>
      <c r="C1976" t="s">
        <v>1909</v>
      </c>
      <c r="D1976" t="s">
        <v>4046</v>
      </c>
      <c r="E1976" t="s">
        <v>23</v>
      </c>
      <c r="F1976" t="s">
        <v>4047</v>
      </c>
      <c r="G1976" s="3">
        <v>27.54</v>
      </c>
      <c r="H1976" s="3">
        <v>0</v>
      </c>
      <c r="I1976" s="3">
        <v>27.54</v>
      </c>
      <c r="J1976" s="3">
        <f>Table1[[#This Row],[قيمة الفاتورة]]*0.94-Table1[[#This Row],[قيمة المشاركة]]</f>
        <v>25.887599999999999</v>
      </c>
      <c r="L1976" s="3" t="str">
        <f t="shared" si="30"/>
        <v/>
      </c>
      <c r="N1976" t="s">
        <v>19</v>
      </c>
    </row>
    <row r="1977" spans="1:14" x14ac:dyDescent="0.3">
      <c r="A1977">
        <v>126</v>
      </c>
      <c r="B1977" t="s">
        <v>2424</v>
      </c>
      <c r="C1977" t="s">
        <v>2425</v>
      </c>
      <c r="D1977" t="s">
        <v>4048</v>
      </c>
      <c r="E1977" t="s">
        <v>23</v>
      </c>
      <c r="F1977" t="s">
        <v>4047</v>
      </c>
      <c r="G1977" s="3">
        <v>40.619999999999997</v>
      </c>
      <c r="H1977" s="3">
        <v>0</v>
      </c>
      <c r="I1977" s="3">
        <v>40.619999999999997</v>
      </c>
      <c r="J1977" s="3">
        <f>Table1[[#This Row],[قيمة الفاتورة]]*0.94-Table1[[#This Row],[قيمة المشاركة]]</f>
        <v>38.182799999999993</v>
      </c>
      <c r="L1977" s="3" t="str">
        <f t="shared" si="30"/>
        <v/>
      </c>
      <c r="N1977" t="s">
        <v>19</v>
      </c>
    </row>
    <row r="1978" spans="1:14" x14ac:dyDescent="0.3">
      <c r="A1978">
        <v>127</v>
      </c>
      <c r="B1978" t="s">
        <v>2927</v>
      </c>
      <c r="C1978" t="s">
        <v>523</v>
      </c>
      <c r="D1978" t="s">
        <v>4049</v>
      </c>
      <c r="E1978" t="s">
        <v>17</v>
      </c>
      <c r="F1978" t="s">
        <v>4047</v>
      </c>
      <c r="G1978" s="3">
        <v>45.3</v>
      </c>
      <c r="H1978" s="3">
        <v>9.06</v>
      </c>
      <c r="I1978" s="3">
        <v>36.24</v>
      </c>
      <c r="J1978" s="3">
        <f>Table1[[#This Row],[قيمة الفاتورة]]*0.94-Table1[[#This Row],[قيمة المشاركة]]</f>
        <v>33.521999999999991</v>
      </c>
      <c r="L1978" s="3" t="str">
        <f t="shared" si="30"/>
        <v/>
      </c>
      <c r="N1978" t="s">
        <v>328</v>
      </c>
    </row>
    <row r="1979" spans="1:14" x14ac:dyDescent="0.3">
      <c r="A1979">
        <v>125</v>
      </c>
      <c r="B1979" t="s">
        <v>3171</v>
      </c>
      <c r="C1979" t="s">
        <v>3172</v>
      </c>
      <c r="D1979" t="s">
        <v>4050</v>
      </c>
      <c r="E1979" t="s">
        <v>23</v>
      </c>
      <c r="F1979" t="s">
        <v>4047</v>
      </c>
      <c r="G1979" s="3">
        <v>30.9</v>
      </c>
      <c r="H1979" s="3">
        <v>6.18</v>
      </c>
      <c r="I1979" s="3">
        <v>24.72</v>
      </c>
      <c r="J1979" s="3">
        <f>Table1[[#This Row],[قيمة الفاتورة]]*0.94-Table1[[#This Row],[قيمة المشاركة]]</f>
        <v>22.865999999999996</v>
      </c>
      <c r="L1979" s="3" t="str">
        <f t="shared" si="30"/>
        <v/>
      </c>
      <c r="N1979" t="s">
        <v>328</v>
      </c>
    </row>
    <row r="1980" spans="1:14" x14ac:dyDescent="0.3">
      <c r="A1980">
        <v>122</v>
      </c>
      <c r="B1980" t="s">
        <v>3160</v>
      </c>
      <c r="C1980" t="s">
        <v>3405</v>
      </c>
      <c r="D1980" t="s">
        <v>4051</v>
      </c>
      <c r="E1980" t="s">
        <v>17</v>
      </c>
      <c r="F1980" t="s">
        <v>4047</v>
      </c>
      <c r="G1980" s="3">
        <v>45.37</v>
      </c>
      <c r="H1980" s="3">
        <v>9.0739999999999998</v>
      </c>
      <c r="I1980" s="3">
        <v>36.295999999999999</v>
      </c>
      <c r="J1980" s="3">
        <f>Table1[[#This Row],[قيمة الفاتورة]]*0.94-Table1[[#This Row],[قيمة المشاركة]]</f>
        <v>33.573799999999999</v>
      </c>
      <c r="L1980" s="3" t="str">
        <f t="shared" si="30"/>
        <v/>
      </c>
      <c r="N1980" t="s">
        <v>328</v>
      </c>
    </row>
    <row r="1981" spans="1:14" x14ac:dyDescent="0.3">
      <c r="A1981">
        <v>124</v>
      </c>
      <c r="B1981" t="s">
        <v>3168</v>
      </c>
      <c r="C1981" t="s">
        <v>3169</v>
      </c>
      <c r="D1981" t="s">
        <v>4052</v>
      </c>
      <c r="E1981" t="s">
        <v>23</v>
      </c>
      <c r="F1981" t="s">
        <v>4047</v>
      </c>
      <c r="G1981" s="3">
        <v>33.18</v>
      </c>
      <c r="H1981" s="3">
        <v>6.6360000000000001</v>
      </c>
      <c r="I1981" s="3">
        <v>26.544</v>
      </c>
      <c r="J1981" s="3">
        <f>Table1[[#This Row],[قيمة الفاتورة]]*0.94-Table1[[#This Row],[قيمة المشاركة]]</f>
        <v>24.5532</v>
      </c>
      <c r="L1981" s="3" t="str">
        <f t="shared" si="30"/>
        <v/>
      </c>
      <c r="N1981" t="s">
        <v>328</v>
      </c>
    </row>
    <row r="1982" spans="1:14" x14ac:dyDescent="0.3">
      <c r="A1982">
        <v>123</v>
      </c>
      <c r="B1982" t="s">
        <v>4053</v>
      </c>
      <c r="C1982" t="s">
        <v>4054</v>
      </c>
      <c r="D1982" t="s">
        <v>4055</v>
      </c>
      <c r="E1982" t="s">
        <v>23</v>
      </c>
      <c r="F1982" t="s">
        <v>4047</v>
      </c>
      <c r="G1982" s="3">
        <v>49.82</v>
      </c>
      <c r="H1982" s="3">
        <v>9.9640000000000004</v>
      </c>
      <c r="I1982" s="3">
        <v>39.856000000000002</v>
      </c>
      <c r="J1982" s="3">
        <f>Table1[[#This Row],[قيمة الفاتورة]]*0.94-Table1[[#This Row],[قيمة المشاركة]]</f>
        <v>36.866799999999998</v>
      </c>
      <c r="L1982" s="3" t="str">
        <f t="shared" si="30"/>
        <v/>
      </c>
      <c r="N1982" t="s">
        <v>328</v>
      </c>
    </row>
    <row r="1983" spans="1:14" x14ac:dyDescent="0.3">
      <c r="A1983">
        <v>129</v>
      </c>
      <c r="B1983" t="s">
        <v>4056</v>
      </c>
      <c r="C1983" t="s">
        <v>173</v>
      </c>
      <c r="D1983" t="s">
        <v>4057</v>
      </c>
      <c r="E1983" t="s">
        <v>23</v>
      </c>
      <c r="F1983" t="s">
        <v>4047</v>
      </c>
      <c r="G1983" s="3">
        <v>30.62</v>
      </c>
      <c r="H1983" s="3">
        <v>6.1239999999999997</v>
      </c>
      <c r="I1983" s="3">
        <v>24.495999999999999</v>
      </c>
      <c r="J1983" s="3">
        <f>Table1[[#This Row],[قيمة الفاتورة]]*0.94-Table1[[#This Row],[قيمة المشاركة]]</f>
        <v>22.658799999999999</v>
      </c>
      <c r="L1983" s="3" t="str">
        <f t="shared" si="30"/>
        <v/>
      </c>
      <c r="N1983" t="s">
        <v>19</v>
      </c>
    </row>
    <row r="1984" spans="1:14" x14ac:dyDescent="0.3">
      <c r="A1984">
        <v>380</v>
      </c>
      <c r="B1984" t="s">
        <v>3995</v>
      </c>
      <c r="C1984" t="s">
        <v>3996</v>
      </c>
      <c r="D1984" t="s">
        <v>4058</v>
      </c>
      <c r="E1984" t="s">
        <v>17</v>
      </c>
      <c r="F1984" t="s">
        <v>4047</v>
      </c>
      <c r="G1984" s="3">
        <v>6.42</v>
      </c>
      <c r="H1984" s="3">
        <v>1.284</v>
      </c>
      <c r="I1984" s="3">
        <v>5.1360000000000001</v>
      </c>
      <c r="J1984" s="3">
        <f>Table1[[#This Row],[قيمة الفاتورة]]*0.94-Table1[[#This Row],[قيمة المشاركة]]</f>
        <v>4.7507999999999999</v>
      </c>
      <c r="L1984" s="3" t="str">
        <f t="shared" si="30"/>
        <v/>
      </c>
      <c r="N1984" t="s">
        <v>328</v>
      </c>
    </row>
    <row r="1985" spans="1:14" x14ac:dyDescent="0.3">
      <c r="A1985">
        <v>131</v>
      </c>
      <c r="B1985" t="s">
        <v>2410</v>
      </c>
      <c r="C1985" t="s">
        <v>2411</v>
      </c>
      <c r="D1985" t="s">
        <v>4059</v>
      </c>
      <c r="E1985" t="s">
        <v>17</v>
      </c>
      <c r="F1985" t="s">
        <v>4060</v>
      </c>
      <c r="G1985" s="3">
        <v>21.81</v>
      </c>
      <c r="H1985" s="3">
        <v>0</v>
      </c>
      <c r="I1985" s="3">
        <v>21.81</v>
      </c>
      <c r="J1985" s="3">
        <f>Table1[[#This Row],[قيمة الفاتورة]]*0.94-Table1[[#This Row],[قيمة المشاركة]]</f>
        <v>20.501399999999997</v>
      </c>
      <c r="L1985" s="3" t="str">
        <f t="shared" si="30"/>
        <v/>
      </c>
      <c r="N1985" t="s">
        <v>19</v>
      </c>
    </row>
    <row r="1986" spans="1:14" x14ac:dyDescent="0.3">
      <c r="A1986">
        <v>130</v>
      </c>
      <c r="B1986" t="s">
        <v>2651</v>
      </c>
      <c r="C1986" t="s">
        <v>2652</v>
      </c>
      <c r="D1986" t="s">
        <v>4061</v>
      </c>
      <c r="E1986" t="s">
        <v>23</v>
      </c>
      <c r="F1986" t="s">
        <v>4060</v>
      </c>
      <c r="G1986" s="3">
        <v>10.68</v>
      </c>
      <c r="H1986" s="3">
        <v>0</v>
      </c>
      <c r="I1986" s="3">
        <v>10.68</v>
      </c>
      <c r="J1986" s="3">
        <f>Table1[[#This Row],[قيمة الفاتورة]]*0.94-Table1[[#This Row],[قيمة المشاركة]]</f>
        <v>10.039199999999999</v>
      </c>
      <c r="L1986" s="3" t="str">
        <f t="shared" ref="L1986:L2049" si="31">IF(ISNUMBER(K1986), J1986-K1986, "")</f>
        <v/>
      </c>
      <c r="N1986" t="s">
        <v>19</v>
      </c>
    </row>
    <row r="1987" spans="1:14" x14ac:dyDescent="0.3">
      <c r="A1987">
        <v>381</v>
      </c>
      <c r="B1987" t="s">
        <v>3778</v>
      </c>
      <c r="C1987" t="s">
        <v>4062</v>
      </c>
      <c r="D1987" t="s">
        <v>4063</v>
      </c>
      <c r="E1987" t="s">
        <v>23</v>
      </c>
      <c r="F1987" t="s">
        <v>4060</v>
      </c>
      <c r="G1987" s="3">
        <v>6.29</v>
      </c>
      <c r="H1987" s="3">
        <v>1.258</v>
      </c>
      <c r="I1987" s="3">
        <v>5.032</v>
      </c>
      <c r="J1987" s="3">
        <f>Table1[[#This Row],[قيمة الفاتورة]]*0.94-Table1[[#This Row],[قيمة المشاركة]]</f>
        <v>4.6545999999999994</v>
      </c>
      <c r="L1987" s="3" t="str">
        <f t="shared" si="31"/>
        <v/>
      </c>
      <c r="N1987" t="s">
        <v>328</v>
      </c>
    </row>
    <row r="1988" spans="1:14" x14ac:dyDescent="0.3">
      <c r="A1988">
        <v>132</v>
      </c>
      <c r="B1988" t="s">
        <v>3091</v>
      </c>
      <c r="C1988" t="s">
        <v>4064</v>
      </c>
      <c r="D1988" t="s">
        <v>4065</v>
      </c>
      <c r="E1988" t="s">
        <v>23</v>
      </c>
      <c r="F1988" t="s">
        <v>4066</v>
      </c>
      <c r="G1988" s="3">
        <v>3.8</v>
      </c>
      <c r="H1988" s="3">
        <v>0</v>
      </c>
      <c r="I1988" s="3">
        <v>3.8</v>
      </c>
      <c r="J1988" s="3">
        <f>Table1[[#This Row],[قيمة الفاتورة]]*0.94-Table1[[#This Row],[قيمة المشاركة]]</f>
        <v>3.5719999999999996</v>
      </c>
      <c r="L1988" s="3" t="str">
        <f t="shared" si="31"/>
        <v/>
      </c>
      <c r="N1988" t="s">
        <v>19</v>
      </c>
    </row>
    <row r="1989" spans="1:14" x14ac:dyDescent="0.3">
      <c r="A1989">
        <v>133</v>
      </c>
      <c r="B1989" t="s">
        <v>3091</v>
      </c>
      <c r="C1989" t="s">
        <v>4064</v>
      </c>
      <c r="D1989" t="s">
        <v>4067</v>
      </c>
      <c r="E1989" t="s">
        <v>23</v>
      </c>
      <c r="F1989" t="s">
        <v>4066</v>
      </c>
      <c r="G1989" s="3">
        <v>17.14</v>
      </c>
      <c r="H1989" s="3">
        <v>0</v>
      </c>
      <c r="I1989" s="3">
        <v>17.14</v>
      </c>
      <c r="J1989" s="3">
        <f>Table1[[#This Row],[قيمة الفاتورة]]*0.94-Table1[[#This Row],[قيمة المشاركة]]</f>
        <v>16.111599999999999</v>
      </c>
      <c r="L1989" s="3" t="str">
        <f t="shared" si="31"/>
        <v/>
      </c>
      <c r="N1989" t="s">
        <v>19</v>
      </c>
    </row>
    <row r="1990" spans="1:14" x14ac:dyDescent="0.3">
      <c r="A1990">
        <v>135</v>
      </c>
      <c r="B1990" t="s">
        <v>182</v>
      </c>
      <c r="C1990" t="s">
        <v>183</v>
      </c>
      <c r="D1990" t="s">
        <v>4068</v>
      </c>
      <c r="E1990" t="s">
        <v>23</v>
      </c>
      <c r="F1990" t="s">
        <v>4066</v>
      </c>
      <c r="G1990" s="3">
        <v>37.090000000000003</v>
      </c>
      <c r="H1990" s="3">
        <v>0</v>
      </c>
      <c r="I1990" s="3">
        <v>37.090000000000003</v>
      </c>
      <c r="J1990" s="3">
        <f>Table1[[#This Row],[قيمة الفاتورة]]*0.94-Table1[[#This Row],[قيمة المشاركة]]</f>
        <v>34.864600000000003</v>
      </c>
      <c r="L1990" s="3" t="str">
        <f t="shared" si="31"/>
        <v/>
      </c>
      <c r="N1990" t="s">
        <v>19</v>
      </c>
    </row>
    <row r="1991" spans="1:14" x14ac:dyDescent="0.3">
      <c r="A1991">
        <v>134</v>
      </c>
      <c r="B1991" t="s">
        <v>3459</v>
      </c>
      <c r="C1991" t="s">
        <v>4069</v>
      </c>
      <c r="D1991" t="s">
        <v>4070</v>
      </c>
      <c r="E1991" t="s">
        <v>17</v>
      </c>
      <c r="F1991" t="s">
        <v>4066</v>
      </c>
      <c r="G1991" s="3">
        <v>41.15</v>
      </c>
      <c r="H1991" s="3">
        <v>8.23</v>
      </c>
      <c r="I1991" s="3">
        <v>32.92</v>
      </c>
      <c r="J1991" s="3">
        <f>Table1[[#This Row],[قيمة الفاتورة]]*0.94-Table1[[#This Row],[قيمة المشاركة]]</f>
        <v>30.450999999999997</v>
      </c>
      <c r="L1991" s="3" t="str">
        <f t="shared" si="31"/>
        <v/>
      </c>
      <c r="N1991" t="s">
        <v>328</v>
      </c>
    </row>
    <row r="1992" spans="1:14" x14ac:dyDescent="0.3">
      <c r="A1992">
        <v>143</v>
      </c>
      <c r="B1992" t="s">
        <v>2007</v>
      </c>
      <c r="C1992" t="s">
        <v>1893</v>
      </c>
      <c r="D1992" t="s">
        <v>4071</v>
      </c>
      <c r="E1992" t="s">
        <v>23</v>
      </c>
      <c r="F1992" t="s">
        <v>4072</v>
      </c>
      <c r="G1992" s="3">
        <v>71.44</v>
      </c>
      <c r="H1992" s="3">
        <v>14.288</v>
      </c>
      <c r="I1992" s="3">
        <v>57.152000000000001</v>
      </c>
      <c r="J1992" s="3">
        <f>Table1[[#This Row],[قيمة الفاتورة]]*0.94-Table1[[#This Row],[قيمة المشاركة]]</f>
        <v>52.865600000000001</v>
      </c>
      <c r="L1992" s="3" t="str">
        <f t="shared" si="31"/>
        <v/>
      </c>
      <c r="N1992" t="s">
        <v>328</v>
      </c>
    </row>
    <row r="1993" spans="1:14" x14ac:dyDescent="0.3">
      <c r="A1993">
        <v>138</v>
      </c>
      <c r="B1993" t="s">
        <v>240</v>
      </c>
      <c r="C1993" t="s">
        <v>241</v>
      </c>
      <c r="D1993" t="s">
        <v>4073</v>
      </c>
      <c r="E1993" t="s">
        <v>23</v>
      </c>
      <c r="F1993" t="s">
        <v>4072</v>
      </c>
      <c r="G1993" s="3">
        <v>16.38</v>
      </c>
      <c r="H1993" s="3">
        <v>0</v>
      </c>
      <c r="I1993" s="3">
        <v>16.38</v>
      </c>
      <c r="J1993" s="3">
        <f>Table1[[#This Row],[قيمة الفاتورة]]*0.94-Table1[[#This Row],[قيمة المشاركة]]</f>
        <v>15.397199999999998</v>
      </c>
      <c r="L1993" s="3" t="str">
        <f t="shared" si="31"/>
        <v/>
      </c>
      <c r="N1993" t="s">
        <v>19</v>
      </c>
    </row>
    <row r="1994" spans="1:14" x14ac:dyDescent="0.3">
      <c r="A1994">
        <v>384</v>
      </c>
      <c r="B1994" t="s">
        <v>688</v>
      </c>
      <c r="C1994" t="s">
        <v>4074</v>
      </c>
      <c r="D1994" t="s">
        <v>4075</v>
      </c>
      <c r="E1994" t="s">
        <v>17</v>
      </c>
      <c r="F1994" t="s">
        <v>4072</v>
      </c>
      <c r="G1994" s="3">
        <v>8.6</v>
      </c>
      <c r="H1994" s="3">
        <v>0</v>
      </c>
      <c r="I1994" s="3">
        <v>8.6</v>
      </c>
      <c r="J1994" s="3">
        <f>Table1[[#This Row],[قيمة الفاتورة]]*0.94-Table1[[#This Row],[قيمة المشاركة]]</f>
        <v>8.0839999999999996</v>
      </c>
      <c r="L1994" s="3" t="str">
        <f t="shared" si="31"/>
        <v/>
      </c>
      <c r="N1994" t="s">
        <v>19</v>
      </c>
    </row>
    <row r="1995" spans="1:14" x14ac:dyDescent="0.3">
      <c r="A1995">
        <v>385</v>
      </c>
      <c r="B1995" t="s">
        <v>688</v>
      </c>
      <c r="C1995" t="s">
        <v>689</v>
      </c>
      <c r="D1995" t="s">
        <v>4076</v>
      </c>
      <c r="E1995" t="s">
        <v>17</v>
      </c>
      <c r="F1995" t="s">
        <v>4072</v>
      </c>
      <c r="G1995" s="3">
        <v>11.5</v>
      </c>
      <c r="H1995" s="3">
        <v>0</v>
      </c>
      <c r="I1995" s="3">
        <v>11.5</v>
      </c>
      <c r="J1995" s="3">
        <f>Table1[[#This Row],[قيمة الفاتورة]]*0.94-Table1[[#This Row],[قيمة المشاركة]]</f>
        <v>10.809999999999999</v>
      </c>
      <c r="L1995" s="3" t="str">
        <f t="shared" si="31"/>
        <v/>
      </c>
      <c r="N1995" t="s">
        <v>19</v>
      </c>
    </row>
    <row r="1996" spans="1:14" x14ac:dyDescent="0.3">
      <c r="A1996">
        <v>141</v>
      </c>
      <c r="B1996" t="s">
        <v>1160</v>
      </c>
      <c r="C1996" t="s">
        <v>2334</v>
      </c>
      <c r="D1996" t="s">
        <v>4077</v>
      </c>
      <c r="E1996" t="s">
        <v>17</v>
      </c>
      <c r="F1996" t="s">
        <v>4072</v>
      </c>
      <c r="G1996" s="3">
        <v>30.99</v>
      </c>
      <c r="H1996" s="3">
        <v>4.6479999999999997</v>
      </c>
      <c r="I1996" s="3">
        <v>26.341999999999999</v>
      </c>
      <c r="J1996" s="3">
        <f>Table1[[#This Row],[قيمة الفاتورة]]*0.94-Table1[[#This Row],[قيمة المشاركة]]</f>
        <v>24.482599999999998</v>
      </c>
      <c r="L1996" s="3" t="str">
        <f t="shared" si="31"/>
        <v/>
      </c>
      <c r="N1996" t="s">
        <v>19</v>
      </c>
    </row>
    <row r="1997" spans="1:14" x14ac:dyDescent="0.3">
      <c r="A1997">
        <v>140</v>
      </c>
      <c r="B1997" t="s">
        <v>3094</v>
      </c>
      <c r="C1997" t="s">
        <v>3095</v>
      </c>
      <c r="D1997" t="s">
        <v>4078</v>
      </c>
      <c r="E1997" t="s">
        <v>23</v>
      </c>
      <c r="F1997" t="s">
        <v>4072</v>
      </c>
      <c r="G1997" s="3">
        <v>18.64</v>
      </c>
      <c r="H1997" s="3">
        <v>2.7959999999999998</v>
      </c>
      <c r="I1997" s="3">
        <v>15.843999999999999</v>
      </c>
      <c r="J1997" s="3">
        <f>Table1[[#This Row],[قيمة الفاتورة]]*0.94-Table1[[#This Row],[قيمة المشاركة]]</f>
        <v>14.7256</v>
      </c>
      <c r="L1997" s="3" t="str">
        <f t="shared" si="31"/>
        <v/>
      </c>
      <c r="N1997" t="s">
        <v>19</v>
      </c>
    </row>
    <row r="1998" spans="1:14" x14ac:dyDescent="0.3">
      <c r="A1998">
        <v>139</v>
      </c>
      <c r="B1998" t="s">
        <v>4079</v>
      </c>
      <c r="C1998" t="s">
        <v>4080</v>
      </c>
      <c r="D1998" t="s">
        <v>4081</v>
      </c>
      <c r="E1998" t="s">
        <v>23</v>
      </c>
      <c r="F1998" t="s">
        <v>4072</v>
      </c>
      <c r="G1998" s="3">
        <v>50.89</v>
      </c>
      <c r="H1998" s="3">
        <v>0</v>
      </c>
      <c r="I1998" s="3">
        <v>50.89</v>
      </c>
      <c r="J1998" s="3">
        <f>Table1[[#This Row],[قيمة الفاتورة]]*0.94-Table1[[#This Row],[قيمة المشاركة]]</f>
        <v>47.836599999999997</v>
      </c>
      <c r="L1998" s="3" t="str">
        <f t="shared" si="31"/>
        <v/>
      </c>
      <c r="N1998" t="s">
        <v>19</v>
      </c>
    </row>
    <row r="1999" spans="1:14" x14ac:dyDescent="0.3">
      <c r="A1999">
        <v>382</v>
      </c>
      <c r="B1999" t="s">
        <v>1403</v>
      </c>
      <c r="C1999" t="s">
        <v>4082</v>
      </c>
      <c r="D1999" t="s">
        <v>4083</v>
      </c>
      <c r="E1999" t="s">
        <v>23</v>
      </c>
      <c r="F1999" t="s">
        <v>4072</v>
      </c>
      <c r="G1999" s="3">
        <v>29.54</v>
      </c>
      <c r="H1999" s="3">
        <v>0</v>
      </c>
      <c r="I1999" s="3">
        <v>29.54</v>
      </c>
      <c r="J1999" s="3">
        <f>Table1[[#This Row],[قيمة الفاتورة]]*0.94-Table1[[#This Row],[قيمة المشاركة]]</f>
        <v>27.767599999999998</v>
      </c>
      <c r="L1999" s="3" t="str">
        <f t="shared" si="31"/>
        <v/>
      </c>
      <c r="N1999" t="s">
        <v>19</v>
      </c>
    </row>
    <row r="2000" spans="1:14" x14ac:dyDescent="0.3">
      <c r="A2000">
        <v>137</v>
      </c>
      <c r="B2000" t="s">
        <v>3524</v>
      </c>
      <c r="C2000" t="s">
        <v>3525</v>
      </c>
      <c r="D2000" t="s">
        <v>4084</v>
      </c>
      <c r="E2000" t="s">
        <v>23</v>
      </c>
      <c r="F2000" t="s">
        <v>4072</v>
      </c>
      <c r="G2000" s="3">
        <v>16.649999999999999</v>
      </c>
      <c r="H2000" s="3">
        <v>0</v>
      </c>
      <c r="I2000" s="3">
        <v>16.649999999999999</v>
      </c>
      <c r="J2000" s="3">
        <f>Table1[[#This Row],[قيمة الفاتورة]]*0.94-Table1[[#This Row],[قيمة المشاركة]]</f>
        <v>15.650999999999998</v>
      </c>
      <c r="L2000" s="3" t="str">
        <f t="shared" si="31"/>
        <v/>
      </c>
      <c r="N2000" t="s">
        <v>19</v>
      </c>
    </row>
    <row r="2001" spans="1:14" x14ac:dyDescent="0.3">
      <c r="A2001">
        <v>383</v>
      </c>
      <c r="B2001" t="s">
        <v>1345</v>
      </c>
      <c r="C2001" t="s">
        <v>1346</v>
      </c>
      <c r="D2001" t="s">
        <v>4085</v>
      </c>
      <c r="E2001" t="s">
        <v>17</v>
      </c>
      <c r="F2001" t="s">
        <v>4072</v>
      </c>
      <c r="G2001" s="3">
        <v>54.29</v>
      </c>
      <c r="H2001" s="3">
        <v>0</v>
      </c>
      <c r="I2001" s="3">
        <v>54.29</v>
      </c>
      <c r="J2001" s="3">
        <f>Table1[[#This Row],[قيمة الفاتورة]]*0.94-Table1[[#This Row],[قيمة المشاركة]]</f>
        <v>51.032599999999995</v>
      </c>
      <c r="L2001" s="3" t="str">
        <f t="shared" si="31"/>
        <v/>
      </c>
      <c r="N2001" t="s">
        <v>19</v>
      </c>
    </row>
    <row r="2002" spans="1:14" x14ac:dyDescent="0.3">
      <c r="A2002">
        <v>145</v>
      </c>
      <c r="B2002" t="s">
        <v>1419</v>
      </c>
      <c r="C2002" t="s">
        <v>1420</v>
      </c>
      <c r="D2002" t="s">
        <v>4086</v>
      </c>
      <c r="E2002" t="s">
        <v>23</v>
      </c>
      <c r="F2002" t="s">
        <v>4072</v>
      </c>
      <c r="G2002" s="3">
        <v>21.45</v>
      </c>
      <c r="H2002" s="3">
        <v>0</v>
      </c>
      <c r="I2002" s="3">
        <v>21.45</v>
      </c>
      <c r="J2002" s="3">
        <f>Table1[[#This Row],[قيمة الفاتورة]]*0.94-Table1[[#This Row],[قيمة المشاركة]]</f>
        <v>20.162999999999997</v>
      </c>
      <c r="L2002" s="3" t="str">
        <f t="shared" si="31"/>
        <v/>
      </c>
      <c r="N2002" t="s">
        <v>19</v>
      </c>
    </row>
    <row r="2003" spans="1:14" x14ac:dyDescent="0.3">
      <c r="A2003">
        <v>144</v>
      </c>
      <c r="B2003" t="s">
        <v>2096</v>
      </c>
      <c r="C2003" t="s">
        <v>4087</v>
      </c>
      <c r="D2003" t="s">
        <v>4088</v>
      </c>
      <c r="E2003" t="s">
        <v>23</v>
      </c>
      <c r="F2003" t="s">
        <v>4072</v>
      </c>
      <c r="G2003" s="3">
        <v>11.22</v>
      </c>
      <c r="H2003" s="3">
        <v>0</v>
      </c>
      <c r="I2003" s="3">
        <v>11.22</v>
      </c>
      <c r="J2003" s="3">
        <f>Table1[[#This Row],[قيمة الفاتورة]]*0.94-Table1[[#This Row],[قيمة المشاركة]]</f>
        <v>10.546799999999999</v>
      </c>
      <c r="L2003" s="3" t="str">
        <f t="shared" si="31"/>
        <v/>
      </c>
      <c r="N2003" t="s">
        <v>19</v>
      </c>
    </row>
    <row r="2004" spans="1:14" x14ac:dyDescent="0.3">
      <c r="A2004">
        <v>136</v>
      </c>
      <c r="B2004" t="s">
        <v>2690</v>
      </c>
      <c r="C2004" t="s">
        <v>2208</v>
      </c>
      <c r="D2004" t="s">
        <v>4089</v>
      </c>
      <c r="E2004" t="s">
        <v>17</v>
      </c>
      <c r="F2004" t="s">
        <v>4072</v>
      </c>
      <c r="G2004" s="3">
        <v>49.33</v>
      </c>
      <c r="H2004" s="3">
        <v>9.8659999999999997</v>
      </c>
      <c r="I2004" s="3">
        <v>39.463999999999999</v>
      </c>
      <c r="J2004" s="3">
        <f>Table1[[#This Row],[قيمة الفاتورة]]*0.94-Table1[[#This Row],[قيمة المشاركة]]</f>
        <v>36.504199999999997</v>
      </c>
      <c r="L2004" s="3" t="str">
        <f t="shared" si="31"/>
        <v/>
      </c>
      <c r="N2004" t="s">
        <v>328</v>
      </c>
    </row>
    <row r="2005" spans="1:14" x14ac:dyDescent="0.3">
      <c r="A2005">
        <v>142</v>
      </c>
      <c r="B2005" t="s">
        <v>3758</v>
      </c>
      <c r="C2005" t="s">
        <v>4090</v>
      </c>
      <c r="D2005" t="s">
        <v>4091</v>
      </c>
      <c r="E2005" t="s">
        <v>23</v>
      </c>
      <c r="F2005" t="s">
        <v>4072</v>
      </c>
      <c r="G2005" s="3">
        <v>44.22</v>
      </c>
      <c r="H2005" s="3">
        <v>8.8439999999999994</v>
      </c>
      <c r="I2005" s="3">
        <v>35.375999999999998</v>
      </c>
      <c r="J2005" s="3">
        <f>Table1[[#This Row],[قيمة الفاتورة]]*0.94-Table1[[#This Row],[قيمة المشاركة]]</f>
        <v>32.722799999999992</v>
      </c>
      <c r="L2005" s="3" t="str">
        <f t="shared" si="31"/>
        <v/>
      </c>
      <c r="N2005" t="s">
        <v>328</v>
      </c>
    </row>
    <row r="2006" spans="1:14" x14ac:dyDescent="0.3">
      <c r="A2006">
        <v>1</v>
      </c>
      <c r="B2006" t="s">
        <v>1539</v>
      </c>
      <c r="C2006" t="s">
        <v>3112</v>
      </c>
      <c r="D2006" t="s">
        <v>4092</v>
      </c>
      <c r="E2006" t="s">
        <v>23</v>
      </c>
      <c r="F2006" t="s">
        <v>4093</v>
      </c>
      <c r="G2006" s="3">
        <v>17.809999999999999</v>
      </c>
      <c r="H2006" s="3">
        <v>0</v>
      </c>
      <c r="I2006" s="3">
        <v>17.809999999999999</v>
      </c>
      <c r="J2006" s="3">
        <f>Table1[[#This Row],[قيمة الفاتورة]]*0.94-Table1[[#This Row],[قيمة المشاركة]]</f>
        <v>16.741399999999999</v>
      </c>
      <c r="L2006" s="3" t="str">
        <f t="shared" si="31"/>
        <v/>
      </c>
      <c r="N2006" t="s">
        <v>19</v>
      </c>
    </row>
    <row r="2007" spans="1:14" x14ac:dyDescent="0.3">
      <c r="A2007">
        <v>2</v>
      </c>
      <c r="B2007" t="s">
        <v>576</v>
      </c>
      <c r="C2007" t="s">
        <v>146</v>
      </c>
      <c r="D2007" t="s">
        <v>4094</v>
      </c>
      <c r="E2007" t="s">
        <v>23</v>
      </c>
      <c r="F2007" t="s">
        <v>4093</v>
      </c>
      <c r="G2007" s="3">
        <v>25.18</v>
      </c>
      <c r="H2007" s="3">
        <v>0</v>
      </c>
      <c r="I2007" s="3">
        <v>25.18</v>
      </c>
      <c r="J2007" s="3">
        <f>Table1[[#This Row],[قيمة الفاتورة]]*0.94-Table1[[#This Row],[قيمة المشاركة]]</f>
        <v>23.6692</v>
      </c>
      <c r="L2007" s="3" t="str">
        <f t="shared" si="31"/>
        <v/>
      </c>
      <c r="N2007" t="s">
        <v>19</v>
      </c>
    </row>
    <row r="2008" spans="1:14" x14ac:dyDescent="0.3">
      <c r="A2008">
        <v>386</v>
      </c>
      <c r="B2008" t="s">
        <v>1127</v>
      </c>
      <c r="C2008" t="s">
        <v>1128</v>
      </c>
      <c r="D2008" t="s">
        <v>4095</v>
      </c>
      <c r="E2008" t="s">
        <v>23</v>
      </c>
      <c r="F2008" t="s">
        <v>4093</v>
      </c>
      <c r="G2008" s="3">
        <v>15</v>
      </c>
      <c r="H2008" s="3">
        <v>0</v>
      </c>
      <c r="I2008" s="3">
        <v>15</v>
      </c>
      <c r="J2008" s="3">
        <f>Table1[[#This Row],[قيمة الفاتورة]]*0.94-Table1[[#This Row],[قيمة المشاركة]]</f>
        <v>14.1</v>
      </c>
      <c r="L2008" s="3" t="str">
        <f t="shared" si="31"/>
        <v/>
      </c>
      <c r="N2008" t="s">
        <v>19</v>
      </c>
    </row>
    <row r="2009" spans="1:14" x14ac:dyDescent="0.3">
      <c r="A2009">
        <v>3</v>
      </c>
      <c r="B2009" t="s">
        <v>2590</v>
      </c>
      <c r="C2009" t="s">
        <v>3189</v>
      </c>
      <c r="D2009" t="s">
        <v>4096</v>
      </c>
      <c r="E2009" t="s">
        <v>23</v>
      </c>
      <c r="F2009" t="s">
        <v>4093</v>
      </c>
      <c r="G2009" s="3">
        <v>15.57</v>
      </c>
      <c r="H2009" s="3">
        <v>0</v>
      </c>
      <c r="I2009" s="3">
        <v>15.57</v>
      </c>
      <c r="J2009" s="3">
        <f>Table1[[#This Row],[قيمة الفاتورة]]*0.94-Table1[[#This Row],[قيمة المشاركة]]</f>
        <v>14.6358</v>
      </c>
      <c r="L2009" s="3" t="str">
        <f t="shared" si="31"/>
        <v/>
      </c>
      <c r="N2009" t="s">
        <v>19</v>
      </c>
    </row>
    <row r="2010" spans="1:14" x14ac:dyDescent="0.3">
      <c r="A2010">
        <v>10</v>
      </c>
      <c r="B2010" t="s">
        <v>2800</v>
      </c>
      <c r="C2010" t="s">
        <v>2801</v>
      </c>
      <c r="D2010" t="s">
        <v>4097</v>
      </c>
      <c r="E2010" t="s">
        <v>23</v>
      </c>
      <c r="F2010" t="s">
        <v>4098</v>
      </c>
      <c r="G2010" s="3">
        <v>49.8</v>
      </c>
      <c r="H2010" s="3">
        <v>0</v>
      </c>
      <c r="I2010" s="3">
        <v>49.8</v>
      </c>
      <c r="J2010" s="3">
        <f>Table1[[#This Row],[قيمة الفاتورة]]*0.94-Table1[[#This Row],[قيمة المشاركة]]</f>
        <v>46.811999999999998</v>
      </c>
      <c r="L2010" s="3" t="str">
        <f t="shared" si="31"/>
        <v/>
      </c>
      <c r="N2010" t="s">
        <v>19</v>
      </c>
    </row>
    <row r="2011" spans="1:14" x14ac:dyDescent="0.3">
      <c r="A2011">
        <v>4</v>
      </c>
      <c r="B2011" t="s">
        <v>1127</v>
      </c>
      <c r="C2011" t="s">
        <v>1128</v>
      </c>
      <c r="D2011" t="s">
        <v>4095</v>
      </c>
      <c r="E2011" t="s">
        <v>17</v>
      </c>
      <c r="F2011" t="s">
        <v>4098</v>
      </c>
      <c r="G2011" s="3">
        <v>22.29</v>
      </c>
      <c r="H2011" s="3">
        <v>0</v>
      </c>
      <c r="I2011" s="3">
        <v>22.29</v>
      </c>
      <c r="J2011" s="3">
        <f>Table1[[#This Row],[قيمة الفاتورة]]*0.94-Table1[[#This Row],[قيمة المشاركة]]</f>
        <v>20.952599999999997</v>
      </c>
      <c r="L2011" s="3" t="str">
        <f t="shared" si="31"/>
        <v/>
      </c>
      <c r="N2011" t="s">
        <v>19</v>
      </c>
    </row>
    <row r="2012" spans="1:14" x14ac:dyDescent="0.3">
      <c r="A2012">
        <v>388</v>
      </c>
      <c r="B2012" t="s">
        <v>385</v>
      </c>
      <c r="C2012" t="s">
        <v>743</v>
      </c>
      <c r="D2012" t="s">
        <v>4099</v>
      </c>
      <c r="E2012" t="s">
        <v>17</v>
      </c>
      <c r="F2012" t="s">
        <v>4098</v>
      </c>
      <c r="G2012" s="3">
        <v>3.39</v>
      </c>
      <c r="H2012" s="3">
        <v>0</v>
      </c>
      <c r="I2012" s="3">
        <v>3.39</v>
      </c>
      <c r="J2012" s="3">
        <f>Table1[[#This Row],[قيمة الفاتورة]]*0.94-Table1[[#This Row],[قيمة المشاركة]]</f>
        <v>3.1865999999999999</v>
      </c>
      <c r="L2012" s="3" t="str">
        <f t="shared" si="31"/>
        <v/>
      </c>
      <c r="N2012" t="s">
        <v>19</v>
      </c>
    </row>
    <row r="2013" spans="1:14" x14ac:dyDescent="0.3">
      <c r="A2013">
        <v>387</v>
      </c>
      <c r="B2013" t="s">
        <v>990</v>
      </c>
      <c r="C2013" t="s">
        <v>287</v>
      </c>
      <c r="D2013" t="s">
        <v>4100</v>
      </c>
      <c r="E2013" t="s">
        <v>23</v>
      </c>
      <c r="F2013" t="s">
        <v>4098</v>
      </c>
      <c r="G2013" s="3">
        <v>9.5299999999999994</v>
      </c>
      <c r="H2013" s="3">
        <v>0</v>
      </c>
      <c r="I2013" s="3">
        <v>9.5299999999999994</v>
      </c>
      <c r="J2013" s="3">
        <f>Table1[[#This Row],[قيمة الفاتورة]]*0.94-Table1[[#This Row],[قيمة المشاركة]]</f>
        <v>8.9581999999999997</v>
      </c>
      <c r="L2013" s="3" t="str">
        <f t="shared" si="31"/>
        <v/>
      </c>
      <c r="N2013" t="s">
        <v>19</v>
      </c>
    </row>
    <row r="2014" spans="1:14" x14ac:dyDescent="0.3">
      <c r="A2014">
        <v>9</v>
      </c>
      <c r="B2014" t="s">
        <v>4101</v>
      </c>
      <c r="C2014" t="s">
        <v>4102</v>
      </c>
      <c r="D2014" t="s">
        <v>4103</v>
      </c>
      <c r="E2014" t="s">
        <v>23</v>
      </c>
      <c r="F2014" t="s">
        <v>4098</v>
      </c>
      <c r="G2014" s="3">
        <v>47.61</v>
      </c>
      <c r="H2014" s="3">
        <v>9.5220000000000002</v>
      </c>
      <c r="I2014" s="3">
        <v>38.088000000000001</v>
      </c>
      <c r="J2014" s="3">
        <f>Table1[[#This Row],[قيمة الفاتورة]]*0.94-Table1[[#This Row],[قيمة المشاركة]]</f>
        <v>35.231400000000001</v>
      </c>
      <c r="L2014" s="3" t="str">
        <f t="shared" si="31"/>
        <v/>
      </c>
      <c r="N2014" t="s">
        <v>328</v>
      </c>
    </row>
    <row r="2015" spans="1:14" x14ac:dyDescent="0.3">
      <c r="A2015">
        <v>7</v>
      </c>
      <c r="B2015" t="s">
        <v>4104</v>
      </c>
      <c r="C2015" t="s">
        <v>4105</v>
      </c>
      <c r="D2015" t="s">
        <v>4106</v>
      </c>
      <c r="E2015" t="s">
        <v>17</v>
      </c>
      <c r="F2015" t="s">
        <v>4098</v>
      </c>
      <c r="G2015" s="3">
        <v>41.66</v>
      </c>
      <c r="H2015" s="3">
        <v>8.3320000000000007</v>
      </c>
      <c r="I2015" s="3">
        <v>33.328000000000003</v>
      </c>
      <c r="J2015" s="3">
        <f>Table1[[#This Row],[قيمة الفاتورة]]*0.94-Table1[[#This Row],[قيمة المشاركة]]</f>
        <v>30.828399999999995</v>
      </c>
      <c r="L2015" s="3" t="str">
        <f t="shared" si="31"/>
        <v/>
      </c>
      <c r="N2015" t="s">
        <v>328</v>
      </c>
    </row>
    <row r="2016" spans="1:14" x14ac:dyDescent="0.3">
      <c r="A2016">
        <v>6</v>
      </c>
      <c r="B2016" t="s">
        <v>4107</v>
      </c>
      <c r="C2016" t="s">
        <v>4108</v>
      </c>
      <c r="D2016" t="s">
        <v>4109</v>
      </c>
      <c r="E2016" t="s">
        <v>23</v>
      </c>
      <c r="F2016" t="s">
        <v>4098</v>
      </c>
      <c r="G2016" s="3">
        <v>51.61</v>
      </c>
      <c r="H2016" s="3">
        <v>10.321999999999999</v>
      </c>
      <c r="I2016" s="3">
        <v>41.287999999999997</v>
      </c>
      <c r="J2016" s="3">
        <f>Table1[[#This Row],[قيمة الفاتورة]]*0.94-Table1[[#This Row],[قيمة المشاركة]]</f>
        <v>38.191400000000002</v>
      </c>
      <c r="L2016" s="3" t="str">
        <f t="shared" si="31"/>
        <v/>
      </c>
      <c r="N2016" t="s">
        <v>328</v>
      </c>
    </row>
    <row r="2017" spans="1:14" x14ac:dyDescent="0.3">
      <c r="A2017">
        <v>5</v>
      </c>
      <c r="B2017" t="s">
        <v>2912</v>
      </c>
      <c r="C2017" t="s">
        <v>4110</v>
      </c>
      <c r="D2017" t="s">
        <v>4111</v>
      </c>
      <c r="E2017" t="s">
        <v>17</v>
      </c>
      <c r="F2017" t="s">
        <v>4098</v>
      </c>
      <c r="G2017" s="3">
        <v>7.08</v>
      </c>
      <c r="H2017" s="3">
        <v>1.4159999999999999</v>
      </c>
      <c r="I2017" s="3">
        <v>5.6639999999999997</v>
      </c>
      <c r="J2017" s="3">
        <f>Table1[[#This Row],[قيمة الفاتورة]]*0.94-Table1[[#This Row],[قيمة المشاركة]]</f>
        <v>5.2392000000000003</v>
      </c>
      <c r="L2017" s="3" t="str">
        <f t="shared" si="31"/>
        <v/>
      </c>
      <c r="N2017" t="s">
        <v>328</v>
      </c>
    </row>
    <row r="2018" spans="1:14" x14ac:dyDescent="0.3">
      <c r="A2018">
        <v>8</v>
      </c>
      <c r="B2018" t="s">
        <v>3378</v>
      </c>
      <c r="C2018" t="s">
        <v>3379</v>
      </c>
      <c r="D2018" t="s">
        <v>4112</v>
      </c>
      <c r="E2018" t="s">
        <v>23</v>
      </c>
      <c r="F2018" t="s">
        <v>4098</v>
      </c>
      <c r="G2018" s="3">
        <v>45.37</v>
      </c>
      <c r="H2018" s="3">
        <v>9.0739999999999998</v>
      </c>
      <c r="I2018" s="3">
        <v>36.295999999999999</v>
      </c>
      <c r="J2018" s="3">
        <f>Table1[[#This Row],[قيمة الفاتورة]]*0.94-Table1[[#This Row],[قيمة المشاركة]]</f>
        <v>33.573799999999999</v>
      </c>
      <c r="L2018" s="3" t="str">
        <f t="shared" si="31"/>
        <v/>
      </c>
      <c r="N2018" t="s">
        <v>328</v>
      </c>
    </row>
    <row r="2019" spans="1:14" x14ac:dyDescent="0.3">
      <c r="A2019">
        <v>12</v>
      </c>
      <c r="B2019" t="s">
        <v>3774</v>
      </c>
      <c r="C2019" t="s">
        <v>3775</v>
      </c>
      <c r="D2019" t="s">
        <v>4113</v>
      </c>
      <c r="E2019" t="s">
        <v>23</v>
      </c>
      <c r="F2019" t="s">
        <v>4114</v>
      </c>
      <c r="G2019" s="3">
        <v>15.05</v>
      </c>
      <c r="H2019" s="3">
        <v>0</v>
      </c>
      <c r="I2019" s="3">
        <v>15.05</v>
      </c>
      <c r="J2019" s="3">
        <f>Table1[[#This Row],[قيمة الفاتورة]]*0.94-Table1[[#This Row],[قيمة المشاركة]]</f>
        <v>14.147</v>
      </c>
      <c r="L2019" s="3" t="str">
        <f t="shared" si="31"/>
        <v/>
      </c>
      <c r="N2019" t="s">
        <v>19</v>
      </c>
    </row>
    <row r="2020" spans="1:14" x14ac:dyDescent="0.3">
      <c r="A2020">
        <v>11</v>
      </c>
      <c r="B2020" t="s">
        <v>1746</v>
      </c>
      <c r="C2020" t="s">
        <v>2222</v>
      </c>
      <c r="D2020" t="s">
        <v>4115</v>
      </c>
      <c r="E2020" t="s">
        <v>17</v>
      </c>
      <c r="F2020" t="s">
        <v>4114</v>
      </c>
      <c r="G2020" s="3">
        <v>30.95</v>
      </c>
      <c r="H2020" s="3">
        <v>0</v>
      </c>
      <c r="I2020" s="3">
        <v>30.95</v>
      </c>
      <c r="J2020" s="3">
        <f>Table1[[#This Row],[قيمة الفاتورة]]*0.94-Table1[[#This Row],[قيمة المشاركة]]</f>
        <v>29.092999999999996</v>
      </c>
      <c r="L2020" s="3" t="str">
        <f t="shared" si="31"/>
        <v/>
      </c>
      <c r="N2020" t="s">
        <v>19</v>
      </c>
    </row>
    <row r="2021" spans="1:14" x14ac:dyDescent="0.3">
      <c r="A2021">
        <v>14</v>
      </c>
      <c r="B2021" t="s">
        <v>4116</v>
      </c>
      <c r="C2021" t="s">
        <v>448</v>
      </c>
      <c r="D2021" t="s">
        <v>4117</v>
      </c>
      <c r="E2021" t="s">
        <v>17</v>
      </c>
      <c r="F2021" t="s">
        <v>4114</v>
      </c>
      <c r="G2021" s="3">
        <v>76.44</v>
      </c>
      <c r="H2021" s="3">
        <v>15.288</v>
      </c>
      <c r="I2021" s="3">
        <v>61.152000000000001</v>
      </c>
      <c r="J2021" s="3">
        <f>Table1[[#This Row],[قيمة الفاتورة]]*0.94-Table1[[#This Row],[قيمة المشاركة]]</f>
        <v>56.565600000000003</v>
      </c>
      <c r="L2021" s="3" t="str">
        <f t="shared" si="31"/>
        <v/>
      </c>
      <c r="N2021" t="s">
        <v>19</v>
      </c>
    </row>
    <row r="2022" spans="1:14" x14ac:dyDescent="0.3">
      <c r="A2022">
        <v>13</v>
      </c>
      <c r="B2022" t="s">
        <v>2749</v>
      </c>
      <c r="C2022" t="s">
        <v>996</v>
      </c>
      <c r="D2022" t="s">
        <v>4118</v>
      </c>
      <c r="E2022" t="s">
        <v>23</v>
      </c>
      <c r="F2022" t="s">
        <v>4114</v>
      </c>
      <c r="G2022" s="3">
        <v>16.07</v>
      </c>
      <c r="H2022" s="3">
        <v>3.214</v>
      </c>
      <c r="I2022" s="3">
        <v>12.856</v>
      </c>
      <c r="J2022" s="3">
        <f>Table1[[#This Row],[قيمة الفاتورة]]*0.94-Table1[[#This Row],[قيمة المشاركة]]</f>
        <v>11.891799999999998</v>
      </c>
      <c r="L2022" s="3" t="str">
        <f t="shared" si="31"/>
        <v/>
      </c>
      <c r="N2022" t="s">
        <v>328</v>
      </c>
    </row>
    <row r="2023" spans="1:14" x14ac:dyDescent="0.3">
      <c r="A2023">
        <v>17</v>
      </c>
      <c r="B2023" t="s">
        <v>3007</v>
      </c>
      <c r="C2023" t="s">
        <v>1519</v>
      </c>
      <c r="D2023" t="s">
        <v>4119</v>
      </c>
      <c r="E2023" t="s">
        <v>23</v>
      </c>
      <c r="F2023" t="s">
        <v>4114</v>
      </c>
      <c r="G2023" s="3">
        <v>51.44</v>
      </c>
      <c r="H2023" s="3">
        <v>10.288</v>
      </c>
      <c r="I2023" s="3">
        <v>41.152000000000001</v>
      </c>
      <c r="J2023" s="3">
        <f>Table1[[#This Row],[قيمة الفاتورة]]*0.94-Table1[[#This Row],[قيمة المشاركة]]</f>
        <v>38.065599999999989</v>
      </c>
      <c r="L2023" s="3" t="str">
        <f t="shared" si="31"/>
        <v/>
      </c>
      <c r="N2023" t="s">
        <v>328</v>
      </c>
    </row>
    <row r="2024" spans="1:14" x14ac:dyDescent="0.3">
      <c r="A2024">
        <v>15</v>
      </c>
      <c r="B2024" t="s">
        <v>3005</v>
      </c>
      <c r="C2024" t="s">
        <v>2715</v>
      </c>
      <c r="D2024" t="s">
        <v>4120</v>
      </c>
      <c r="E2024" t="s">
        <v>17</v>
      </c>
      <c r="F2024" t="s">
        <v>4114</v>
      </c>
      <c r="G2024" s="3">
        <v>43.54</v>
      </c>
      <c r="H2024" s="3">
        <v>8.7080000000000002</v>
      </c>
      <c r="I2024" s="3">
        <v>34.832000000000001</v>
      </c>
      <c r="J2024" s="3">
        <f>Table1[[#This Row],[قيمة الفاتورة]]*0.94-Table1[[#This Row],[قيمة المشاركة]]</f>
        <v>32.2196</v>
      </c>
      <c r="L2024" s="3" t="str">
        <f t="shared" si="31"/>
        <v/>
      </c>
      <c r="N2024" t="s">
        <v>328</v>
      </c>
    </row>
    <row r="2025" spans="1:14" x14ac:dyDescent="0.3">
      <c r="A2025">
        <v>16</v>
      </c>
      <c r="B2025" t="s">
        <v>3009</v>
      </c>
      <c r="C2025" t="s">
        <v>3010</v>
      </c>
      <c r="D2025" t="s">
        <v>4121</v>
      </c>
      <c r="E2025" t="s">
        <v>23</v>
      </c>
      <c r="F2025" t="s">
        <v>4114</v>
      </c>
      <c r="G2025" s="3">
        <v>51.44</v>
      </c>
      <c r="H2025" s="3">
        <v>10.288</v>
      </c>
      <c r="I2025" s="3">
        <v>41.152000000000001</v>
      </c>
      <c r="J2025" s="3">
        <f>Table1[[#This Row],[قيمة الفاتورة]]*0.94-Table1[[#This Row],[قيمة المشاركة]]</f>
        <v>38.065599999999989</v>
      </c>
      <c r="L2025" s="3" t="str">
        <f t="shared" si="31"/>
        <v/>
      </c>
      <c r="N2025" t="s">
        <v>328</v>
      </c>
    </row>
    <row r="2026" spans="1:14" x14ac:dyDescent="0.3">
      <c r="A2026">
        <v>389</v>
      </c>
      <c r="B2026" t="s">
        <v>1304</v>
      </c>
      <c r="C2026" t="s">
        <v>1305</v>
      </c>
      <c r="D2026" t="s">
        <v>4122</v>
      </c>
      <c r="E2026" t="s">
        <v>23</v>
      </c>
      <c r="F2026" t="s">
        <v>4123</v>
      </c>
      <c r="G2026" s="3">
        <v>22.54</v>
      </c>
      <c r="H2026" s="3">
        <v>0</v>
      </c>
      <c r="I2026" s="3">
        <v>22.54</v>
      </c>
      <c r="J2026" s="3">
        <f>Table1[[#This Row],[قيمة الفاتورة]]*0.94-Table1[[#This Row],[قيمة المشاركة]]</f>
        <v>21.1876</v>
      </c>
      <c r="L2026" s="3" t="str">
        <f t="shared" si="31"/>
        <v/>
      </c>
      <c r="N2026" t="s">
        <v>19</v>
      </c>
    </row>
    <row r="2027" spans="1:14" x14ac:dyDescent="0.3">
      <c r="A2027">
        <v>19</v>
      </c>
      <c r="B2027" t="s">
        <v>1099</v>
      </c>
      <c r="C2027" t="s">
        <v>1100</v>
      </c>
      <c r="D2027" t="s">
        <v>4124</v>
      </c>
      <c r="E2027" t="s">
        <v>17</v>
      </c>
      <c r="F2027" t="s">
        <v>4123</v>
      </c>
      <c r="G2027" s="3">
        <v>19.77</v>
      </c>
      <c r="H2027" s="3">
        <v>0</v>
      </c>
      <c r="I2027" s="3">
        <v>19.77</v>
      </c>
      <c r="J2027" s="3">
        <f>Table1[[#This Row],[قيمة الفاتورة]]*0.94-Table1[[#This Row],[قيمة المشاركة]]</f>
        <v>18.5838</v>
      </c>
      <c r="L2027" s="3" t="str">
        <f t="shared" si="31"/>
        <v/>
      </c>
      <c r="N2027" t="s">
        <v>19</v>
      </c>
    </row>
    <row r="2028" spans="1:14" x14ac:dyDescent="0.3">
      <c r="A2028">
        <v>390</v>
      </c>
      <c r="B2028" t="s">
        <v>1143</v>
      </c>
      <c r="C2028" t="s">
        <v>4125</v>
      </c>
      <c r="D2028" t="s">
        <v>4126</v>
      </c>
      <c r="E2028" t="s">
        <v>23</v>
      </c>
      <c r="F2028" t="s">
        <v>4123</v>
      </c>
      <c r="G2028" s="3">
        <v>10.199999999999999</v>
      </c>
      <c r="H2028" s="3">
        <v>0</v>
      </c>
      <c r="I2028" s="3">
        <v>10.199999999999999</v>
      </c>
      <c r="J2028" s="3">
        <f>Table1[[#This Row],[قيمة الفاتورة]]*0.94-Table1[[#This Row],[قيمة المشاركة]]</f>
        <v>9.5879999999999992</v>
      </c>
      <c r="L2028" s="3" t="str">
        <f t="shared" si="31"/>
        <v/>
      </c>
      <c r="N2028" t="s">
        <v>19</v>
      </c>
    </row>
    <row r="2029" spans="1:14" x14ac:dyDescent="0.3">
      <c r="A2029">
        <v>18</v>
      </c>
      <c r="B2029" t="s">
        <v>3614</v>
      </c>
      <c r="C2029" t="s">
        <v>377</v>
      </c>
      <c r="D2029" t="s">
        <v>4127</v>
      </c>
      <c r="E2029" t="s">
        <v>23</v>
      </c>
      <c r="F2029" t="s">
        <v>4123</v>
      </c>
      <c r="G2029" s="3">
        <v>57.97</v>
      </c>
      <c r="H2029" s="3">
        <v>11.593999999999999</v>
      </c>
      <c r="I2029" s="3">
        <v>46.375999999999998</v>
      </c>
      <c r="J2029" s="3">
        <f>Table1[[#This Row],[قيمة الفاتورة]]*0.94-Table1[[#This Row],[قيمة المشاركة]]</f>
        <v>42.897799999999997</v>
      </c>
      <c r="L2029" s="3" t="str">
        <f t="shared" si="31"/>
        <v/>
      </c>
      <c r="N2029" t="s">
        <v>328</v>
      </c>
    </row>
    <row r="2030" spans="1:14" x14ac:dyDescent="0.3">
      <c r="A2030">
        <v>391</v>
      </c>
      <c r="B2030" t="s">
        <v>1104</v>
      </c>
      <c r="C2030" t="s">
        <v>1105</v>
      </c>
      <c r="D2030" t="s">
        <v>4128</v>
      </c>
      <c r="E2030" t="s">
        <v>23</v>
      </c>
      <c r="F2030" t="s">
        <v>4129</v>
      </c>
      <c r="G2030" s="3">
        <v>16.885999999999999</v>
      </c>
      <c r="H2030" s="3">
        <v>0</v>
      </c>
      <c r="I2030" s="3">
        <v>16.885999999999999</v>
      </c>
      <c r="J2030" s="3">
        <f>Table1[[#This Row],[قيمة الفاتورة]]*0.94-Table1[[#This Row],[قيمة المشاركة]]</f>
        <v>15.872839999999998</v>
      </c>
      <c r="L2030" s="3" t="str">
        <f t="shared" si="31"/>
        <v/>
      </c>
      <c r="N2030" t="s">
        <v>19</v>
      </c>
    </row>
    <row r="2031" spans="1:14" x14ac:dyDescent="0.3">
      <c r="A2031">
        <v>392</v>
      </c>
      <c r="B2031" t="s">
        <v>578</v>
      </c>
      <c r="C2031" t="s">
        <v>1309</v>
      </c>
      <c r="D2031" t="s">
        <v>4130</v>
      </c>
      <c r="E2031" t="s">
        <v>23</v>
      </c>
      <c r="F2031" t="s">
        <v>4129</v>
      </c>
      <c r="G2031" s="3">
        <v>6.35</v>
      </c>
      <c r="H2031" s="3">
        <v>0</v>
      </c>
      <c r="I2031" s="3">
        <v>6.35</v>
      </c>
      <c r="J2031" s="3">
        <f>Table1[[#This Row],[قيمة الفاتورة]]*0.94-Table1[[#This Row],[قيمة المشاركة]]</f>
        <v>5.9689999999999994</v>
      </c>
      <c r="L2031" s="3" t="str">
        <f t="shared" si="31"/>
        <v/>
      </c>
      <c r="N2031" t="s">
        <v>19</v>
      </c>
    </row>
    <row r="2032" spans="1:14" x14ac:dyDescent="0.3">
      <c r="A2032">
        <v>20</v>
      </c>
      <c r="B2032" t="s">
        <v>3017</v>
      </c>
      <c r="C2032" t="s">
        <v>3333</v>
      </c>
      <c r="D2032" t="s">
        <v>4131</v>
      </c>
      <c r="E2032" t="s">
        <v>23</v>
      </c>
      <c r="F2032" t="s">
        <v>4129</v>
      </c>
      <c r="G2032" s="3">
        <v>15.78</v>
      </c>
      <c r="H2032" s="3">
        <v>0</v>
      </c>
      <c r="I2032" s="3">
        <v>15.78</v>
      </c>
      <c r="J2032" s="3">
        <f>Table1[[#This Row],[قيمة الفاتورة]]*0.94-Table1[[#This Row],[قيمة المشاركة]]</f>
        <v>14.833199999999998</v>
      </c>
      <c r="L2032" s="3" t="str">
        <f t="shared" si="31"/>
        <v/>
      </c>
      <c r="N2032" t="s">
        <v>19</v>
      </c>
    </row>
    <row r="2033" spans="1:14" x14ac:dyDescent="0.3">
      <c r="A2033">
        <v>21</v>
      </c>
      <c r="B2033" t="s">
        <v>1370</v>
      </c>
      <c r="C2033" t="s">
        <v>2783</v>
      </c>
      <c r="D2033" t="s">
        <v>4132</v>
      </c>
      <c r="E2033" t="s">
        <v>17</v>
      </c>
      <c r="F2033" t="s">
        <v>4133</v>
      </c>
      <c r="G2033" s="3">
        <v>7.29</v>
      </c>
      <c r="H2033" s="3">
        <v>0</v>
      </c>
      <c r="I2033" s="3">
        <v>7.29</v>
      </c>
      <c r="J2033" s="3">
        <f>Table1[[#This Row],[قيمة الفاتورة]]*0.94-Table1[[#This Row],[قيمة المشاركة]]</f>
        <v>6.8525999999999998</v>
      </c>
      <c r="L2033" s="3" t="str">
        <f t="shared" si="31"/>
        <v/>
      </c>
      <c r="N2033" t="s">
        <v>19</v>
      </c>
    </row>
    <row r="2034" spans="1:14" x14ac:dyDescent="0.3">
      <c r="A2034">
        <v>22</v>
      </c>
      <c r="B2034" t="s">
        <v>1753</v>
      </c>
      <c r="C2034" t="s">
        <v>1754</v>
      </c>
      <c r="D2034" t="s">
        <v>4134</v>
      </c>
      <c r="E2034" t="s">
        <v>23</v>
      </c>
      <c r="F2034" t="s">
        <v>4133</v>
      </c>
      <c r="G2034" s="3">
        <v>26.96</v>
      </c>
      <c r="H2034" s="3">
        <v>0</v>
      </c>
      <c r="I2034" s="3">
        <v>26.96</v>
      </c>
      <c r="J2034" s="3">
        <f>Table1[[#This Row],[قيمة الفاتورة]]*0.94-Table1[[#This Row],[قيمة المشاركة]]</f>
        <v>25.342399999999998</v>
      </c>
      <c r="L2034" s="3" t="str">
        <f t="shared" si="31"/>
        <v/>
      </c>
      <c r="N2034" t="s">
        <v>19</v>
      </c>
    </row>
    <row r="2035" spans="1:14" x14ac:dyDescent="0.3">
      <c r="A2035">
        <v>23</v>
      </c>
      <c r="B2035" t="s">
        <v>1750</v>
      </c>
      <c r="C2035" t="s">
        <v>354</v>
      </c>
      <c r="D2035" t="s">
        <v>4135</v>
      </c>
      <c r="E2035" t="s">
        <v>23</v>
      </c>
      <c r="F2035" t="s">
        <v>4133</v>
      </c>
      <c r="G2035" s="3">
        <v>30.82</v>
      </c>
      <c r="H2035" s="3">
        <v>0</v>
      </c>
      <c r="I2035" s="3">
        <v>30.82</v>
      </c>
      <c r="J2035" s="3">
        <f>Table1[[#This Row],[قيمة الفاتورة]]*0.94-Table1[[#This Row],[قيمة المشاركة]]</f>
        <v>28.970799999999997</v>
      </c>
      <c r="L2035" s="3" t="str">
        <f t="shared" si="31"/>
        <v/>
      </c>
      <c r="N2035" t="s">
        <v>19</v>
      </c>
    </row>
    <row r="2036" spans="1:14" x14ac:dyDescent="0.3">
      <c r="A2036">
        <v>26</v>
      </c>
      <c r="B2036" t="s">
        <v>1067</v>
      </c>
      <c r="C2036" t="s">
        <v>412</v>
      </c>
      <c r="D2036" t="s">
        <v>4136</v>
      </c>
      <c r="E2036" t="s">
        <v>23</v>
      </c>
      <c r="F2036" t="s">
        <v>4133</v>
      </c>
      <c r="G2036" s="3">
        <v>29.25</v>
      </c>
      <c r="H2036" s="3">
        <v>0</v>
      </c>
      <c r="I2036" s="3">
        <v>29.25</v>
      </c>
      <c r="J2036" s="3">
        <f>Table1[[#This Row],[قيمة الفاتورة]]*0.94-Table1[[#This Row],[قيمة المشاركة]]</f>
        <v>27.494999999999997</v>
      </c>
      <c r="L2036" s="3" t="str">
        <f t="shared" si="31"/>
        <v/>
      </c>
      <c r="N2036" t="s">
        <v>19</v>
      </c>
    </row>
    <row r="2037" spans="1:14" x14ac:dyDescent="0.3">
      <c r="A2037">
        <v>25</v>
      </c>
      <c r="B2037" t="s">
        <v>346</v>
      </c>
      <c r="C2037" t="s">
        <v>347</v>
      </c>
      <c r="D2037" t="s">
        <v>4137</v>
      </c>
      <c r="E2037" t="s">
        <v>23</v>
      </c>
      <c r="F2037" t="s">
        <v>4133</v>
      </c>
      <c r="G2037" s="3">
        <v>21.63</v>
      </c>
      <c r="H2037" s="3">
        <v>0</v>
      </c>
      <c r="I2037" s="3">
        <v>21.63</v>
      </c>
      <c r="J2037" s="3">
        <f>Table1[[#This Row],[قيمة الفاتورة]]*0.94-Table1[[#This Row],[قيمة المشاركة]]</f>
        <v>20.332199999999997</v>
      </c>
      <c r="L2037" s="3" t="str">
        <f t="shared" si="31"/>
        <v/>
      </c>
      <c r="N2037" t="s">
        <v>19</v>
      </c>
    </row>
    <row r="2038" spans="1:14" x14ac:dyDescent="0.3">
      <c r="A2038">
        <v>24</v>
      </c>
      <c r="B2038" t="s">
        <v>3222</v>
      </c>
      <c r="C2038" t="s">
        <v>3223</v>
      </c>
      <c r="D2038" t="s">
        <v>4138</v>
      </c>
      <c r="E2038" t="s">
        <v>23</v>
      </c>
      <c r="F2038" t="s">
        <v>4133</v>
      </c>
      <c r="G2038" s="3">
        <v>35.799999999999997</v>
      </c>
      <c r="H2038" s="3">
        <v>7.16</v>
      </c>
      <c r="I2038" s="3">
        <v>28.64</v>
      </c>
      <c r="J2038" s="3">
        <f>Table1[[#This Row],[قيمة الفاتورة]]*0.94-Table1[[#This Row],[قيمة المشاركة]]</f>
        <v>26.491999999999994</v>
      </c>
      <c r="L2038" s="3" t="str">
        <f t="shared" si="31"/>
        <v/>
      </c>
      <c r="N2038" t="s">
        <v>328</v>
      </c>
    </row>
    <row r="2039" spans="1:14" x14ac:dyDescent="0.3">
      <c r="A2039">
        <v>28</v>
      </c>
      <c r="B2039" t="s">
        <v>4139</v>
      </c>
      <c r="C2039" t="s">
        <v>4140</v>
      </c>
      <c r="D2039" t="s">
        <v>4141</v>
      </c>
      <c r="E2039" t="s">
        <v>17</v>
      </c>
      <c r="F2039" t="s">
        <v>4142</v>
      </c>
      <c r="G2039" s="3">
        <v>16.079999999999998</v>
      </c>
      <c r="H2039" s="3">
        <v>0</v>
      </c>
      <c r="I2039" s="3">
        <v>16.079999999999998</v>
      </c>
      <c r="J2039" s="3">
        <f>Table1[[#This Row],[قيمة الفاتورة]]*0.94-Table1[[#This Row],[قيمة المشاركة]]</f>
        <v>15.115199999999998</v>
      </c>
      <c r="L2039" s="3" t="str">
        <f t="shared" si="31"/>
        <v/>
      </c>
      <c r="N2039" t="s">
        <v>19</v>
      </c>
    </row>
    <row r="2040" spans="1:14" x14ac:dyDescent="0.3">
      <c r="A2040">
        <v>393</v>
      </c>
      <c r="B2040" t="s">
        <v>992</v>
      </c>
      <c r="C2040" t="s">
        <v>993</v>
      </c>
      <c r="D2040" t="s">
        <v>4143</v>
      </c>
      <c r="E2040" t="s">
        <v>17</v>
      </c>
      <c r="F2040" t="s">
        <v>4142</v>
      </c>
      <c r="G2040" s="3">
        <v>24.57</v>
      </c>
      <c r="H2040" s="3">
        <v>0</v>
      </c>
      <c r="I2040" s="3">
        <v>24.57</v>
      </c>
      <c r="J2040" s="3">
        <f>Table1[[#This Row],[قيمة الفاتورة]]*0.94-Table1[[#This Row],[قيمة المشاركة]]</f>
        <v>23.095800000000001</v>
      </c>
      <c r="L2040" s="3" t="str">
        <f t="shared" si="31"/>
        <v/>
      </c>
      <c r="N2040" t="s">
        <v>19</v>
      </c>
    </row>
    <row r="2041" spans="1:14" x14ac:dyDescent="0.3">
      <c r="A2041">
        <v>30</v>
      </c>
      <c r="B2041" t="s">
        <v>302</v>
      </c>
      <c r="C2041" t="s">
        <v>303</v>
      </c>
      <c r="D2041" t="s">
        <v>4144</v>
      </c>
      <c r="E2041" t="s">
        <v>17</v>
      </c>
      <c r="F2041" t="s">
        <v>4142</v>
      </c>
      <c r="G2041" s="3">
        <v>36.93</v>
      </c>
      <c r="H2041" s="3">
        <v>0</v>
      </c>
      <c r="I2041" s="3">
        <v>36.93</v>
      </c>
      <c r="J2041" s="3">
        <f>Table1[[#This Row],[قيمة الفاتورة]]*0.94-Table1[[#This Row],[قيمة المشاركة]]</f>
        <v>34.714199999999998</v>
      </c>
      <c r="L2041" s="3" t="str">
        <f t="shared" si="31"/>
        <v/>
      </c>
      <c r="N2041" t="s">
        <v>19</v>
      </c>
    </row>
    <row r="2042" spans="1:14" x14ac:dyDescent="0.3">
      <c r="A2042">
        <v>31</v>
      </c>
      <c r="B2042" t="s">
        <v>4145</v>
      </c>
      <c r="C2042" t="s">
        <v>354</v>
      </c>
      <c r="D2042" t="s">
        <v>4146</v>
      </c>
      <c r="E2042" t="s">
        <v>17</v>
      </c>
      <c r="F2042" t="s">
        <v>4142</v>
      </c>
      <c r="G2042" s="3">
        <v>52</v>
      </c>
      <c r="H2042" s="3">
        <v>10.4</v>
      </c>
      <c r="I2042" s="3">
        <v>41.6</v>
      </c>
      <c r="J2042" s="3">
        <f>Table1[[#This Row],[قيمة الفاتورة]]*0.94-Table1[[#This Row],[قيمة المشاركة]]</f>
        <v>38.479999999999997</v>
      </c>
      <c r="L2042" s="3" t="str">
        <f t="shared" si="31"/>
        <v/>
      </c>
      <c r="N2042" t="s">
        <v>328</v>
      </c>
    </row>
    <row r="2043" spans="1:14" x14ac:dyDescent="0.3">
      <c r="A2043">
        <v>32</v>
      </c>
      <c r="B2043" t="s">
        <v>4147</v>
      </c>
      <c r="C2043" t="s">
        <v>4148</v>
      </c>
      <c r="D2043" t="s">
        <v>4149</v>
      </c>
      <c r="E2043" t="s">
        <v>23</v>
      </c>
      <c r="F2043" t="s">
        <v>4142</v>
      </c>
      <c r="G2043" s="3">
        <v>54.48</v>
      </c>
      <c r="H2043" s="3">
        <v>10.896000000000001</v>
      </c>
      <c r="I2043" s="3">
        <v>43.584000000000003</v>
      </c>
      <c r="J2043" s="3">
        <f>Table1[[#This Row],[قيمة الفاتورة]]*0.94-Table1[[#This Row],[قيمة المشاركة]]</f>
        <v>40.31519999999999</v>
      </c>
      <c r="L2043" s="3" t="str">
        <f t="shared" si="31"/>
        <v/>
      </c>
      <c r="N2043" t="s">
        <v>328</v>
      </c>
    </row>
    <row r="2044" spans="1:14" x14ac:dyDescent="0.3">
      <c r="A2044">
        <v>27</v>
      </c>
      <c r="B2044" t="s">
        <v>4150</v>
      </c>
      <c r="C2044" t="s">
        <v>608</v>
      </c>
      <c r="D2044" t="s">
        <v>4151</v>
      </c>
      <c r="E2044" t="s">
        <v>17</v>
      </c>
      <c r="F2044" t="s">
        <v>4142</v>
      </c>
      <c r="G2044" s="3">
        <v>10.36</v>
      </c>
      <c r="H2044" s="3">
        <v>2.0720000000000001</v>
      </c>
      <c r="I2044" s="3">
        <v>8.2880000000000003</v>
      </c>
      <c r="J2044" s="3">
        <f>Table1[[#This Row],[قيمة الفاتورة]]*0.94-Table1[[#This Row],[قيمة المشاركة]]</f>
        <v>7.6663999999999985</v>
      </c>
      <c r="L2044" s="3" t="str">
        <f t="shared" si="31"/>
        <v/>
      </c>
      <c r="N2044" t="s">
        <v>328</v>
      </c>
    </row>
    <row r="2045" spans="1:14" x14ac:dyDescent="0.3">
      <c r="A2045">
        <v>34</v>
      </c>
      <c r="B2045" t="s">
        <v>4152</v>
      </c>
      <c r="C2045" t="s">
        <v>4153</v>
      </c>
      <c r="D2045" t="s">
        <v>4154</v>
      </c>
      <c r="E2045" t="s">
        <v>23</v>
      </c>
      <c r="F2045" t="s">
        <v>4142</v>
      </c>
      <c r="G2045" s="3">
        <v>15.7</v>
      </c>
      <c r="H2045" s="3">
        <v>3.14</v>
      </c>
      <c r="I2045" s="3">
        <v>12.56</v>
      </c>
      <c r="J2045" s="3">
        <f>Table1[[#This Row],[قيمة الفاتورة]]*0.94-Table1[[#This Row],[قيمة المشاركة]]</f>
        <v>11.617999999999999</v>
      </c>
      <c r="L2045" s="3" t="str">
        <f t="shared" si="31"/>
        <v/>
      </c>
      <c r="N2045" t="s">
        <v>328</v>
      </c>
    </row>
    <row r="2046" spans="1:14" x14ac:dyDescent="0.3">
      <c r="A2046">
        <v>33</v>
      </c>
      <c r="B2046" t="s">
        <v>3192</v>
      </c>
      <c r="C2046" t="s">
        <v>4155</v>
      </c>
      <c r="D2046" t="s">
        <v>4156</v>
      </c>
      <c r="E2046" t="s">
        <v>23</v>
      </c>
      <c r="F2046" t="s">
        <v>4142</v>
      </c>
      <c r="G2046" s="3">
        <v>14.03</v>
      </c>
      <c r="H2046" s="3">
        <v>2.806</v>
      </c>
      <c r="I2046" s="3">
        <v>11.224</v>
      </c>
      <c r="J2046" s="3">
        <f>Table1[[#This Row],[قيمة الفاتورة]]*0.94-Table1[[#This Row],[قيمة المشاركة]]</f>
        <v>10.382199999999997</v>
      </c>
      <c r="L2046" s="3" t="str">
        <f t="shared" si="31"/>
        <v/>
      </c>
      <c r="N2046" t="s">
        <v>328</v>
      </c>
    </row>
    <row r="2047" spans="1:14" x14ac:dyDescent="0.3">
      <c r="A2047">
        <v>29</v>
      </c>
      <c r="B2047" t="s">
        <v>4157</v>
      </c>
      <c r="C2047" t="s">
        <v>390</v>
      </c>
      <c r="D2047" t="s">
        <v>4158</v>
      </c>
      <c r="E2047" t="s">
        <v>17</v>
      </c>
      <c r="F2047" t="s">
        <v>4142</v>
      </c>
      <c r="G2047" s="3">
        <v>15.39</v>
      </c>
      <c r="H2047" s="3">
        <v>3.0779999999999998</v>
      </c>
      <c r="I2047" s="3">
        <v>12.311999999999999</v>
      </c>
      <c r="J2047" s="3">
        <f>Table1[[#This Row],[قيمة الفاتورة]]*0.94-Table1[[#This Row],[قيمة المشاركة]]</f>
        <v>11.3886</v>
      </c>
      <c r="L2047" s="3" t="str">
        <f t="shared" si="31"/>
        <v/>
      </c>
      <c r="N2047" t="s">
        <v>328</v>
      </c>
    </row>
    <row r="2048" spans="1:14" x14ac:dyDescent="0.3">
      <c r="A2048">
        <v>39</v>
      </c>
      <c r="B2048" t="s">
        <v>329</v>
      </c>
      <c r="C2048" t="s">
        <v>330</v>
      </c>
      <c r="D2048" t="s">
        <v>4159</v>
      </c>
      <c r="E2048" t="s">
        <v>17</v>
      </c>
      <c r="F2048" t="s">
        <v>4160</v>
      </c>
      <c r="G2048" s="3">
        <v>13.89</v>
      </c>
      <c r="H2048" s="3">
        <v>2.0830000000000002</v>
      </c>
      <c r="I2048" s="3">
        <v>11.807</v>
      </c>
      <c r="J2048" s="3">
        <f>Table1[[#This Row],[قيمة الفاتورة]]*0.94-Table1[[#This Row],[قيمة المشاركة]]</f>
        <v>10.973599999999999</v>
      </c>
      <c r="L2048" s="3" t="str">
        <f t="shared" si="31"/>
        <v/>
      </c>
      <c r="N2048" t="s">
        <v>19</v>
      </c>
    </row>
    <row r="2049" spans="1:14" x14ac:dyDescent="0.3">
      <c r="A2049">
        <v>38</v>
      </c>
      <c r="B2049" t="s">
        <v>1915</v>
      </c>
      <c r="C2049" t="s">
        <v>1916</v>
      </c>
      <c r="D2049" t="s">
        <v>4161</v>
      </c>
      <c r="E2049" t="s">
        <v>23</v>
      </c>
      <c r="F2049" t="s">
        <v>4160</v>
      </c>
      <c r="G2049" s="3">
        <v>4.1500000000000004</v>
      </c>
      <c r="H2049" s="3">
        <v>0.622</v>
      </c>
      <c r="I2049" s="3">
        <v>3.528</v>
      </c>
      <c r="J2049" s="3">
        <f>Table1[[#This Row],[قيمة الفاتورة]]*0.94-Table1[[#This Row],[قيمة المشاركة]]</f>
        <v>3.2790000000000004</v>
      </c>
      <c r="L2049" s="3" t="str">
        <f t="shared" si="31"/>
        <v/>
      </c>
      <c r="N2049" t="s">
        <v>19</v>
      </c>
    </row>
    <row r="2050" spans="1:14" x14ac:dyDescent="0.3">
      <c r="A2050">
        <v>394</v>
      </c>
      <c r="B2050" t="s">
        <v>4162</v>
      </c>
      <c r="C2050" t="s">
        <v>4163</v>
      </c>
      <c r="D2050" t="s">
        <v>4164</v>
      </c>
      <c r="E2050" t="s">
        <v>23</v>
      </c>
      <c r="F2050" t="s">
        <v>4160</v>
      </c>
      <c r="G2050" s="3">
        <v>20.58</v>
      </c>
      <c r="H2050" s="3">
        <v>0</v>
      </c>
      <c r="I2050" s="3">
        <v>20.58</v>
      </c>
      <c r="J2050" s="3">
        <f>Table1[[#This Row],[قيمة الفاتورة]]*0.94-Table1[[#This Row],[قيمة المشاركة]]</f>
        <v>19.345199999999998</v>
      </c>
      <c r="L2050" s="3" t="str">
        <f t="shared" ref="L2050:L2113" si="32">IF(ISNUMBER(K2050), J2050-K2050, "")</f>
        <v/>
      </c>
      <c r="N2050" t="s">
        <v>19</v>
      </c>
    </row>
    <row r="2051" spans="1:14" x14ac:dyDescent="0.3">
      <c r="A2051">
        <v>35</v>
      </c>
      <c r="B2051" t="s">
        <v>2424</v>
      </c>
      <c r="C2051" t="s">
        <v>4165</v>
      </c>
      <c r="D2051" t="s">
        <v>4166</v>
      </c>
      <c r="E2051" t="s">
        <v>23</v>
      </c>
      <c r="F2051" t="s">
        <v>4160</v>
      </c>
      <c r="G2051" s="3">
        <v>14.79</v>
      </c>
      <c r="H2051" s="3">
        <v>0</v>
      </c>
      <c r="I2051" s="3">
        <v>14.79</v>
      </c>
      <c r="J2051" s="3">
        <f>Table1[[#This Row],[قيمة الفاتورة]]*0.94-Table1[[#This Row],[قيمة المشاركة]]</f>
        <v>13.902599999999998</v>
      </c>
      <c r="L2051" s="3" t="str">
        <f t="shared" si="32"/>
        <v/>
      </c>
      <c r="N2051" t="s">
        <v>19</v>
      </c>
    </row>
    <row r="2052" spans="1:14" x14ac:dyDescent="0.3">
      <c r="A2052">
        <v>37</v>
      </c>
      <c r="B2052" t="s">
        <v>4167</v>
      </c>
      <c r="C2052" t="s">
        <v>4168</v>
      </c>
      <c r="D2052" t="s">
        <v>4169</v>
      </c>
      <c r="E2052" t="s">
        <v>17</v>
      </c>
      <c r="F2052" t="s">
        <v>4160</v>
      </c>
      <c r="G2052" s="3">
        <v>36</v>
      </c>
      <c r="H2052" s="3">
        <v>7.2</v>
      </c>
      <c r="I2052" s="3">
        <v>28.8</v>
      </c>
      <c r="J2052" s="3">
        <f>Table1[[#This Row],[قيمة الفاتورة]]*0.94-Table1[[#This Row],[قيمة المشاركة]]</f>
        <v>26.639999999999997</v>
      </c>
      <c r="L2052" s="3" t="str">
        <f t="shared" si="32"/>
        <v/>
      </c>
      <c r="N2052" t="s">
        <v>328</v>
      </c>
    </row>
    <row r="2053" spans="1:14" x14ac:dyDescent="0.3">
      <c r="A2053">
        <v>40</v>
      </c>
      <c r="B2053" t="s">
        <v>3629</v>
      </c>
      <c r="C2053" t="s">
        <v>653</v>
      </c>
      <c r="D2053" t="s">
        <v>4170</v>
      </c>
      <c r="E2053" t="s">
        <v>17</v>
      </c>
      <c r="F2053" t="s">
        <v>4160</v>
      </c>
      <c r="G2053" s="3">
        <v>43.24</v>
      </c>
      <c r="H2053" s="3">
        <v>6.4859999999999998</v>
      </c>
      <c r="I2053" s="3">
        <v>36.753999999999998</v>
      </c>
      <c r="J2053" s="3">
        <f>Table1[[#This Row],[قيمة الفاتورة]]*0.94-Table1[[#This Row],[قيمة المشاركة]]</f>
        <v>34.159600000000005</v>
      </c>
      <c r="L2053" s="3" t="str">
        <f t="shared" si="32"/>
        <v/>
      </c>
      <c r="N2053" t="s">
        <v>19</v>
      </c>
    </row>
    <row r="2054" spans="1:14" x14ac:dyDescent="0.3">
      <c r="A2054">
        <v>36</v>
      </c>
      <c r="B2054" t="s">
        <v>3631</v>
      </c>
      <c r="C2054" t="s">
        <v>902</v>
      </c>
      <c r="D2054" t="s">
        <v>4171</v>
      </c>
      <c r="E2054" t="s">
        <v>23</v>
      </c>
      <c r="F2054" t="s">
        <v>4160</v>
      </c>
      <c r="G2054" s="3">
        <v>50.75</v>
      </c>
      <c r="H2054" s="3">
        <v>7.6120000000000001</v>
      </c>
      <c r="I2054" s="3">
        <v>43.137999999999998</v>
      </c>
      <c r="J2054" s="3">
        <f>Table1[[#This Row],[قيمة الفاتورة]]*0.94-Table1[[#This Row],[قيمة المشاركة]]</f>
        <v>40.092999999999996</v>
      </c>
      <c r="L2054" s="3" t="str">
        <f t="shared" si="32"/>
        <v/>
      </c>
      <c r="N2054" t="s">
        <v>328</v>
      </c>
    </row>
    <row r="2055" spans="1:14" x14ac:dyDescent="0.3">
      <c r="A2055">
        <v>46</v>
      </c>
      <c r="B2055" t="s">
        <v>4172</v>
      </c>
      <c r="C2055" t="s">
        <v>4173</v>
      </c>
      <c r="D2055" t="s">
        <v>4174</v>
      </c>
      <c r="E2055" t="s">
        <v>23</v>
      </c>
      <c r="F2055" t="s">
        <v>4175</v>
      </c>
      <c r="G2055" s="3">
        <v>6.35</v>
      </c>
      <c r="H2055" s="3">
        <v>0</v>
      </c>
      <c r="I2055" s="3">
        <v>6.35</v>
      </c>
      <c r="J2055" s="3">
        <f>Table1[[#This Row],[قيمة الفاتورة]]*0.94-Table1[[#This Row],[قيمة المشاركة]]</f>
        <v>5.9689999999999994</v>
      </c>
      <c r="L2055" s="3" t="str">
        <f t="shared" si="32"/>
        <v/>
      </c>
      <c r="N2055" t="s">
        <v>19</v>
      </c>
    </row>
    <row r="2056" spans="1:14" x14ac:dyDescent="0.3">
      <c r="A2056">
        <v>43</v>
      </c>
      <c r="B2056" t="s">
        <v>4079</v>
      </c>
      <c r="C2056" t="s">
        <v>4080</v>
      </c>
      <c r="D2056" t="s">
        <v>4176</v>
      </c>
      <c r="E2056" t="s">
        <v>23</v>
      </c>
      <c r="F2056" t="s">
        <v>4175</v>
      </c>
      <c r="G2056" s="3">
        <v>43.21</v>
      </c>
      <c r="H2056" s="3">
        <v>0</v>
      </c>
      <c r="I2056" s="3">
        <v>43.21</v>
      </c>
      <c r="J2056" s="3">
        <f>Table1[[#This Row],[قيمة الفاتورة]]*0.94-Table1[[#This Row],[قيمة المشاركة]]</f>
        <v>40.617399999999996</v>
      </c>
      <c r="L2056" s="3" t="str">
        <f t="shared" si="32"/>
        <v/>
      </c>
      <c r="N2056" t="s">
        <v>19</v>
      </c>
    </row>
    <row r="2057" spans="1:14" x14ac:dyDescent="0.3">
      <c r="A2057">
        <v>44</v>
      </c>
      <c r="B2057" t="s">
        <v>1038</v>
      </c>
      <c r="C2057" t="s">
        <v>4177</v>
      </c>
      <c r="D2057" t="s">
        <v>4178</v>
      </c>
      <c r="E2057" t="s">
        <v>17</v>
      </c>
      <c r="F2057" t="s">
        <v>4175</v>
      </c>
      <c r="G2057" s="3">
        <v>4.2629999999999999</v>
      </c>
      <c r="H2057" s="3">
        <v>0</v>
      </c>
      <c r="I2057" s="3">
        <v>4.2629999999999999</v>
      </c>
      <c r="J2057" s="3">
        <f>Table1[[#This Row],[قيمة الفاتورة]]*0.94-Table1[[#This Row],[قيمة المشاركة]]</f>
        <v>4.0072199999999993</v>
      </c>
      <c r="L2057" s="3" t="str">
        <f t="shared" si="32"/>
        <v/>
      </c>
      <c r="N2057" t="s">
        <v>19</v>
      </c>
    </row>
    <row r="2058" spans="1:14" x14ac:dyDescent="0.3">
      <c r="A2058">
        <v>42</v>
      </c>
      <c r="B2058" t="s">
        <v>1604</v>
      </c>
      <c r="C2058" t="s">
        <v>1605</v>
      </c>
      <c r="D2058" t="s">
        <v>4179</v>
      </c>
      <c r="E2058" t="s">
        <v>23</v>
      </c>
      <c r="F2058" t="s">
        <v>4175</v>
      </c>
      <c r="G2058" s="3">
        <v>7.35</v>
      </c>
      <c r="H2058" s="3">
        <v>0</v>
      </c>
      <c r="I2058" s="3">
        <v>7.35</v>
      </c>
      <c r="J2058" s="3">
        <f>Table1[[#This Row],[قيمة الفاتورة]]*0.94-Table1[[#This Row],[قيمة المشاركة]]</f>
        <v>6.9089999999999989</v>
      </c>
      <c r="L2058" s="3" t="str">
        <f t="shared" si="32"/>
        <v/>
      </c>
      <c r="N2058" t="s">
        <v>19</v>
      </c>
    </row>
    <row r="2059" spans="1:14" x14ac:dyDescent="0.3">
      <c r="A2059">
        <v>45</v>
      </c>
      <c r="B2059" t="s">
        <v>4180</v>
      </c>
      <c r="C2059" t="s">
        <v>4181</v>
      </c>
      <c r="D2059" t="s">
        <v>4182</v>
      </c>
      <c r="E2059" t="s">
        <v>23</v>
      </c>
      <c r="F2059" t="s">
        <v>4175</v>
      </c>
      <c r="G2059" s="3">
        <v>39.21</v>
      </c>
      <c r="H2059" s="3">
        <v>7.8419999999999996</v>
      </c>
      <c r="I2059" s="3">
        <v>31.367999999999999</v>
      </c>
      <c r="J2059" s="3">
        <f>Table1[[#This Row],[قيمة الفاتورة]]*0.94-Table1[[#This Row],[قيمة المشاركة]]</f>
        <v>29.0154</v>
      </c>
      <c r="L2059" s="3" t="str">
        <f t="shared" si="32"/>
        <v/>
      </c>
      <c r="N2059" t="s">
        <v>328</v>
      </c>
    </row>
    <row r="2060" spans="1:14" x14ac:dyDescent="0.3">
      <c r="A2060">
        <v>41</v>
      </c>
      <c r="B2060" t="s">
        <v>3451</v>
      </c>
      <c r="C2060" t="s">
        <v>3452</v>
      </c>
      <c r="D2060" t="s">
        <v>4183</v>
      </c>
      <c r="E2060" t="s">
        <v>23</v>
      </c>
      <c r="F2060" t="s">
        <v>4175</v>
      </c>
      <c r="G2060" s="3">
        <v>34.19</v>
      </c>
      <c r="H2060" s="3">
        <v>6.8380000000000001</v>
      </c>
      <c r="I2060" s="3">
        <v>27.352</v>
      </c>
      <c r="J2060" s="3">
        <f>Table1[[#This Row],[قيمة الفاتورة]]*0.94-Table1[[#This Row],[قيمة المشاركة]]</f>
        <v>25.300599999999996</v>
      </c>
      <c r="L2060" s="3" t="str">
        <f t="shared" si="32"/>
        <v/>
      </c>
      <c r="N2060" t="s">
        <v>328</v>
      </c>
    </row>
    <row r="2061" spans="1:14" x14ac:dyDescent="0.3">
      <c r="A2061">
        <v>395</v>
      </c>
      <c r="B2061" t="s">
        <v>2117</v>
      </c>
      <c r="C2061" t="s">
        <v>2118</v>
      </c>
      <c r="D2061" t="s">
        <v>4184</v>
      </c>
      <c r="E2061" t="s">
        <v>23</v>
      </c>
      <c r="F2061" t="s">
        <v>4185</v>
      </c>
      <c r="G2061" s="3">
        <v>3.99</v>
      </c>
      <c r="H2061" s="3">
        <v>0</v>
      </c>
      <c r="I2061" s="3">
        <v>3.99</v>
      </c>
      <c r="J2061" s="3">
        <f>Table1[[#This Row],[قيمة الفاتورة]]*0.94-Table1[[#This Row],[قيمة المشاركة]]</f>
        <v>3.7505999999999999</v>
      </c>
      <c r="L2061" s="3" t="str">
        <f t="shared" si="32"/>
        <v/>
      </c>
      <c r="N2061" t="s">
        <v>19</v>
      </c>
    </row>
    <row r="2062" spans="1:14" x14ac:dyDescent="0.3">
      <c r="A2062">
        <v>397</v>
      </c>
      <c r="B2062" t="s">
        <v>2287</v>
      </c>
      <c r="C2062" t="s">
        <v>2288</v>
      </c>
      <c r="D2062" t="s">
        <v>4186</v>
      </c>
      <c r="E2062" t="s">
        <v>23</v>
      </c>
      <c r="F2062" t="s">
        <v>4185</v>
      </c>
      <c r="G2062" s="3">
        <v>4.9000000000000004</v>
      </c>
      <c r="H2062" s="3">
        <v>0</v>
      </c>
      <c r="I2062" s="3">
        <v>4.9000000000000004</v>
      </c>
      <c r="J2062" s="3">
        <f>Table1[[#This Row],[قيمة الفاتورة]]*0.94-Table1[[#This Row],[قيمة المشاركة]]</f>
        <v>4.6059999999999999</v>
      </c>
      <c r="L2062" s="3" t="str">
        <f t="shared" si="32"/>
        <v/>
      </c>
      <c r="N2062" t="s">
        <v>19</v>
      </c>
    </row>
    <row r="2063" spans="1:14" x14ac:dyDescent="0.3">
      <c r="A2063">
        <v>47</v>
      </c>
      <c r="B2063" t="s">
        <v>4187</v>
      </c>
      <c r="C2063" t="s">
        <v>4188</v>
      </c>
      <c r="D2063" t="s">
        <v>4189</v>
      </c>
      <c r="E2063" t="s">
        <v>17</v>
      </c>
      <c r="F2063" t="s">
        <v>4185</v>
      </c>
      <c r="G2063" s="3">
        <v>12.48</v>
      </c>
      <c r="H2063" s="3">
        <v>0</v>
      </c>
      <c r="I2063" s="3">
        <v>12.48</v>
      </c>
      <c r="J2063" s="3">
        <f>Table1[[#This Row],[قيمة الفاتورة]]*0.94-Table1[[#This Row],[قيمة المشاركة]]</f>
        <v>11.731199999999999</v>
      </c>
      <c r="L2063" s="3" t="str">
        <f t="shared" si="32"/>
        <v/>
      </c>
      <c r="N2063" t="s">
        <v>19</v>
      </c>
    </row>
    <row r="2064" spans="1:14" x14ac:dyDescent="0.3">
      <c r="A2064">
        <v>48</v>
      </c>
      <c r="B2064" t="s">
        <v>4187</v>
      </c>
      <c r="C2064" t="s">
        <v>4188</v>
      </c>
      <c r="D2064" t="s">
        <v>4190</v>
      </c>
      <c r="E2064" t="s">
        <v>17</v>
      </c>
      <c r="F2064" t="s">
        <v>4185</v>
      </c>
      <c r="G2064" s="3">
        <v>1.45</v>
      </c>
      <c r="H2064" s="3">
        <v>0</v>
      </c>
      <c r="I2064" s="3">
        <v>1.45</v>
      </c>
      <c r="J2064" s="3">
        <f>Table1[[#This Row],[قيمة الفاتورة]]*0.94-Table1[[#This Row],[قيمة المشاركة]]</f>
        <v>1.363</v>
      </c>
      <c r="L2064" s="3" t="str">
        <f t="shared" si="32"/>
        <v/>
      </c>
      <c r="N2064" t="s">
        <v>19</v>
      </c>
    </row>
    <row r="2065" spans="1:14" x14ac:dyDescent="0.3">
      <c r="A2065">
        <v>49</v>
      </c>
      <c r="B2065" t="s">
        <v>4191</v>
      </c>
      <c r="C2065" t="s">
        <v>3494</v>
      </c>
      <c r="D2065" t="s">
        <v>4192</v>
      </c>
      <c r="E2065" t="s">
        <v>17</v>
      </c>
      <c r="F2065" t="s">
        <v>4185</v>
      </c>
      <c r="G2065" s="3">
        <v>51.19</v>
      </c>
      <c r="H2065" s="3">
        <v>10.238</v>
      </c>
      <c r="I2065" s="3">
        <v>40.951999999999998</v>
      </c>
      <c r="J2065" s="3">
        <f>Table1[[#This Row],[قيمة الفاتورة]]*0.94-Table1[[#This Row],[قيمة المشاركة]]</f>
        <v>37.880599999999994</v>
      </c>
      <c r="L2065" s="3" t="str">
        <f t="shared" si="32"/>
        <v/>
      </c>
      <c r="N2065" t="s">
        <v>328</v>
      </c>
    </row>
    <row r="2066" spans="1:14" x14ac:dyDescent="0.3">
      <c r="A2066">
        <v>50</v>
      </c>
      <c r="B2066" t="s">
        <v>4193</v>
      </c>
      <c r="C2066" t="s">
        <v>4194</v>
      </c>
      <c r="D2066" t="s">
        <v>4195</v>
      </c>
      <c r="E2066" t="s">
        <v>23</v>
      </c>
      <c r="F2066" t="s">
        <v>4185</v>
      </c>
      <c r="G2066" s="3">
        <v>2.2400000000000002</v>
      </c>
      <c r="H2066" s="3">
        <v>0</v>
      </c>
      <c r="I2066" s="3">
        <v>2.2400000000000002</v>
      </c>
      <c r="J2066" s="3">
        <f>Table1[[#This Row],[قيمة الفاتورة]]*0.94-Table1[[#This Row],[قيمة المشاركة]]</f>
        <v>2.1055999999999999</v>
      </c>
      <c r="L2066" s="3" t="str">
        <f t="shared" si="32"/>
        <v/>
      </c>
      <c r="N2066" t="s">
        <v>328</v>
      </c>
    </row>
    <row r="2067" spans="1:14" x14ac:dyDescent="0.3">
      <c r="A2067">
        <v>396</v>
      </c>
      <c r="B2067" t="s">
        <v>539</v>
      </c>
      <c r="C2067" t="s">
        <v>2288</v>
      </c>
      <c r="D2067" t="s">
        <v>539</v>
      </c>
      <c r="E2067" t="s">
        <v>23</v>
      </c>
      <c r="F2067" t="s">
        <v>4185</v>
      </c>
      <c r="G2067" s="3">
        <v>11.36</v>
      </c>
      <c r="H2067" s="3">
        <v>0</v>
      </c>
      <c r="I2067" s="3">
        <v>11.36</v>
      </c>
      <c r="J2067" s="3">
        <f>Table1[[#This Row],[قيمة الفاتورة]]*0.94-Table1[[#This Row],[قيمة المشاركة]]</f>
        <v>10.678399999999998</v>
      </c>
      <c r="L2067" s="3" t="str">
        <f t="shared" si="32"/>
        <v/>
      </c>
      <c r="N2067" t="s">
        <v>19</v>
      </c>
    </row>
    <row r="2068" spans="1:14" x14ac:dyDescent="0.3">
      <c r="A2068">
        <v>399</v>
      </c>
      <c r="B2068" t="s">
        <v>546</v>
      </c>
      <c r="C2068" t="s">
        <v>547</v>
      </c>
      <c r="D2068" t="s">
        <v>4196</v>
      </c>
      <c r="E2068" t="s">
        <v>23</v>
      </c>
      <c r="F2068" t="s">
        <v>4197</v>
      </c>
      <c r="G2068" s="3">
        <v>21.98</v>
      </c>
      <c r="H2068" s="3">
        <v>0</v>
      </c>
      <c r="I2068" s="3">
        <v>21.98</v>
      </c>
      <c r="J2068" s="3">
        <f>Table1[[#This Row],[قيمة الفاتورة]]*0.94-Table1[[#This Row],[قيمة المشاركة]]</f>
        <v>20.661200000000001</v>
      </c>
      <c r="L2068" s="3" t="str">
        <f t="shared" si="32"/>
        <v/>
      </c>
      <c r="N2068" t="s">
        <v>19</v>
      </c>
    </row>
    <row r="2069" spans="1:14" x14ac:dyDescent="0.3">
      <c r="A2069">
        <v>398</v>
      </c>
      <c r="B2069" t="s">
        <v>2651</v>
      </c>
      <c r="C2069" t="s">
        <v>2652</v>
      </c>
      <c r="D2069" t="s">
        <v>4198</v>
      </c>
      <c r="E2069" t="s">
        <v>23</v>
      </c>
      <c r="F2069" t="s">
        <v>4197</v>
      </c>
      <c r="G2069" s="3">
        <v>7.99</v>
      </c>
      <c r="H2069" s="3">
        <v>0</v>
      </c>
      <c r="I2069" s="3">
        <v>7.99</v>
      </c>
      <c r="J2069" s="3">
        <f>Table1[[#This Row],[قيمة الفاتورة]]*0.94-Table1[[#This Row],[قيمة المشاركة]]</f>
        <v>7.5106000000000002</v>
      </c>
      <c r="L2069" s="3" t="str">
        <f t="shared" si="32"/>
        <v/>
      </c>
      <c r="N2069" t="s">
        <v>19</v>
      </c>
    </row>
    <row r="2070" spans="1:14" x14ac:dyDescent="0.3">
      <c r="A2070">
        <v>59</v>
      </c>
      <c r="B2070" t="s">
        <v>88</v>
      </c>
      <c r="C2070" t="s">
        <v>89</v>
      </c>
      <c r="D2070" t="s">
        <v>4199</v>
      </c>
      <c r="E2070" t="s">
        <v>23</v>
      </c>
      <c r="F2070" t="s">
        <v>4200</v>
      </c>
      <c r="G2070" s="3">
        <v>11.12</v>
      </c>
      <c r="H2070" s="3">
        <v>1.6679999999999999</v>
      </c>
      <c r="I2070" s="3">
        <v>9.452</v>
      </c>
      <c r="J2070" s="3">
        <f>Table1[[#This Row],[قيمة الفاتورة]]*0.94-Table1[[#This Row],[قيمة المشاركة]]</f>
        <v>8.7847999999999988</v>
      </c>
      <c r="L2070" s="3" t="str">
        <f t="shared" si="32"/>
        <v/>
      </c>
      <c r="N2070" t="s">
        <v>19</v>
      </c>
    </row>
    <row r="2071" spans="1:14" x14ac:dyDescent="0.3">
      <c r="A2071">
        <v>400</v>
      </c>
      <c r="B2071" t="s">
        <v>414</v>
      </c>
      <c r="C2071" t="s">
        <v>415</v>
      </c>
      <c r="D2071" t="s">
        <v>4201</v>
      </c>
      <c r="E2071" t="s">
        <v>23</v>
      </c>
      <c r="F2071" t="s">
        <v>4200</v>
      </c>
      <c r="G2071" s="3">
        <v>7.0860000000000003</v>
      </c>
      <c r="H2071" s="3">
        <v>0</v>
      </c>
      <c r="I2071" s="3">
        <v>7.0860000000000003</v>
      </c>
      <c r="J2071" s="3">
        <f>Table1[[#This Row],[قيمة الفاتورة]]*0.94-Table1[[#This Row],[قيمة المشاركة]]</f>
        <v>6.6608400000000003</v>
      </c>
      <c r="L2071" s="3" t="str">
        <f t="shared" si="32"/>
        <v/>
      </c>
      <c r="N2071" t="s">
        <v>19</v>
      </c>
    </row>
    <row r="2072" spans="1:14" x14ac:dyDescent="0.3">
      <c r="A2072">
        <v>55</v>
      </c>
      <c r="B2072" t="s">
        <v>4202</v>
      </c>
      <c r="C2072" t="s">
        <v>4203</v>
      </c>
      <c r="D2072" t="s">
        <v>4204</v>
      </c>
      <c r="E2072" t="s">
        <v>23</v>
      </c>
      <c r="F2072" t="s">
        <v>4200</v>
      </c>
      <c r="G2072" s="3">
        <v>9.8699999999999992</v>
      </c>
      <c r="H2072" s="3">
        <v>0</v>
      </c>
      <c r="I2072" s="3">
        <v>9.8699999999999992</v>
      </c>
      <c r="J2072" s="3">
        <f>Table1[[#This Row],[قيمة الفاتورة]]*0.94-Table1[[#This Row],[قيمة المشاركة]]</f>
        <v>9.2777999999999992</v>
      </c>
      <c r="L2072" s="3" t="str">
        <f t="shared" si="32"/>
        <v/>
      </c>
      <c r="N2072" t="s">
        <v>19</v>
      </c>
    </row>
    <row r="2073" spans="1:14" x14ac:dyDescent="0.3">
      <c r="A2073">
        <v>52</v>
      </c>
      <c r="B2073" t="s">
        <v>1594</v>
      </c>
      <c r="C2073" t="s">
        <v>1595</v>
      </c>
      <c r="D2073" t="s">
        <v>4205</v>
      </c>
      <c r="E2073" t="s">
        <v>17</v>
      </c>
      <c r="F2073" t="s">
        <v>4200</v>
      </c>
      <c r="G2073" s="3">
        <v>9.2200000000000006</v>
      </c>
      <c r="H2073" s="3">
        <v>0</v>
      </c>
      <c r="I2073" s="3">
        <v>9.2200000000000006</v>
      </c>
      <c r="J2073" s="3">
        <f>Table1[[#This Row],[قيمة الفاتورة]]*0.94-Table1[[#This Row],[قيمة المشاركة]]</f>
        <v>8.6668000000000003</v>
      </c>
      <c r="L2073" s="3" t="str">
        <f t="shared" si="32"/>
        <v/>
      </c>
      <c r="N2073" t="s">
        <v>19</v>
      </c>
    </row>
    <row r="2074" spans="1:14" x14ac:dyDescent="0.3">
      <c r="A2074">
        <v>56</v>
      </c>
      <c r="B2074" t="s">
        <v>4206</v>
      </c>
      <c r="C2074" t="s">
        <v>4207</v>
      </c>
      <c r="D2074" t="s">
        <v>4208</v>
      </c>
      <c r="E2074" t="s">
        <v>23</v>
      </c>
      <c r="F2074" t="s">
        <v>4200</v>
      </c>
      <c r="G2074" s="3">
        <v>17.649999999999999</v>
      </c>
      <c r="H2074" s="3">
        <v>3.53</v>
      </c>
      <c r="I2074" s="3">
        <v>14.12</v>
      </c>
      <c r="J2074" s="3">
        <f>Table1[[#This Row],[قيمة الفاتورة]]*0.94-Table1[[#This Row],[قيمة المشاركة]]</f>
        <v>13.060999999999998</v>
      </c>
      <c r="L2074" s="3" t="str">
        <f t="shared" si="32"/>
        <v/>
      </c>
      <c r="N2074" t="s">
        <v>328</v>
      </c>
    </row>
    <row r="2075" spans="1:14" x14ac:dyDescent="0.3">
      <c r="A2075">
        <v>53</v>
      </c>
      <c r="B2075" t="s">
        <v>3752</v>
      </c>
      <c r="C2075" t="s">
        <v>3753</v>
      </c>
      <c r="D2075" t="s">
        <v>4209</v>
      </c>
      <c r="E2075" t="s">
        <v>17</v>
      </c>
      <c r="F2075" t="s">
        <v>4200</v>
      </c>
      <c r="G2075" s="3">
        <v>54.24</v>
      </c>
      <c r="H2075" s="3">
        <v>10.848000000000001</v>
      </c>
      <c r="I2075" s="3">
        <v>43.392000000000003</v>
      </c>
      <c r="J2075" s="3">
        <f>Table1[[#This Row],[قيمة الفاتورة]]*0.94-Table1[[#This Row],[قيمة المشاركة]]</f>
        <v>40.137599999999999</v>
      </c>
      <c r="L2075" s="3" t="str">
        <f t="shared" si="32"/>
        <v/>
      </c>
      <c r="N2075" t="s">
        <v>328</v>
      </c>
    </row>
    <row r="2076" spans="1:14" x14ac:dyDescent="0.3">
      <c r="A2076">
        <v>54</v>
      </c>
      <c r="B2076" t="s">
        <v>3375</v>
      </c>
      <c r="C2076" t="s">
        <v>3376</v>
      </c>
      <c r="D2076" t="s">
        <v>4210</v>
      </c>
      <c r="E2076" t="s">
        <v>23</v>
      </c>
      <c r="F2076" t="s">
        <v>4200</v>
      </c>
      <c r="G2076" s="3">
        <v>70.099999999999994</v>
      </c>
      <c r="H2076" s="3">
        <v>14.02</v>
      </c>
      <c r="I2076" s="3">
        <v>56.08</v>
      </c>
      <c r="J2076" s="3">
        <f>Table1[[#This Row],[قيمة الفاتورة]]*0.94-Table1[[#This Row],[قيمة المشاركة]]</f>
        <v>51.873999999999995</v>
      </c>
      <c r="L2076" s="3" t="str">
        <f t="shared" si="32"/>
        <v/>
      </c>
      <c r="N2076" t="s">
        <v>328</v>
      </c>
    </row>
    <row r="2077" spans="1:14" x14ac:dyDescent="0.3">
      <c r="A2077">
        <v>51</v>
      </c>
      <c r="B2077" t="s">
        <v>4211</v>
      </c>
      <c r="C2077" t="s">
        <v>377</v>
      </c>
      <c r="D2077" t="s">
        <v>4212</v>
      </c>
      <c r="E2077" t="s">
        <v>23</v>
      </c>
      <c r="F2077" t="s">
        <v>4200</v>
      </c>
      <c r="G2077" s="3">
        <v>32.68</v>
      </c>
      <c r="H2077" s="3">
        <v>6.5359999999999996</v>
      </c>
      <c r="I2077" s="3">
        <v>26.143999999999998</v>
      </c>
      <c r="J2077" s="3">
        <f>Table1[[#This Row],[قيمة الفاتورة]]*0.94-Table1[[#This Row],[قيمة المشاركة]]</f>
        <v>24.183199999999999</v>
      </c>
      <c r="L2077" s="3" t="str">
        <f t="shared" si="32"/>
        <v/>
      </c>
      <c r="N2077" t="s">
        <v>19</v>
      </c>
    </row>
    <row r="2078" spans="1:14" x14ac:dyDescent="0.3">
      <c r="A2078">
        <v>57</v>
      </c>
      <c r="B2078" t="s">
        <v>3151</v>
      </c>
      <c r="C2078" t="s">
        <v>3152</v>
      </c>
      <c r="D2078" t="s">
        <v>4213</v>
      </c>
      <c r="E2078" t="s">
        <v>17</v>
      </c>
      <c r="F2078" t="s">
        <v>4200</v>
      </c>
      <c r="G2078" s="3">
        <v>30.37</v>
      </c>
      <c r="H2078" s="3">
        <v>6.0739999999999998</v>
      </c>
      <c r="I2078" s="3">
        <v>24.295999999999999</v>
      </c>
      <c r="J2078" s="3">
        <f>Table1[[#This Row],[قيمة الفاتورة]]*0.94-Table1[[#This Row],[قيمة المشاركة]]</f>
        <v>22.473799999999997</v>
      </c>
      <c r="L2078" s="3" t="str">
        <f t="shared" si="32"/>
        <v/>
      </c>
      <c r="N2078" t="s">
        <v>328</v>
      </c>
    </row>
    <row r="2079" spans="1:14" x14ac:dyDescent="0.3">
      <c r="A2079">
        <v>58</v>
      </c>
      <c r="B2079" t="s">
        <v>3151</v>
      </c>
      <c r="C2079" t="s">
        <v>3152</v>
      </c>
      <c r="D2079" t="s">
        <v>4214</v>
      </c>
      <c r="E2079" t="s">
        <v>17</v>
      </c>
      <c r="F2079" t="s">
        <v>4200</v>
      </c>
      <c r="G2079" s="3">
        <v>49.36</v>
      </c>
      <c r="H2079" s="3">
        <v>9.8719999999999999</v>
      </c>
      <c r="I2079" s="3">
        <v>39.488</v>
      </c>
      <c r="J2079" s="3">
        <f>Table1[[#This Row],[قيمة الفاتورة]]*0.94-Table1[[#This Row],[قيمة المشاركة]]</f>
        <v>36.526399999999995</v>
      </c>
      <c r="L2079" s="3" t="str">
        <f t="shared" si="32"/>
        <v/>
      </c>
      <c r="N2079" t="s">
        <v>328</v>
      </c>
    </row>
    <row r="2080" spans="1:14" x14ac:dyDescent="0.3">
      <c r="A2080">
        <v>403</v>
      </c>
      <c r="B2080" t="s">
        <v>88</v>
      </c>
      <c r="C2080" t="s">
        <v>4215</v>
      </c>
      <c r="D2080" t="s">
        <v>4199</v>
      </c>
      <c r="E2080" t="s">
        <v>23</v>
      </c>
      <c r="F2080" t="s">
        <v>4216</v>
      </c>
      <c r="G2080" s="3">
        <v>21.56</v>
      </c>
      <c r="H2080" s="3">
        <v>3.234</v>
      </c>
      <c r="I2080" s="3">
        <v>18.326000000000001</v>
      </c>
      <c r="J2080" s="3">
        <f>Table1[[#This Row],[قيمة الفاتورة]]*0.94-Table1[[#This Row],[قيمة المشاركة]]</f>
        <v>17.032399999999996</v>
      </c>
      <c r="L2080" s="3" t="str">
        <f t="shared" si="32"/>
        <v/>
      </c>
      <c r="N2080" t="s">
        <v>19</v>
      </c>
    </row>
    <row r="2081" spans="1:14" x14ac:dyDescent="0.3">
      <c r="A2081">
        <v>404</v>
      </c>
      <c r="B2081" t="s">
        <v>1721</v>
      </c>
      <c r="C2081" t="s">
        <v>1722</v>
      </c>
      <c r="D2081" t="s">
        <v>4217</v>
      </c>
      <c r="E2081" t="s">
        <v>23</v>
      </c>
      <c r="F2081" t="s">
        <v>4216</v>
      </c>
      <c r="G2081" s="3">
        <v>15.37</v>
      </c>
      <c r="H2081" s="3">
        <v>0</v>
      </c>
      <c r="I2081" s="3">
        <v>15.37</v>
      </c>
      <c r="J2081" s="3">
        <f>Table1[[#This Row],[قيمة الفاتورة]]*0.94-Table1[[#This Row],[قيمة المشاركة]]</f>
        <v>14.447799999999999</v>
      </c>
      <c r="L2081" s="3" t="str">
        <f t="shared" si="32"/>
        <v/>
      </c>
      <c r="N2081" t="s">
        <v>19</v>
      </c>
    </row>
    <row r="2082" spans="1:14" x14ac:dyDescent="0.3">
      <c r="A2082">
        <v>405</v>
      </c>
      <c r="B2082" t="s">
        <v>2161</v>
      </c>
      <c r="C2082" t="s">
        <v>4218</v>
      </c>
      <c r="D2082" t="s">
        <v>4219</v>
      </c>
      <c r="E2082" t="s">
        <v>23</v>
      </c>
      <c r="F2082" t="s">
        <v>4216</v>
      </c>
      <c r="G2082" s="3">
        <v>20.350000000000001</v>
      </c>
      <c r="H2082" s="3">
        <v>0</v>
      </c>
      <c r="I2082" s="3">
        <v>20.350000000000001</v>
      </c>
      <c r="J2082" s="3">
        <f>Table1[[#This Row],[قيمة الفاتورة]]*0.94-Table1[[#This Row],[قيمة المشاركة]]</f>
        <v>19.129000000000001</v>
      </c>
      <c r="L2082" s="3" t="str">
        <f t="shared" si="32"/>
        <v/>
      </c>
      <c r="N2082" t="s">
        <v>19</v>
      </c>
    </row>
    <row r="2083" spans="1:14" x14ac:dyDescent="0.3">
      <c r="A2083">
        <v>401</v>
      </c>
      <c r="B2083" t="s">
        <v>2619</v>
      </c>
      <c r="C2083" t="s">
        <v>2620</v>
      </c>
      <c r="D2083" t="s">
        <v>4220</v>
      </c>
      <c r="E2083" t="s">
        <v>23</v>
      </c>
      <c r="F2083" t="s">
        <v>4216</v>
      </c>
      <c r="G2083" s="3">
        <v>10.68</v>
      </c>
      <c r="H2083" s="3">
        <v>0</v>
      </c>
      <c r="I2083" s="3">
        <v>10.68</v>
      </c>
      <c r="J2083" s="3">
        <f>Table1[[#This Row],[قيمة الفاتورة]]*0.94-Table1[[#This Row],[قيمة المشاركة]]</f>
        <v>10.039199999999999</v>
      </c>
      <c r="L2083" s="3" t="str">
        <f t="shared" si="32"/>
        <v/>
      </c>
      <c r="N2083" t="s">
        <v>19</v>
      </c>
    </row>
    <row r="2084" spans="1:14" x14ac:dyDescent="0.3">
      <c r="A2084">
        <v>60</v>
      </c>
      <c r="B2084" t="s">
        <v>4221</v>
      </c>
      <c r="C2084" t="s">
        <v>4222</v>
      </c>
      <c r="D2084" t="s">
        <v>4223</v>
      </c>
      <c r="E2084" t="s">
        <v>23</v>
      </c>
      <c r="F2084" t="s">
        <v>4216</v>
      </c>
      <c r="G2084" s="3">
        <v>18.440000000000001</v>
      </c>
      <c r="H2084" s="3">
        <v>0</v>
      </c>
      <c r="I2084" s="3">
        <v>18.440000000000001</v>
      </c>
      <c r="J2084" s="3">
        <f>Table1[[#This Row],[قيمة الفاتورة]]*0.94-Table1[[#This Row],[قيمة المشاركة]]</f>
        <v>17.333600000000001</v>
      </c>
      <c r="L2084" s="3" t="str">
        <f t="shared" si="32"/>
        <v/>
      </c>
      <c r="N2084" t="s">
        <v>19</v>
      </c>
    </row>
    <row r="2085" spans="1:14" x14ac:dyDescent="0.3">
      <c r="A2085">
        <v>402</v>
      </c>
      <c r="B2085" t="s">
        <v>3584</v>
      </c>
      <c r="C2085" t="s">
        <v>1233</v>
      </c>
      <c r="D2085" t="s">
        <v>4224</v>
      </c>
      <c r="E2085" t="s">
        <v>17</v>
      </c>
      <c r="F2085" t="s">
        <v>4216</v>
      </c>
      <c r="G2085" s="3">
        <v>22.056000000000001</v>
      </c>
      <c r="H2085" s="3">
        <v>0</v>
      </c>
      <c r="I2085" s="3">
        <v>22.056000000000001</v>
      </c>
      <c r="J2085" s="3">
        <f>Table1[[#This Row],[قيمة الفاتورة]]*0.94-Table1[[#This Row],[قيمة المشاركة]]</f>
        <v>20.73264</v>
      </c>
      <c r="L2085" s="3" t="str">
        <f t="shared" si="32"/>
        <v/>
      </c>
      <c r="N2085" t="s">
        <v>19</v>
      </c>
    </row>
    <row r="2086" spans="1:14" x14ac:dyDescent="0.3">
      <c r="A2086">
        <v>61</v>
      </c>
      <c r="B2086" t="s">
        <v>3117</v>
      </c>
      <c r="C2086" t="s">
        <v>3118</v>
      </c>
      <c r="D2086" t="s">
        <v>4225</v>
      </c>
      <c r="E2086" t="s">
        <v>23</v>
      </c>
      <c r="F2086" t="s">
        <v>4226</v>
      </c>
      <c r="G2086" s="3">
        <v>35</v>
      </c>
      <c r="H2086" s="3">
        <v>5.25</v>
      </c>
      <c r="I2086" s="3">
        <v>29.75</v>
      </c>
      <c r="J2086" s="3">
        <f>Table1[[#This Row],[قيمة الفاتورة]]*0.94-Table1[[#This Row],[قيمة المشاركة]]</f>
        <v>27.65</v>
      </c>
      <c r="L2086" s="3" t="str">
        <f t="shared" si="32"/>
        <v/>
      </c>
      <c r="N2086" t="s">
        <v>19</v>
      </c>
    </row>
    <row r="2087" spans="1:14" x14ac:dyDescent="0.3">
      <c r="A2087">
        <v>62</v>
      </c>
      <c r="B2087" t="s">
        <v>3512</v>
      </c>
      <c r="C2087" t="s">
        <v>3513</v>
      </c>
      <c r="D2087" t="s">
        <v>4227</v>
      </c>
      <c r="E2087" t="s">
        <v>23</v>
      </c>
      <c r="F2087" t="s">
        <v>4226</v>
      </c>
      <c r="G2087" s="3">
        <v>22.87</v>
      </c>
      <c r="H2087" s="3">
        <v>4.5739999999999998</v>
      </c>
      <c r="I2087" s="3">
        <v>18.295999999999999</v>
      </c>
      <c r="J2087" s="3">
        <f>Table1[[#This Row],[قيمة الفاتورة]]*0.94-Table1[[#This Row],[قيمة المشاركة]]</f>
        <v>16.9238</v>
      </c>
      <c r="L2087" s="3" t="str">
        <f t="shared" si="32"/>
        <v/>
      </c>
      <c r="N2087" t="s">
        <v>328</v>
      </c>
    </row>
    <row r="2088" spans="1:14" x14ac:dyDescent="0.3">
      <c r="A2088">
        <v>65</v>
      </c>
      <c r="B2088" t="s">
        <v>995</v>
      </c>
      <c r="C2088" t="s">
        <v>996</v>
      </c>
      <c r="D2088" t="s">
        <v>4228</v>
      </c>
      <c r="E2088" t="s">
        <v>23</v>
      </c>
      <c r="F2088" t="s">
        <v>4229</v>
      </c>
      <c r="G2088" s="3">
        <v>54.22</v>
      </c>
      <c r="H2088" s="3">
        <v>0</v>
      </c>
      <c r="I2088" s="3">
        <v>54.22</v>
      </c>
      <c r="J2088" s="3">
        <f>Table1[[#This Row],[قيمة الفاتورة]]*0.94-Table1[[#This Row],[قيمة المشاركة]]</f>
        <v>50.966799999999999</v>
      </c>
      <c r="L2088" s="3" t="str">
        <f t="shared" si="32"/>
        <v/>
      </c>
      <c r="N2088" t="s">
        <v>19</v>
      </c>
    </row>
    <row r="2089" spans="1:14" x14ac:dyDescent="0.3">
      <c r="A2089">
        <v>66</v>
      </c>
      <c r="B2089" t="s">
        <v>1034</v>
      </c>
      <c r="C2089" t="s">
        <v>148</v>
      </c>
      <c r="D2089" t="s">
        <v>4230</v>
      </c>
      <c r="E2089" t="s">
        <v>17</v>
      </c>
      <c r="F2089" t="s">
        <v>4229</v>
      </c>
      <c r="G2089" s="3">
        <v>40.81</v>
      </c>
      <c r="H2089" s="3">
        <v>0</v>
      </c>
      <c r="I2089" s="3">
        <v>40.81</v>
      </c>
      <c r="J2089" s="3">
        <f>Table1[[#This Row],[قيمة الفاتورة]]*0.94-Table1[[#This Row],[قيمة المشاركة]]</f>
        <v>38.361400000000003</v>
      </c>
      <c r="L2089" s="3" t="str">
        <f t="shared" si="32"/>
        <v/>
      </c>
      <c r="N2089" t="s">
        <v>19</v>
      </c>
    </row>
    <row r="2090" spans="1:14" x14ac:dyDescent="0.3">
      <c r="A2090">
        <v>407</v>
      </c>
      <c r="B2090" t="s">
        <v>917</v>
      </c>
      <c r="C2090" t="s">
        <v>918</v>
      </c>
      <c r="D2090" t="s">
        <v>4231</v>
      </c>
      <c r="E2090" t="s">
        <v>23</v>
      </c>
      <c r="F2090" t="s">
        <v>4229</v>
      </c>
      <c r="G2090" s="3">
        <v>27.52</v>
      </c>
      <c r="H2090" s="3">
        <v>0</v>
      </c>
      <c r="I2090" s="3">
        <v>27.52</v>
      </c>
      <c r="J2090" s="3">
        <f>Table1[[#This Row],[قيمة الفاتورة]]*0.94-Table1[[#This Row],[قيمة المشاركة]]</f>
        <v>25.868799999999997</v>
      </c>
      <c r="L2090" s="3" t="str">
        <f t="shared" si="32"/>
        <v/>
      </c>
      <c r="N2090" t="s">
        <v>19</v>
      </c>
    </row>
    <row r="2091" spans="1:14" x14ac:dyDescent="0.3">
      <c r="A2091">
        <v>64</v>
      </c>
      <c r="B2091" t="s">
        <v>1572</v>
      </c>
      <c r="C2091" t="s">
        <v>614</v>
      </c>
      <c r="D2091" t="s">
        <v>4232</v>
      </c>
      <c r="E2091" t="s">
        <v>23</v>
      </c>
      <c r="F2091" t="s">
        <v>4229</v>
      </c>
      <c r="G2091" s="3">
        <v>11.3</v>
      </c>
      <c r="H2091" s="3">
        <v>0</v>
      </c>
      <c r="I2091" s="3">
        <v>11.3</v>
      </c>
      <c r="J2091" s="3">
        <f>Table1[[#This Row],[قيمة الفاتورة]]*0.94-Table1[[#This Row],[قيمة المشاركة]]</f>
        <v>10.622</v>
      </c>
      <c r="L2091" s="3" t="str">
        <f t="shared" si="32"/>
        <v/>
      </c>
      <c r="N2091" t="s">
        <v>19</v>
      </c>
    </row>
    <row r="2092" spans="1:14" x14ac:dyDescent="0.3">
      <c r="A2092">
        <v>63</v>
      </c>
      <c r="B2092" t="s">
        <v>4233</v>
      </c>
      <c r="C2092" t="s">
        <v>4234</v>
      </c>
      <c r="D2092" t="s">
        <v>4235</v>
      </c>
      <c r="E2092" t="s">
        <v>23</v>
      </c>
      <c r="F2092" t="s">
        <v>4229</v>
      </c>
      <c r="G2092" s="3">
        <v>52.54</v>
      </c>
      <c r="H2092" s="3">
        <v>0</v>
      </c>
      <c r="I2092" s="3">
        <v>52.54</v>
      </c>
      <c r="J2092" s="3">
        <f>Table1[[#This Row],[قيمة الفاتورة]]*0.94-Table1[[#This Row],[قيمة المشاركة]]</f>
        <v>49.387599999999999</v>
      </c>
      <c r="L2092" s="3" t="str">
        <f t="shared" si="32"/>
        <v/>
      </c>
      <c r="N2092" t="s">
        <v>19</v>
      </c>
    </row>
    <row r="2093" spans="1:14" x14ac:dyDescent="0.3">
      <c r="A2093">
        <v>406</v>
      </c>
      <c r="B2093" t="s">
        <v>4236</v>
      </c>
      <c r="C2093" t="s">
        <v>3862</v>
      </c>
      <c r="D2093" t="s">
        <v>4237</v>
      </c>
      <c r="E2093" t="s">
        <v>23</v>
      </c>
      <c r="F2093" t="s">
        <v>4229</v>
      </c>
      <c r="G2093" s="3">
        <v>31.84</v>
      </c>
      <c r="H2093" s="3">
        <v>0</v>
      </c>
      <c r="I2093" s="3">
        <v>31.84</v>
      </c>
      <c r="J2093" s="3">
        <f>Table1[[#This Row],[قيمة الفاتورة]]*0.94-Table1[[#This Row],[قيمة المشاركة]]</f>
        <v>29.929599999999997</v>
      </c>
      <c r="L2093" s="3" t="str">
        <f t="shared" si="32"/>
        <v/>
      </c>
      <c r="N2093" t="s">
        <v>328</v>
      </c>
    </row>
    <row r="2094" spans="1:14" x14ac:dyDescent="0.3">
      <c r="A2094">
        <v>408</v>
      </c>
      <c r="B2094" t="s">
        <v>2161</v>
      </c>
      <c r="C2094" t="s">
        <v>2162</v>
      </c>
      <c r="D2094" t="s">
        <v>4238</v>
      </c>
      <c r="E2094" t="s">
        <v>23</v>
      </c>
      <c r="F2094" t="s">
        <v>4239</v>
      </c>
      <c r="G2094" s="3">
        <v>11.43</v>
      </c>
      <c r="H2094" s="3">
        <v>0</v>
      </c>
      <c r="I2094" s="3">
        <v>11.43</v>
      </c>
      <c r="J2094" s="3">
        <f>Table1[[#This Row],[قيمة الفاتورة]]*0.94-Table1[[#This Row],[قيمة المشاركة]]</f>
        <v>10.744199999999999</v>
      </c>
      <c r="L2094" s="3" t="str">
        <f t="shared" si="32"/>
        <v/>
      </c>
      <c r="N2094" t="s">
        <v>19</v>
      </c>
    </row>
    <row r="2095" spans="1:14" x14ac:dyDescent="0.3">
      <c r="A2095">
        <v>68</v>
      </c>
      <c r="B2095" t="s">
        <v>945</v>
      </c>
      <c r="C2095" t="s">
        <v>946</v>
      </c>
      <c r="D2095" t="s">
        <v>4240</v>
      </c>
      <c r="E2095" t="s">
        <v>23</v>
      </c>
      <c r="F2095" t="s">
        <v>4239</v>
      </c>
      <c r="G2095" s="3">
        <v>31.52</v>
      </c>
      <c r="H2095" s="3">
        <v>0</v>
      </c>
      <c r="I2095" s="3">
        <v>31.52</v>
      </c>
      <c r="J2095" s="3">
        <f>Table1[[#This Row],[قيمة الفاتورة]]*0.94-Table1[[#This Row],[قيمة المشاركة]]</f>
        <v>29.628799999999998</v>
      </c>
      <c r="L2095" s="3" t="str">
        <f t="shared" si="32"/>
        <v/>
      </c>
      <c r="N2095" t="s">
        <v>19</v>
      </c>
    </row>
    <row r="2096" spans="1:14" x14ac:dyDescent="0.3">
      <c r="A2096">
        <v>67</v>
      </c>
      <c r="B2096" t="s">
        <v>4241</v>
      </c>
      <c r="C2096" t="s">
        <v>2829</v>
      </c>
      <c r="D2096" t="s">
        <v>4242</v>
      </c>
      <c r="E2096" t="s">
        <v>17</v>
      </c>
      <c r="F2096" t="s">
        <v>4239</v>
      </c>
      <c r="G2096" s="3">
        <v>31.12</v>
      </c>
      <c r="H2096" s="3">
        <v>6.2240000000000002</v>
      </c>
      <c r="I2096" s="3">
        <v>24.896000000000001</v>
      </c>
      <c r="J2096" s="3">
        <f>Table1[[#This Row],[قيمة الفاتورة]]*0.94-Table1[[#This Row],[قيمة المشاركة]]</f>
        <v>23.0288</v>
      </c>
      <c r="L2096" s="3" t="str">
        <f t="shared" si="32"/>
        <v/>
      </c>
      <c r="N2096" t="s">
        <v>328</v>
      </c>
    </row>
    <row r="2097" spans="1:14" x14ac:dyDescent="0.3">
      <c r="A2097">
        <v>69</v>
      </c>
      <c r="B2097" t="s">
        <v>3601</v>
      </c>
      <c r="C2097" t="s">
        <v>4243</v>
      </c>
      <c r="D2097" t="s">
        <v>4244</v>
      </c>
      <c r="E2097" t="s">
        <v>23</v>
      </c>
      <c r="F2097" t="s">
        <v>4239</v>
      </c>
      <c r="G2097" s="3">
        <v>8.9600000000000009</v>
      </c>
      <c r="H2097" s="3">
        <v>1.792</v>
      </c>
      <c r="I2097" s="3">
        <v>7.1680000000000001</v>
      </c>
      <c r="J2097" s="3">
        <f>Table1[[#This Row],[قيمة الفاتورة]]*0.94-Table1[[#This Row],[قيمة المشاركة]]</f>
        <v>6.6303999999999998</v>
      </c>
      <c r="L2097" s="3" t="str">
        <f t="shared" si="32"/>
        <v/>
      </c>
      <c r="N2097" t="s">
        <v>328</v>
      </c>
    </row>
    <row r="2098" spans="1:14" x14ac:dyDescent="0.3">
      <c r="A2098">
        <v>70</v>
      </c>
      <c r="B2098" t="s">
        <v>4245</v>
      </c>
      <c r="C2098" t="s">
        <v>4246</v>
      </c>
      <c r="D2098" t="s">
        <v>4247</v>
      </c>
      <c r="E2098" t="s">
        <v>17</v>
      </c>
      <c r="F2098" t="s">
        <v>4239</v>
      </c>
      <c r="G2098" s="3">
        <v>28.04</v>
      </c>
      <c r="H2098" s="3">
        <v>5.6079999999999997</v>
      </c>
      <c r="I2098" s="3">
        <v>22.431999999999999</v>
      </c>
      <c r="J2098" s="3">
        <f>Table1[[#This Row],[قيمة الفاتورة]]*0.94-Table1[[#This Row],[قيمة المشاركة]]</f>
        <v>20.749599999999997</v>
      </c>
      <c r="L2098" s="3" t="str">
        <f t="shared" si="32"/>
        <v/>
      </c>
      <c r="N2098" t="s">
        <v>328</v>
      </c>
    </row>
    <row r="2099" spans="1:14" x14ac:dyDescent="0.3">
      <c r="A2099">
        <v>73</v>
      </c>
      <c r="B2099" t="s">
        <v>2709</v>
      </c>
      <c r="C2099" t="s">
        <v>2710</v>
      </c>
      <c r="D2099" t="s">
        <v>4248</v>
      </c>
      <c r="E2099" t="s">
        <v>23</v>
      </c>
      <c r="F2099" t="s">
        <v>4249</v>
      </c>
      <c r="G2099" s="3">
        <v>33.590000000000003</v>
      </c>
      <c r="H2099" s="3">
        <v>0</v>
      </c>
      <c r="I2099" s="3">
        <v>33.590000000000003</v>
      </c>
      <c r="J2099" s="3">
        <f>Table1[[#This Row],[قيمة الفاتورة]]*0.94-Table1[[#This Row],[قيمة المشاركة]]</f>
        <v>31.5746</v>
      </c>
      <c r="L2099" s="3" t="str">
        <f t="shared" si="32"/>
        <v/>
      </c>
      <c r="N2099" t="s">
        <v>19</v>
      </c>
    </row>
    <row r="2100" spans="1:14" x14ac:dyDescent="0.3">
      <c r="A2100">
        <v>75</v>
      </c>
      <c r="B2100" t="s">
        <v>1539</v>
      </c>
      <c r="C2100" t="s">
        <v>3112</v>
      </c>
      <c r="D2100" t="s">
        <v>4250</v>
      </c>
      <c r="E2100" t="s">
        <v>23</v>
      </c>
      <c r="F2100" t="s">
        <v>4249</v>
      </c>
      <c r="G2100" s="3">
        <v>38.049999999999997</v>
      </c>
      <c r="H2100" s="3">
        <v>0</v>
      </c>
      <c r="I2100" s="3">
        <v>38.049999999999997</v>
      </c>
      <c r="J2100" s="3">
        <f>Table1[[#This Row],[قيمة الفاتورة]]*0.94-Table1[[#This Row],[قيمة المشاركة]]</f>
        <v>35.766999999999996</v>
      </c>
      <c r="L2100" s="3" t="str">
        <f t="shared" si="32"/>
        <v/>
      </c>
      <c r="N2100" t="s">
        <v>19</v>
      </c>
    </row>
    <row r="2101" spans="1:14" x14ac:dyDescent="0.3">
      <c r="A2101">
        <v>72</v>
      </c>
      <c r="B2101" t="s">
        <v>222</v>
      </c>
      <c r="C2101" t="s">
        <v>223</v>
      </c>
      <c r="D2101" t="s">
        <v>4251</v>
      </c>
      <c r="E2101" t="s">
        <v>17</v>
      </c>
      <c r="F2101" t="s">
        <v>4249</v>
      </c>
      <c r="G2101" s="3">
        <v>4.6399999999999997</v>
      </c>
      <c r="H2101" s="3">
        <v>0</v>
      </c>
      <c r="I2101" s="3">
        <v>4.6399999999999997</v>
      </c>
      <c r="J2101" s="3">
        <f>Table1[[#This Row],[قيمة الفاتورة]]*0.94-Table1[[#This Row],[قيمة المشاركة]]</f>
        <v>4.3615999999999993</v>
      </c>
      <c r="L2101" s="3" t="str">
        <f t="shared" si="32"/>
        <v/>
      </c>
      <c r="N2101" t="s">
        <v>19</v>
      </c>
    </row>
    <row r="2102" spans="1:14" x14ac:dyDescent="0.3">
      <c r="A2102">
        <v>71</v>
      </c>
      <c r="B2102" t="s">
        <v>1038</v>
      </c>
      <c r="C2102" t="s">
        <v>1039</v>
      </c>
      <c r="D2102" t="s">
        <v>4252</v>
      </c>
      <c r="E2102" t="s">
        <v>17</v>
      </c>
      <c r="F2102" t="s">
        <v>4249</v>
      </c>
      <c r="G2102" s="3">
        <v>6.89</v>
      </c>
      <c r="H2102" s="3">
        <v>0</v>
      </c>
      <c r="I2102" s="3">
        <v>6.89</v>
      </c>
      <c r="J2102" s="3">
        <f>Table1[[#This Row],[قيمة الفاتورة]]*0.94-Table1[[#This Row],[قيمة المشاركة]]</f>
        <v>6.4765999999999995</v>
      </c>
      <c r="L2102" s="3" t="str">
        <f t="shared" si="32"/>
        <v/>
      </c>
      <c r="N2102" t="s">
        <v>19</v>
      </c>
    </row>
    <row r="2103" spans="1:14" x14ac:dyDescent="0.3">
      <c r="A2103">
        <v>74</v>
      </c>
      <c r="B2103" t="s">
        <v>3527</v>
      </c>
      <c r="C2103" t="s">
        <v>354</v>
      </c>
      <c r="D2103" t="s">
        <v>4253</v>
      </c>
      <c r="E2103" t="s">
        <v>23</v>
      </c>
      <c r="F2103" t="s">
        <v>4249</v>
      </c>
      <c r="G2103" s="3">
        <v>35.770000000000003</v>
      </c>
      <c r="H2103" s="3">
        <v>0</v>
      </c>
      <c r="I2103" s="3">
        <v>35.770000000000003</v>
      </c>
      <c r="J2103" s="3">
        <f>Table1[[#This Row],[قيمة الفاتورة]]*0.94-Table1[[#This Row],[قيمة المشاركة]]</f>
        <v>33.623800000000003</v>
      </c>
      <c r="L2103" s="3" t="str">
        <f t="shared" si="32"/>
        <v/>
      </c>
      <c r="N2103" t="s">
        <v>19</v>
      </c>
    </row>
    <row r="2104" spans="1:14" x14ac:dyDescent="0.3">
      <c r="A2104">
        <v>409</v>
      </c>
      <c r="B2104" t="s">
        <v>2088</v>
      </c>
      <c r="C2104" t="s">
        <v>4254</v>
      </c>
      <c r="D2104" t="s">
        <v>4255</v>
      </c>
      <c r="E2104" t="s">
        <v>23</v>
      </c>
      <c r="F2104" t="s">
        <v>4249</v>
      </c>
      <c r="G2104" s="3">
        <v>32.61</v>
      </c>
      <c r="H2104" s="3">
        <v>0</v>
      </c>
      <c r="I2104" s="3">
        <v>32.61</v>
      </c>
      <c r="J2104" s="3">
        <f>Table1[[#This Row],[قيمة الفاتورة]]*0.94-Table1[[#This Row],[قيمة المشاركة]]</f>
        <v>30.653399999999998</v>
      </c>
      <c r="L2104" s="3" t="str">
        <f t="shared" si="32"/>
        <v/>
      </c>
      <c r="N2104" t="s">
        <v>19</v>
      </c>
    </row>
    <row r="2105" spans="1:14" x14ac:dyDescent="0.3">
      <c r="A2105">
        <v>78</v>
      </c>
      <c r="B2105" t="s">
        <v>1163</v>
      </c>
      <c r="C2105" t="s">
        <v>1164</v>
      </c>
      <c r="D2105" t="s">
        <v>4256</v>
      </c>
      <c r="E2105" t="s">
        <v>17</v>
      </c>
      <c r="F2105" t="s">
        <v>4257</v>
      </c>
      <c r="G2105" s="3">
        <v>6.26</v>
      </c>
      <c r="H2105" s="3">
        <v>0</v>
      </c>
      <c r="I2105" s="3">
        <v>6.26</v>
      </c>
      <c r="J2105" s="3">
        <f>Table1[[#This Row],[قيمة الفاتورة]]*0.94-Table1[[#This Row],[قيمة المشاركة]]</f>
        <v>5.8843999999999994</v>
      </c>
      <c r="L2105" s="3" t="str">
        <f t="shared" si="32"/>
        <v/>
      </c>
      <c r="N2105" t="s">
        <v>19</v>
      </c>
    </row>
    <row r="2106" spans="1:14" x14ac:dyDescent="0.3">
      <c r="A2106">
        <v>410</v>
      </c>
      <c r="B2106" t="s">
        <v>1163</v>
      </c>
      <c r="C2106" t="s">
        <v>1164</v>
      </c>
      <c r="D2106" t="s">
        <v>4258</v>
      </c>
      <c r="E2106" t="s">
        <v>17</v>
      </c>
      <c r="F2106" t="s">
        <v>4257</v>
      </c>
      <c r="G2106" s="3">
        <v>10.855</v>
      </c>
      <c r="H2106" s="3">
        <v>0</v>
      </c>
      <c r="I2106" s="3">
        <v>10.855</v>
      </c>
      <c r="J2106" s="3">
        <f>Table1[[#This Row],[قيمة الفاتورة]]*0.94-Table1[[#This Row],[قيمة المشاركة]]</f>
        <v>10.2037</v>
      </c>
      <c r="L2106" s="3" t="str">
        <f t="shared" si="32"/>
        <v/>
      </c>
      <c r="N2106" t="s">
        <v>19</v>
      </c>
    </row>
    <row r="2107" spans="1:14" x14ac:dyDescent="0.3">
      <c r="A2107">
        <v>79</v>
      </c>
      <c r="B2107" t="s">
        <v>4259</v>
      </c>
      <c r="C2107" t="s">
        <v>50</v>
      </c>
      <c r="D2107" t="s">
        <v>4260</v>
      </c>
      <c r="E2107" t="s">
        <v>23</v>
      </c>
      <c r="F2107" t="s">
        <v>4257</v>
      </c>
      <c r="G2107" s="3">
        <v>28.83</v>
      </c>
      <c r="H2107" s="3">
        <v>0</v>
      </c>
      <c r="I2107" s="3">
        <v>28.83</v>
      </c>
      <c r="J2107" s="3">
        <f>Table1[[#This Row],[قيمة الفاتورة]]*0.94-Table1[[#This Row],[قيمة المشاركة]]</f>
        <v>27.100199999999997</v>
      </c>
      <c r="L2107" s="3" t="str">
        <f t="shared" si="32"/>
        <v/>
      </c>
      <c r="N2107" t="s">
        <v>19</v>
      </c>
    </row>
    <row r="2108" spans="1:14" x14ac:dyDescent="0.3">
      <c r="A2108">
        <v>76</v>
      </c>
      <c r="B2108" t="s">
        <v>3925</v>
      </c>
      <c r="C2108" t="s">
        <v>3926</v>
      </c>
      <c r="D2108" t="s">
        <v>4261</v>
      </c>
      <c r="E2108" t="s">
        <v>17</v>
      </c>
      <c r="F2108" t="s">
        <v>4257</v>
      </c>
      <c r="G2108" s="3">
        <v>56.14</v>
      </c>
      <c r="H2108" s="3">
        <v>0</v>
      </c>
      <c r="I2108" s="3">
        <v>56.14</v>
      </c>
      <c r="J2108" s="3">
        <f>Table1[[#This Row],[قيمة الفاتورة]]*0.94-Table1[[#This Row],[قيمة المشاركة]]</f>
        <v>52.771599999999999</v>
      </c>
      <c r="L2108" s="3" t="str">
        <f t="shared" si="32"/>
        <v/>
      </c>
      <c r="N2108" t="s">
        <v>19</v>
      </c>
    </row>
    <row r="2109" spans="1:14" x14ac:dyDescent="0.3">
      <c r="A2109">
        <v>77</v>
      </c>
      <c r="B2109" t="s">
        <v>4262</v>
      </c>
      <c r="C2109" t="s">
        <v>4263</v>
      </c>
      <c r="D2109" t="s">
        <v>4264</v>
      </c>
      <c r="E2109" t="s">
        <v>17</v>
      </c>
      <c r="F2109" t="s">
        <v>4257</v>
      </c>
      <c r="G2109" s="3">
        <v>38.020000000000003</v>
      </c>
      <c r="H2109" s="3">
        <v>7.6040000000000001</v>
      </c>
      <c r="I2109" s="3">
        <v>30.416</v>
      </c>
      <c r="J2109" s="3">
        <f>Table1[[#This Row],[قيمة الفاتورة]]*0.94-Table1[[#This Row],[قيمة المشاركة]]</f>
        <v>28.134799999999998</v>
      </c>
      <c r="L2109" s="3" t="str">
        <f t="shared" si="32"/>
        <v/>
      </c>
      <c r="N2109" t="s">
        <v>328</v>
      </c>
    </row>
    <row r="2110" spans="1:14" x14ac:dyDescent="0.3">
      <c r="A2110">
        <v>81</v>
      </c>
      <c r="B2110" t="s">
        <v>3464</v>
      </c>
      <c r="C2110" t="s">
        <v>3465</v>
      </c>
      <c r="D2110" t="s">
        <v>4265</v>
      </c>
      <c r="E2110" t="s">
        <v>17</v>
      </c>
      <c r="F2110" t="s">
        <v>4257</v>
      </c>
      <c r="G2110" s="3">
        <v>54.38</v>
      </c>
      <c r="H2110" s="3">
        <v>10.875999999999999</v>
      </c>
      <c r="I2110" s="3">
        <v>43.503999999999998</v>
      </c>
      <c r="J2110" s="3">
        <f>Table1[[#This Row],[قيمة الفاتورة]]*0.94-Table1[[#This Row],[قيمة المشاركة]]</f>
        <v>40.241199999999999</v>
      </c>
      <c r="L2110" s="3" t="str">
        <f t="shared" si="32"/>
        <v/>
      </c>
      <c r="N2110" t="s">
        <v>328</v>
      </c>
    </row>
    <row r="2111" spans="1:14" x14ac:dyDescent="0.3">
      <c r="A2111">
        <v>80</v>
      </c>
      <c r="B2111" t="s">
        <v>3549</v>
      </c>
      <c r="C2111" t="s">
        <v>312</v>
      </c>
      <c r="D2111" t="s">
        <v>4266</v>
      </c>
      <c r="E2111" t="s">
        <v>17</v>
      </c>
      <c r="F2111" t="s">
        <v>4257</v>
      </c>
      <c r="G2111" s="3">
        <v>38.479999999999997</v>
      </c>
      <c r="H2111" s="3">
        <v>7.6959999999999997</v>
      </c>
      <c r="I2111" s="3">
        <v>30.783999999999999</v>
      </c>
      <c r="J2111" s="3">
        <f>Table1[[#This Row],[قيمة الفاتورة]]*0.94-Table1[[#This Row],[قيمة المشاركة]]</f>
        <v>28.475199999999994</v>
      </c>
      <c r="L2111" s="3" t="str">
        <f t="shared" si="32"/>
        <v/>
      </c>
      <c r="N2111" t="s">
        <v>328</v>
      </c>
    </row>
    <row r="2112" spans="1:14" x14ac:dyDescent="0.3">
      <c r="A2112">
        <v>411</v>
      </c>
      <c r="B2112" t="s">
        <v>1230</v>
      </c>
      <c r="C2112" t="s">
        <v>523</v>
      </c>
      <c r="D2112" t="s">
        <v>4267</v>
      </c>
      <c r="E2112" t="s">
        <v>23</v>
      </c>
      <c r="F2112" t="s">
        <v>4268</v>
      </c>
      <c r="G2112" s="3">
        <v>37.270000000000003</v>
      </c>
      <c r="H2112" s="3">
        <v>0</v>
      </c>
      <c r="I2112" s="3">
        <v>37.270000000000003</v>
      </c>
      <c r="J2112" s="3">
        <f>Table1[[#This Row],[قيمة الفاتورة]]*0.94-Table1[[#This Row],[قيمة المشاركة]]</f>
        <v>35.033799999999999</v>
      </c>
      <c r="L2112" s="3" t="str">
        <f t="shared" si="32"/>
        <v/>
      </c>
      <c r="N2112" t="s">
        <v>19</v>
      </c>
    </row>
    <row r="2113" spans="1:14" x14ac:dyDescent="0.3">
      <c r="A2113">
        <v>413</v>
      </c>
      <c r="B2113" t="s">
        <v>275</v>
      </c>
      <c r="C2113" t="s">
        <v>276</v>
      </c>
      <c r="D2113" t="s">
        <v>4269</v>
      </c>
      <c r="E2113" t="s">
        <v>17</v>
      </c>
      <c r="F2113" t="s">
        <v>4268</v>
      </c>
      <c r="G2113" s="3">
        <v>33.299999999999997</v>
      </c>
      <c r="H2113" s="3">
        <v>0</v>
      </c>
      <c r="I2113" s="3">
        <v>33.299999999999997</v>
      </c>
      <c r="J2113" s="3">
        <f>Table1[[#This Row],[قيمة الفاتورة]]*0.94-Table1[[#This Row],[قيمة المشاركة]]</f>
        <v>31.301999999999996</v>
      </c>
      <c r="L2113" s="3" t="str">
        <f t="shared" si="32"/>
        <v/>
      </c>
      <c r="N2113" t="s">
        <v>19</v>
      </c>
    </row>
    <row r="2114" spans="1:14" x14ac:dyDescent="0.3">
      <c r="A2114">
        <v>84</v>
      </c>
      <c r="B2114" t="s">
        <v>3091</v>
      </c>
      <c r="C2114" t="s">
        <v>4064</v>
      </c>
      <c r="D2114" t="s">
        <v>4270</v>
      </c>
      <c r="E2114" t="s">
        <v>23</v>
      </c>
      <c r="F2114" t="s">
        <v>4268</v>
      </c>
      <c r="G2114" s="3">
        <v>24.16</v>
      </c>
      <c r="H2114" s="3">
        <v>0</v>
      </c>
      <c r="I2114" s="3">
        <v>24.16</v>
      </c>
      <c r="J2114" s="3">
        <f>Table1[[#This Row],[قيمة الفاتورة]]*0.94-Table1[[#This Row],[قيمة المشاركة]]</f>
        <v>22.7104</v>
      </c>
      <c r="L2114" s="3" t="str">
        <f t="shared" ref="L2114:L2157" si="33">IF(ISNUMBER(K2114), J2114-K2114, "")</f>
        <v/>
      </c>
      <c r="N2114" t="s">
        <v>19</v>
      </c>
    </row>
    <row r="2115" spans="1:14" x14ac:dyDescent="0.3">
      <c r="A2115">
        <v>412</v>
      </c>
      <c r="B2115" t="s">
        <v>2446</v>
      </c>
      <c r="C2115" t="s">
        <v>2447</v>
      </c>
      <c r="D2115" t="s">
        <v>4271</v>
      </c>
      <c r="E2115" t="s">
        <v>23</v>
      </c>
      <c r="F2115" t="s">
        <v>4268</v>
      </c>
      <c r="G2115" s="3">
        <v>22.86</v>
      </c>
      <c r="H2115" s="3">
        <v>0</v>
      </c>
      <c r="I2115" s="3">
        <v>22.86</v>
      </c>
      <c r="J2115" s="3">
        <f>Table1[[#This Row],[قيمة الفاتورة]]*0.94-Table1[[#This Row],[قيمة المشاركة]]</f>
        <v>21.488399999999999</v>
      </c>
      <c r="L2115" s="3" t="str">
        <f t="shared" si="33"/>
        <v/>
      </c>
      <c r="N2115" t="s">
        <v>19</v>
      </c>
    </row>
    <row r="2116" spans="1:14" x14ac:dyDescent="0.3">
      <c r="A2116">
        <v>82</v>
      </c>
      <c r="B2116" t="s">
        <v>3222</v>
      </c>
      <c r="C2116" t="s">
        <v>3223</v>
      </c>
      <c r="D2116" t="s">
        <v>4272</v>
      </c>
      <c r="E2116" t="s">
        <v>23</v>
      </c>
      <c r="F2116" t="s">
        <v>4268</v>
      </c>
      <c r="G2116" s="3">
        <v>6.96</v>
      </c>
      <c r="H2116" s="3">
        <v>1.3919999999999999</v>
      </c>
      <c r="I2116" s="3">
        <v>5.5679999999999996</v>
      </c>
      <c r="J2116" s="3">
        <f>Table1[[#This Row],[قيمة الفاتورة]]*0.94-Table1[[#This Row],[قيمة المشاركة]]</f>
        <v>5.1503999999999994</v>
      </c>
      <c r="L2116" s="3" t="str">
        <f t="shared" si="33"/>
        <v/>
      </c>
      <c r="N2116" t="s">
        <v>328</v>
      </c>
    </row>
    <row r="2117" spans="1:14" x14ac:dyDescent="0.3">
      <c r="A2117">
        <v>87</v>
      </c>
      <c r="B2117" t="s">
        <v>4273</v>
      </c>
      <c r="C2117" t="s">
        <v>620</v>
      </c>
      <c r="D2117" t="s">
        <v>4274</v>
      </c>
      <c r="E2117" t="s">
        <v>17</v>
      </c>
      <c r="F2117" t="s">
        <v>4268</v>
      </c>
      <c r="G2117" s="3">
        <v>31.87</v>
      </c>
      <c r="H2117" s="3">
        <v>6.3739999999999997</v>
      </c>
      <c r="I2117" s="3">
        <v>25.495999999999999</v>
      </c>
      <c r="J2117" s="3">
        <f>Table1[[#This Row],[قيمة الفاتورة]]*0.94-Table1[[#This Row],[قيمة المشاركة]]</f>
        <v>23.5838</v>
      </c>
      <c r="L2117" s="3" t="str">
        <f t="shared" si="33"/>
        <v/>
      </c>
      <c r="N2117" t="s">
        <v>328</v>
      </c>
    </row>
    <row r="2118" spans="1:14" x14ac:dyDescent="0.3">
      <c r="A2118">
        <v>85</v>
      </c>
      <c r="B2118" t="s">
        <v>4275</v>
      </c>
      <c r="C2118" t="s">
        <v>4276</v>
      </c>
      <c r="D2118" t="s">
        <v>4277</v>
      </c>
      <c r="E2118" t="s">
        <v>23</v>
      </c>
      <c r="F2118" t="s">
        <v>4268</v>
      </c>
      <c r="G2118" s="3">
        <v>37.74</v>
      </c>
      <c r="H2118" s="3">
        <v>7.548</v>
      </c>
      <c r="I2118" s="3">
        <v>30.192</v>
      </c>
      <c r="J2118" s="3">
        <f>Table1[[#This Row],[قيمة الفاتورة]]*0.94-Table1[[#This Row],[قيمة المشاركة]]</f>
        <v>27.927599999999998</v>
      </c>
      <c r="L2118" s="3" t="str">
        <f t="shared" si="33"/>
        <v/>
      </c>
      <c r="N2118" t="s">
        <v>328</v>
      </c>
    </row>
    <row r="2119" spans="1:14" x14ac:dyDescent="0.3">
      <c r="A2119">
        <v>86</v>
      </c>
      <c r="B2119" t="s">
        <v>4275</v>
      </c>
      <c r="C2119" t="s">
        <v>4276</v>
      </c>
      <c r="D2119" t="s">
        <v>4278</v>
      </c>
      <c r="E2119" t="s">
        <v>23</v>
      </c>
      <c r="F2119" t="s">
        <v>4268</v>
      </c>
      <c r="G2119" s="3">
        <v>23.44</v>
      </c>
      <c r="H2119" s="3">
        <v>4.6879999999999997</v>
      </c>
      <c r="I2119" s="3">
        <v>18.751999999999999</v>
      </c>
      <c r="J2119" s="3">
        <f>Table1[[#This Row],[قيمة الفاتورة]]*0.94-Table1[[#This Row],[قيمة المشاركة]]</f>
        <v>17.345600000000001</v>
      </c>
      <c r="L2119" s="3" t="str">
        <f t="shared" si="33"/>
        <v/>
      </c>
      <c r="N2119" t="s">
        <v>328</v>
      </c>
    </row>
    <row r="2120" spans="1:14" x14ac:dyDescent="0.3">
      <c r="A2120">
        <v>83</v>
      </c>
      <c r="B2120" t="s">
        <v>4279</v>
      </c>
      <c r="C2120" t="s">
        <v>4280</v>
      </c>
      <c r="D2120" t="s">
        <v>4281</v>
      </c>
      <c r="E2120" t="s">
        <v>17</v>
      </c>
      <c r="F2120" t="s">
        <v>4268</v>
      </c>
      <c r="G2120" s="3">
        <v>35.4</v>
      </c>
      <c r="H2120" s="3">
        <v>7.08</v>
      </c>
      <c r="I2120" s="3">
        <v>28.32</v>
      </c>
      <c r="J2120" s="3">
        <f>Table1[[#This Row],[قيمة الفاتورة]]*0.94-Table1[[#This Row],[قيمة المشاركة]]</f>
        <v>26.195999999999998</v>
      </c>
      <c r="L2120" s="3" t="str">
        <f t="shared" si="33"/>
        <v/>
      </c>
      <c r="N2120" t="s">
        <v>328</v>
      </c>
    </row>
    <row r="2121" spans="1:14" x14ac:dyDescent="0.3">
      <c r="A2121">
        <v>90</v>
      </c>
      <c r="B2121" t="s">
        <v>2659</v>
      </c>
      <c r="C2121" t="s">
        <v>2660</v>
      </c>
      <c r="D2121" t="s">
        <v>4282</v>
      </c>
      <c r="E2121" t="s">
        <v>23</v>
      </c>
      <c r="F2121" t="s">
        <v>4283</v>
      </c>
      <c r="G2121" s="3">
        <v>27.79</v>
      </c>
      <c r="H2121" s="3">
        <v>0</v>
      </c>
      <c r="I2121" s="3">
        <v>27.79</v>
      </c>
      <c r="J2121" s="3">
        <f>Table1[[#This Row],[قيمة الفاتورة]]*0.94-Table1[[#This Row],[قيمة المشاركة]]</f>
        <v>26.122599999999998</v>
      </c>
      <c r="L2121" s="3" t="str">
        <f t="shared" si="33"/>
        <v/>
      </c>
      <c r="N2121" t="s">
        <v>19</v>
      </c>
    </row>
    <row r="2122" spans="1:14" x14ac:dyDescent="0.3">
      <c r="A2122">
        <v>91</v>
      </c>
      <c r="B2122" t="s">
        <v>2539</v>
      </c>
      <c r="C2122" t="s">
        <v>2540</v>
      </c>
      <c r="D2122" t="s">
        <v>4284</v>
      </c>
      <c r="E2122" t="s">
        <v>23</v>
      </c>
      <c r="F2122" t="s">
        <v>4283</v>
      </c>
      <c r="G2122" s="3">
        <v>12.37</v>
      </c>
      <c r="H2122" s="3">
        <v>0</v>
      </c>
      <c r="I2122" s="3">
        <v>12.37</v>
      </c>
      <c r="J2122" s="3">
        <f>Table1[[#This Row],[قيمة الفاتورة]]*0.94-Table1[[#This Row],[قيمة المشاركة]]</f>
        <v>11.627799999999999</v>
      </c>
      <c r="L2122" s="3" t="str">
        <f t="shared" si="33"/>
        <v/>
      </c>
      <c r="N2122" t="s">
        <v>19</v>
      </c>
    </row>
    <row r="2123" spans="1:14" x14ac:dyDescent="0.3">
      <c r="A2123">
        <v>92</v>
      </c>
      <c r="B2123" t="s">
        <v>1846</v>
      </c>
      <c r="C2123" t="s">
        <v>1867</v>
      </c>
      <c r="D2123" t="s">
        <v>4285</v>
      </c>
      <c r="E2123" t="s">
        <v>17</v>
      </c>
      <c r="F2123" t="s">
        <v>4283</v>
      </c>
      <c r="G2123" s="3">
        <v>65.849999999999994</v>
      </c>
      <c r="H2123" s="3">
        <v>0</v>
      </c>
      <c r="I2123" s="3">
        <v>65.849999999999994</v>
      </c>
      <c r="J2123" s="3">
        <f>Table1[[#This Row],[قيمة الفاتورة]]*0.94-Table1[[#This Row],[قيمة المشاركة]]</f>
        <v>61.898999999999994</v>
      </c>
      <c r="L2123" s="3" t="str">
        <f t="shared" si="33"/>
        <v/>
      </c>
      <c r="N2123" t="s">
        <v>19</v>
      </c>
    </row>
    <row r="2124" spans="1:14" x14ac:dyDescent="0.3">
      <c r="A2124">
        <v>414</v>
      </c>
      <c r="B2124" t="s">
        <v>3070</v>
      </c>
      <c r="C2124" t="s">
        <v>3071</v>
      </c>
      <c r="D2124" t="s">
        <v>4286</v>
      </c>
      <c r="E2124" t="s">
        <v>23</v>
      </c>
      <c r="F2124" t="s">
        <v>4283</v>
      </c>
      <c r="G2124" s="3">
        <v>8.06</v>
      </c>
      <c r="H2124" s="3">
        <v>0</v>
      </c>
      <c r="I2124" s="3">
        <v>8.06</v>
      </c>
      <c r="J2124" s="3">
        <f>Table1[[#This Row],[قيمة الفاتورة]]*0.94-Table1[[#This Row],[قيمة المشاركة]]</f>
        <v>7.5764000000000005</v>
      </c>
      <c r="L2124" s="3" t="str">
        <f t="shared" si="33"/>
        <v/>
      </c>
      <c r="N2124" t="s">
        <v>19</v>
      </c>
    </row>
    <row r="2125" spans="1:14" x14ac:dyDescent="0.3">
      <c r="A2125">
        <v>88</v>
      </c>
      <c r="B2125" t="s">
        <v>3614</v>
      </c>
      <c r="C2125" t="s">
        <v>377</v>
      </c>
      <c r="D2125" t="s">
        <v>4287</v>
      </c>
      <c r="E2125" t="s">
        <v>23</v>
      </c>
      <c r="F2125" t="s">
        <v>4283</v>
      </c>
      <c r="G2125" s="3">
        <v>21.02</v>
      </c>
      <c r="H2125" s="3">
        <v>4.2039999999999997</v>
      </c>
      <c r="I2125" s="3">
        <v>16.815999999999999</v>
      </c>
      <c r="J2125" s="3">
        <f>Table1[[#This Row],[قيمة الفاتورة]]*0.94-Table1[[#This Row],[قيمة المشاركة]]</f>
        <v>15.554799999999997</v>
      </c>
      <c r="L2125" s="3" t="str">
        <f t="shared" si="33"/>
        <v/>
      </c>
      <c r="N2125" t="s">
        <v>328</v>
      </c>
    </row>
    <row r="2126" spans="1:14" x14ac:dyDescent="0.3">
      <c r="A2126">
        <v>89</v>
      </c>
      <c r="B2126" t="s">
        <v>3616</v>
      </c>
      <c r="C2126" t="s">
        <v>620</v>
      </c>
      <c r="D2126" t="s">
        <v>4288</v>
      </c>
      <c r="E2126" t="s">
        <v>23</v>
      </c>
      <c r="F2126" t="s">
        <v>4283</v>
      </c>
      <c r="G2126" s="3">
        <v>19.649999999999999</v>
      </c>
      <c r="H2126" s="3">
        <v>3.93</v>
      </c>
      <c r="I2126" s="3">
        <v>15.72</v>
      </c>
      <c r="J2126" s="3">
        <f>Table1[[#This Row],[قيمة الفاتورة]]*0.94-Table1[[#This Row],[قيمة المشاركة]]</f>
        <v>14.540999999999997</v>
      </c>
      <c r="L2126" s="3" t="str">
        <f t="shared" si="33"/>
        <v/>
      </c>
      <c r="N2126" t="s">
        <v>328</v>
      </c>
    </row>
    <row r="2127" spans="1:14" x14ac:dyDescent="0.3">
      <c r="A2127">
        <v>97</v>
      </c>
      <c r="B2127" t="s">
        <v>2125</v>
      </c>
      <c r="C2127" t="s">
        <v>2332</v>
      </c>
      <c r="D2127" t="s">
        <v>4289</v>
      </c>
      <c r="E2127" t="s">
        <v>17</v>
      </c>
      <c r="F2127" t="s">
        <v>4290</v>
      </c>
      <c r="G2127" s="3">
        <v>42.37</v>
      </c>
      <c r="H2127" s="3">
        <v>0</v>
      </c>
      <c r="I2127" s="3">
        <v>42.37</v>
      </c>
      <c r="J2127" s="3">
        <f>Table1[[#This Row],[قيمة الفاتورة]]*0.94-Table1[[#This Row],[قيمة المشاركة]]</f>
        <v>39.827799999999996</v>
      </c>
      <c r="L2127" s="3" t="str">
        <f t="shared" si="33"/>
        <v/>
      </c>
      <c r="N2127" t="s">
        <v>19</v>
      </c>
    </row>
    <row r="2128" spans="1:14" x14ac:dyDescent="0.3">
      <c r="A2128">
        <v>415</v>
      </c>
      <c r="B2128" t="s">
        <v>1915</v>
      </c>
      <c r="C2128" t="s">
        <v>4291</v>
      </c>
      <c r="D2128" t="s">
        <v>4292</v>
      </c>
      <c r="E2128" t="s">
        <v>17</v>
      </c>
      <c r="F2128" t="s">
        <v>4290</v>
      </c>
      <c r="G2128" s="3">
        <v>12.71</v>
      </c>
      <c r="H2128" s="3">
        <v>1.9059999999999999</v>
      </c>
      <c r="I2128" s="3">
        <v>10.804</v>
      </c>
      <c r="J2128" s="3">
        <f>Table1[[#This Row],[قيمة الفاتورة]]*0.94-Table1[[#This Row],[قيمة المشاركة]]</f>
        <v>10.041399999999999</v>
      </c>
      <c r="L2128" s="3" t="str">
        <f t="shared" si="33"/>
        <v/>
      </c>
      <c r="N2128" t="s">
        <v>19</v>
      </c>
    </row>
    <row r="2129" spans="1:14" x14ac:dyDescent="0.3">
      <c r="A2129">
        <v>93</v>
      </c>
      <c r="B2129" t="s">
        <v>627</v>
      </c>
      <c r="C2129" t="s">
        <v>628</v>
      </c>
      <c r="D2129" t="s">
        <v>4293</v>
      </c>
      <c r="E2129" t="s">
        <v>23</v>
      </c>
      <c r="F2129" t="s">
        <v>4290</v>
      </c>
      <c r="G2129" s="3">
        <v>26.31</v>
      </c>
      <c r="H2129" s="3">
        <v>0</v>
      </c>
      <c r="I2129" s="3">
        <v>26.31</v>
      </c>
      <c r="J2129" s="3">
        <f>Table1[[#This Row],[قيمة الفاتورة]]*0.94-Table1[[#This Row],[قيمة المشاركة]]</f>
        <v>24.731399999999997</v>
      </c>
      <c r="L2129" s="3" t="str">
        <f t="shared" si="33"/>
        <v/>
      </c>
      <c r="N2129" t="s">
        <v>19</v>
      </c>
    </row>
    <row r="2130" spans="1:14" x14ac:dyDescent="0.3">
      <c r="A2130">
        <v>94</v>
      </c>
      <c r="B2130" t="s">
        <v>2432</v>
      </c>
      <c r="C2130" t="s">
        <v>2433</v>
      </c>
      <c r="D2130" t="s">
        <v>4294</v>
      </c>
      <c r="E2130" t="s">
        <v>23</v>
      </c>
      <c r="F2130" t="s">
        <v>4290</v>
      </c>
      <c r="G2130" s="3">
        <v>16.87</v>
      </c>
      <c r="H2130" s="3">
        <v>0</v>
      </c>
      <c r="I2130" s="3">
        <v>16.87</v>
      </c>
      <c r="J2130" s="3">
        <f>Table1[[#This Row],[قيمة الفاتورة]]*0.94-Table1[[#This Row],[قيمة المشاركة]]</f>
        <v>15.857799999999999</v>
      </c>
      <c r="L2130" s="3" t="str">
        <f t="shared" si="33"/>
        <v/>
      </c>
      <c r="N2130" t="s">
        <v>19</v>
      </c>
    </row>
    <row r="2131" spans="1:14" x14ac:dyDescent="0.3">
      <c r="A2131">
        <v>98</v>
      </c>
      <c r="B2131" t="s">
        <v>1680</v>
      </c>
      <c r="C2131" t="s">
        <v>1681</v>
      </c>
      <c r="D2131" t="s">
        <v>4295</v>
      </c>
      <c r="E2131" t="s">
        <v>17</v>
      </c>
      <c r="F2131" t="s">
        <v>4290</v>
      </c>
      <c r="G2131" s="3">
        <v>29.88</v>
      </c>
      <c r="H2131" s="3">
        <v>0</v>
      </c>
      <c r="I2131" s="3">
        <v>29.88</v>
      </c>
      <c r="J2131" s="3">
        <f>Table1[[#This Row],[قيمة الفاتورة]]*0.94-Table1[[#This Row],[قيمة المشاركة]]</f>
        <v>28.087199999999996</v>
      </c>
      <c r="L2131" s="3" t="str">
        <f t="shared" si="33"/>
        <v/>
      </c>
      <c r="N2131" t="s">
        <v>19</v>
      </c>
    </row>
    <row r="2132" spans="1:14" x14ac:dyDescent="0.3">
      <c r="A2132">
        <v>96</v>
      </c>
      <c r="B2132" t="s">
        <v>3297</v>
      </c>
      <c r="C2132" t="s">
        <v>3520</v>
      </c>
      <c r="D2132" t="s">
        <v>4296</v>
      </c>
      <c r="E2132" t="s">
        <v>17</v>
      </c>
      <c r="F2132" t="s">
        <v>4290</v>
      </c>
      <c r="G2132" s="3">
        <v>49.03</v>
      </c>
      <c r="H2132" s="3">
        <v>9.8059999999999992</v>
      </c>
      <c r="I2132" s="3">
        <v>39.223999999999997</v>
      </c>
      <c r="J2132" s="3">
        <f>Table1[[#This Row],[قيمة الفاتورة]]*0.94-Table1[[#This Row],[قيمة المشاركة]]</f>
        <v>36.282200000000003</v>
      </c>
      <c r="L2132" s="3" t="str">
        <f t="shared" si="33"/>
        <v/>
      </c>
      <c r="N2132" t="s">
        <v>328</v>
      </c>
    </row>
    <row r="2133" spans="1:14" x14ac:dyDescent="0.3">
      <c r="A2133">
        <v>95</v>
      </c>
      <c r="B2133" t="s">
        <v>3293</v>
      </c>
      <c r="C2133" t="s">
        <v>2991</v>
      </c>
      <c r="D2133" t="s">
        <v>4297</v>
      </c>
      <c r="E2133" t="s">
        <v>23</v>
      </c>
      <c r="F2133" t="s">
        <v>4290</v>
      </c>
      <c r="G2133" s="3">
        <v>54.91</v>
      </c>
      <c r="H2133" s="3">
        <v>10.981999999999999</v>
      </c>
      <c r="I2133" s="3">
        <v>43.927999999999997</v>
      </c>
      <c r="J2133" s="3">
        <f>Table1[[#This Row],[قيمة الفاتورة]]*0.94-Table1[[#This Row],[قيمة المشاركة]]</f>
        <v>40.633399999999995</v>
      </c>
      <c r="L2133" s="3" t="str">
        <f t="shared" si="33"/>
        <v/>
      </c>
      <c r="N2133" t="s">
        <v>328</v>
      </c>
    </row>
    <row r="2134" spans="1:14" x14ac:dyDescent="0.3">
      <c r="A2134">
        <v>417</v>
      </c>
      <c r="B2134" t="s">
        <v>286</v>
      </c>
      <c r="C2134" t="s">
        <v>287</v>
      </c>
      <c r="D2134" t="s">
        <v>4298</v>
      </c>
      <c r="E2134" t="s">
        <v>23</v>
      </c>
      <c r="F2134" t="s">
        <v>4299</v>
      </c>
      <c r="G2134" s="3">
        <v>13.03</v>
      </c>
      <c r="H2134" s="3">
        <v>0</v>
      </c>
      <c r="I2134" s="3">
        <v>13.03</v>
      </c>
      <c r="J2134" s="3">
        <f>Table1[[#This Row],[قيمة الفاتورة]]*0.94-Table1[[#This Row],[قيمة المشاركة]]</f>
        <v>12.248199999999999</v>
      </c>
      <c r="L2134" s="3" t="str">
        <f t="shared" si="33"/>
        <v/>
      </c>
      <c r="N2134" t="s">
        <v>19</v>
      </c>
    </row>
    <row r="2135" spans="1:14" x14ac:dyDescent="0.3">
      <c r="A2135">
        <v>100</v>
      </c>
      <c r="B2135" t="s">
        <v>851</v>
      </c>
      <c r="C2135" t="s">
        <v>879</v>
      </c>
      <c r="D2135" t="s">
        <v>4300</v>
      </c>
      <c r="E2135" t="s">
        <v>23</v>
      </c>
      <c r="F2135" t="s">
        <v>4299</v>
      </c>
      <c r="G2135" s="3">
        <v>57.97</v>
      </c>
      <c r="H2135" s="3">
        <v>0</v>
      </c>
      <c r="I2135" s="3">
        <v>57.97</v>
      </c>
      <c r="J2135" s="3">
        <f>Table1[[#This Row],[قيمة الفاتورة]]*0.94-Table1[[#This Row],[قيمة المشاركة]]</f>
        <v>54.491799999999998</v>
      </c>
      <c r="L2135" s="3" t="str">
        <f t="shared" si="33"/>
        <v/>
      </c>
      <c r="N2135" t="s">
        <v>19</v>
      </c>
    </row>
    <row r="2136" spans="1:14" x14ac:dyDescent="0.3">
      <c r="A2136">
        <v>416</v>
      </c>
      <c r="B2136" t="s">
        <v>1065</v>
      </c>
      <c r="C2136" t="s">
        <v>1012</v>
      </c>
      <c r="D2136" t="s">
        <v>4301</v>
      </c>
      <c r="E2136" t="s">
        <v>23</v>
      </c>
      <c r="F2136" t="s">
        <v>4299</v>
      </c>
      <c r="G2136" s="3">
        <v>20.91</v>
      </c>
      <c r="H2136" s="3">
        <v>0</v>
      </c>
      <c r="I2136" s="3">
        <v>20.91</v>
      </c>
      <c r="J2136" s="3">
        <f>Table1[[#This Row],[قيمة الفاتورة]]*0.94-Table1[[#This Row],[قيمة المشاركة]]</f>
        <v>19.6554</v>
      </c>
      <c r="L2136" s="3" t="str">
        <f t="shared" si="33"/>
        <v/>
      </c>
      <c r="N2136" t="s">
        <v>19</v>
      </c>
    </row>
    <row r="2137" spans="1:14" x14ac:dyDescent="0.3">
      <c r="A2137">
        <v>99</v>
      </c>
      <c r="B2137" t="s">
        <v>3782</v>
      </c>
      <c r="C2137" t="s">
        <v>3783</v>
      </c>
      <c r="D2137" t="s">
        <v>4302</v>
      </c>
      <c r="E2137" t="s">
        <v>17</v>
      </c>
      <c r="F2137" t="s">
        <v>4299</v>
      </c>
      <c r="G2137" s="3">
        <v>26.47</v>
      </c>
      <c r="H2137" s="3">
        <v>5.2939999999999996</v>
      </c>
      <c r="I2137" s="3">
        <v>21.175999999999998</v>
      </c>
      <c r="J2137" s="3">
        <f>Table1[[#This Row],[قيمة الفاتورة]]*0.94-Table1[[#This Row],[قيمة المشاركة]]</f>
        <v>19.587799999999998</v>
      </c>
      <c r="L2137" s="3" t="str">
        <f t="shared" si="33"/>
        <v/>
      </c>
      <c r="N2137" t="s">
        <v>328</v>
      </c>
    </row>
    <row r="2138" spans="1:14" x14ac:dyDescent="0.3">
      <c r="A2138">
        <v>418</v>
      </c>
      <c r="B2138" t="s">
        <v>4303</v>
      </c>
      <c r="C2138" t="s">
        <v>3265</v>
      </c>
      <c r="D2138" t="s">
        <v>4304</v>
      </c>
      <c r="E2138" t="s">
        <v>17</v>
      </c>
      <c r="F2138" t="s">
        <v>4299</v>
      </c>
      <c r="G2138" s="3">
        <v>19.98</v>
      </c>
      <c r="H2138" s="3">
        <v>3.996</v>
      </c>
      <c r="I2138" s="3">
        <v>15.984</v>
      </c>
      <c r="J2138" s="3">
        <f>Table1[[#This Row],[قيمة الفاتورة]]*0.94-Table1[[#This Row],[قيمة المشاركة]]</f>
        <v>14.785199999999998</v>
      </c>
      <c r="L2138" s="3" t="str">
        <f t="shared" si="33"/>
        <v/>
      </c>
      <c r="N2138" t="s">
        <v>328</v>
      </c>
    </row>
    <row r="2139" spans="1:14" x14ac:dyDescent="0.3">
      <c r="A2139">
        <v>102</v>
      </c>
      <c r="B2139" t="s">
        <v>308</v>
      </c>
      <c r="C2139" t="s">
        <v>309</v>
      </c>
      <c r="D2139" t="s">
        <v>4305</v>
      </c>
      <c r="E2139" t="s">
        <v>23</v>
      </c>
      <c r="F2139" t="s">
        <v>4306</v>
      </c>
      <c r="G2139" s="3">
        <v>1.88</v>
      </c>
      <c r="H2139" s="3">
        <v>0</v>
      </c>
      <c r="I2139" s="3">
        <v>1.88</v>
      </c>
      <c r="J2139" s="3">
        <f>Table1[[#This Row],[قيمة الفاتورة]]*0.94-Table1[[#This Row],[قيمة المشاركة]]</f>
        <v>1.7671999999999999</v>
      </c>
      <c r="L2139" s="3" t="str">
        <f t="shared" si="33"/>
        <v/>
      </c>
      <c r="N2139" t="s">
        <v>19</v>
      </c>
    </row>
    <row r="2140" spans="1:14" x14ac:dyDescent="0.3">
      <c r="A2140">
        <v>101</v>
      </c>
      <c r="B2140" t="s">
        <v>1389</v>
      </c>
      <c r="C2140" t="s">
        <v>1390</v>
      </c>
      <c r="D2140" t="s">
        <v>4307</v>
      </c>
      <c r="E2140" t="s">
        <v>23</v>
      </c>
      <c r="F2140" t="s">
        <v>4306</v>
      </c>
      <c r="G2140" s="3">
        <v>22.77</v>
      </c>
      <c r="H2140" s="3">
        <v>0</v>
      </c>
      <c r="I2140" s="3">
        <v>22.77</v>
      </c>
      <c r="J2140" s="3">
        <f>Table1[[#This Row],[قيمة الفاتورة]]*0.94-Table1[[#This Row],[قيمة المشاركة]]</f>
        <v>21.403799999999997</v>
      </c>
      <c r="L2140" s="3" t="str">
        <f t="shared" si="33"/>
        <v/>
      </c>
      <c r="N2140" t="s">
        <v>19</v>
      </c>
    </row>
    <row r="2141" spans="1:14" x14ac:dyDescent="0.3">
      <c r="A2141">
        <v>419</v>
      </c>
      <c r="B2141" t="s">
        <v>4308</v>
      </c>
      <c r="C2141" t="s">
        <v>4309</v>
      </c>
      <c r="D2141" t="s">
        <v>4310</v>
      </c>
      <c r="E2141" t="s">
        <v>23</v>
      </c>
      <c r="F2141" t="s">
        <v>4306</v>
      </c>
      <c r="G2141" s="3">
        <v>18.29</v>
      </c>
      <c r="H2141" s="3">
        <v>0</v>
      </c>
      <c r="I2141" s="3">
        <v>18.29</v>
      </c>
      <c r="J2141" s="3">
        <f>Table1[[#This Row],[قيمة الفاتورة]]*0.94-Table1[[#This Row],[قيمة المشاركة]]</f>
        <v>17.192599999999999</v>
      </c>
      <c r="L2141" s="3" t="str">
        <f t="shared" si="33"/>
        <v/>
      </c>
      <c r="N2141" t="s">
        <v>19</v>
      </c>
    </row>
    <row r="2142" spans="1:14" x14ac:dyDescent="0.3">
      <c r="A2142">
        <v>421</v>
      </c>
      <c r="B2142" t="s">
        <v>644</v>
      </c>
      <c r="C2142" t="s">
        <v>645</v>
      </c>
      <c r="D2142" t="s">
        <v>4311</v>
      </c>
      <c r="E2142" t="s">
        <v>23</v>
      </c>
      <c r="F2142" t="s">
        <v>4312</v>
      </c>
      <c r="G2142" s="3">
        <v>16.465</v>
      </c>
      <c r="H2142" s="3">
        <v>0</v>
      </c>
      <c r="I2142" s="3">
        <v>16.465</v>
      </c>
      <c r="J2142" s="3">
        <f>Table1[[#This Row],[قيمة الفاتورة]]*0.94-Table1[[#This Row],[قيمة المشاركة]]</f>
        <v>15.477099999999998</v>
      </c>
      <c r="L2142" s="3" t="str">
        <f t="shared" si="33"/>
        <v/>
      </c>
      <c r="N2142" t="s">
        <v>19</v>
      </c>
    </row>
    <row r="2143" spans="1:14" x14ac:dyDescent="0.3">
      <c r="A2143">
        <v>420</v>
      </c>
      <c r="B2143" t="s">
        <v>139</v>
      </c>
      <c r="C2143" t="s">
        <v>2572</v>
      </c>
      <c r="D2143" t="s">
        <v>4313</v>
      </c>
      <c r="E2143" t="s">
        <v>17</v>
      </c>
      <c r="F2143" t="s">
        <v>4312</v>
      </c>
      <c r="G2143" s="3">
        <v>6.57</v>
      </c>
      <c r="H2143" s="3">
        <v>0</v>
      </c>
      <c r="I2143" s="3">
        <v>6.57</v>
      </c>
      <c r="J2143" s="3">
        <f>Table1[[#This Row],[قيمة الفاتورة]]*0.94-Table1[[#This Row],[قيمة المشاركة]]</f>
        <v>6.1757999999999997</v>
      </c>
      <c r="L2143" s="3" t="str">
        <f t="shared" si="33"/>
        <v/>
      </c>
      <c r="N2143" t="s">
        <v>19</v>
      </c>
    </row>
    <row r="2144" spans="1:14" x14ac:dyDescent="0.3">
      <c r="A2144">
        <v>105</v>
      </c>
      <c r="B2144" t="s">
        <v>2812</v>
      </c>
      <c r="C2144" t="s">
        <v>2813</v>
      </c>
      <c r="D2144" t="s">
        <v>4314</v>
      </c>
      <c r="E2144" t="s">
        <v>23</v>
      </c>
      <c r="F2144" t="s">
        <v>4315</v>
      </c>
      <c r="G2144" s="3">
        <v>41.87</v>
      </c>
      <c r="H2144" s="3">
        <v>8.3740000000000006</v>
      </c>
      <c r="I2144" s="3">
        <v>33.496000000000002</v>
      </c>
      <c r="J2144" s="3">
        <f>Table1[[#This Row],[قيمة الفاتورة]]*0.94-Table1[[#This Row],[قيمة المشاركة]]</f>
        <v>30.983799999999995</v>
      </c>
      <c r="L2144" s="3" t="str">
        <f t="shared" si="33"/>
        <v/>
      </c>
      <c r="N2144" t="s">
        <v>328</v>
      </c>
    </row>
    <row r="2145" spans="1:14" x14ac:dyDescent="0.3">
      <c r="A2145">
        <v>104</v>
      </c>
      <c r="B2145" t="s">
        <v>2815</v>
      </c>
      <c r="C2145" t="s">
        <v>4316</v>
      </c>
      <c r="D2145" t="s">
        <v>4317</v>
      </c>
      <c r="E2145" t="s">
        <v>23</v>
      </c>
      <c r="F2145" t="s">
        <v>4315</v>
      </c>
      <c r="G2145" s="3">
        <v>34.97</v>
      </c>
      <c r="H2145" s="3">
        <v>6.9939999999999998</v>
      </c>
      <c r="I2145" s="3">
        <v>27.975999999999999</v>
      </c>
      <c r="J2145" s="3">
        <f>Table1[[#This Row],[قيمة الفاتورة]]*0.94-Table1[[#This Row],[قيمة المشاركة]]</f>
        <v>25.877800000000001</v>
      </c>
      <c r="L2145" s="3" t="str">
        <f t="shared" si="33"/>
        <v/>
      </c>
      <c r="N2145" t="s">
        <v>328</v>
      </c>
    </row>
    <row r="2146" spans="1:14" x14ac:dyDescent="0.3">
      <c r="A2146">
        <v>103</v>
      </c>
      <c r="B2146" t="s">
        <v>3821</v>
      </c>
      <c r="C2146" t="s">
        <v>472</v>
      </c>
      <c r="D2146" t="s">
        <v>4318</v>
      </c>
      <c r="E2146" t="s">
        <v>17</v>
      </c>
      <c r="F2146" t="s">
        <v>4315</v>
      </c>
      <c r="G2146" s="3">
        <v>44.29</v>
      </c>
      <c r="H2146" s="3">
        <v>8.8580000000000005</v>
      </c>
      <c r="I2146" s="3">
        <v>35.432000000000002</v>
      </c>
      <c r="J2146" s="3">
        <f>Table1[[#This Row],[قيمة الفاتورة]]*0.94-Table1[[#This Row],[قيمة المشاركة]]</f>
        <v>32.774599999999992</v>
      </c>
      <c r="L2146" s="3" t="str">
        <f t="shared" si="33"/>
        <v/>
      </c>
      <c r="N2146" t="s">
        <v>328</v>
      </c>
    </row>
    <row r="2147" spans="1:14" x14ac:dyDescent="0.3">
      <c r="A2147">
        <v>422</v>
      </c>
      <c r="B2147" t="s">
        <v>329</v>
      </c>
      <c r="C2147" t="s">
        <v>330</v>
      </c>
      <c r="D2147" t="s">
        <v>4319</v>
      </c>
      <c r="E2147" t="s">
        <v>17</v>
      </c>
      <c r="F2147" t="s">
        <v>4320</v>
      </c>
      <c r="G2147" s="3">
        <v>17.68</v>
      </c>
      <c r="H2147" s="3">
        <v>2.6520000000000001</v>
      </c>
      <c r="I2147" s="3">
        <v>15.028</v>
      </c>
      <c r="J2147" s="3">
        <f>Table1[[#This Row],[قيمة الفاتورة]]*0.94-Table1[[#This Row],[قيمة المشاركة]]</f>
        <v>13.967199999999998</v>
      </c>
      <c r="L2147" s="3" t="str">
        <f t="shared" si="33"/>
        <v/>
      </c>
      <c r="N2147" t="s">
        <v>19</v>
      </c>
    </row>
    <row r="2148" spans="1:14" x14ac:dyDescent="0.3">
      <c r="A2148">
        <v>107</v>
      </c>
      <c r="B2148" t="s">
        <v>4321</v>
      </c>
      <c r="C2148" t="s">
        <v>4322</v>
      </c>
      <c r="D2148" t="s">
        <v>4323</v>
      </c>
      <c r="E2148" t="s">
        <v>23</v>
      </c>
      <c r="F2148" t="s">
        <v>4320</v>
      </c>
      <c r="G2148" s="3">
        <v>12.57</v>
      </c>
      <c r="H2148" s="3">
        <v>0</v>
      </c>
      <c r="I2148" s="3">
        <v>12.57</v>
      </c>
      <c r="J2148" s="3">
        <f>Table1[[#This Row],[قيمة الفاتورة]]*0.94-Table1[[#This Row],[قيمة المشاركة]]</f>
        <v>11.815799999999999</v>
      </c>
      <c r="L2148" s="3" t="str">
        <f t="shared" si="33"/>
        <v/>
      </c>
      <c r="N2148" t="s">
        <v>19</v>
      </c>
    </row>
    <row r="2149" spans="1:14" x14ac:dyDescent="0.3">
      <c r="A2149">
        <v>423</v>
      </c>
      <c r="B2149" t="s">
        <v>4308</v>
      </c>
      <c r="C2149" t="s">
        <v>4309</v>
      </c>
      <c r="D2149" t="s">
        <v>4324</v>
      </c>
      <c r="E2149" t="s">
        <v>23</v>
      </c>
      <c r="F2149" t="s">
        <v>4320</v>
      </c>
      <c r="G2149" s="3">
        <v>10.58</v>
      </c>
      <c r="H2149" s="3">
        <v>0</v>
      </c>
      <c r="I2149" s="3">
        <v>10.58</v>
      </c>
      <c r="J2149" s="3">
        <f>Table1[[#This Row],[قيمة الفاتورة]]*0.94-Table1[[#This Row],[قيمة المشاركة]]</f>
        <v>9.9451999999999998</v>
      </c>
      <c r="L2149" s="3" t="str">
        <f t="shared" si="33"/>
        <v/>
      </c>
      <c r="N2149" t="s">
        <v>19</v>
      </c>
    </row>
    <row r="2150" spans="1:14" x14ac:dyDescent="0.3">
      <c r="A2150">
        <v>108</v>
      </c>
      <c r="B2150" t="s">
        <v>2805</v>
      </c>
      <c r="C2150" t="s">
        <v>2806</v>
      </c>
      <c r="D2150" t="s">
        <v>4325</v>
      </c>
      <c r="E2150" t="s">
        <v>17</v>
      </c>
      <c r="F2150" t="s">
        <v>4320</v>
      </c>
      <c r="G2150" s="3">
        <v>52.93</v>
      </c>
      <c r="H2150" s="3">
        <v>10.586</v>
      </c>
      <c r="I2150" s="3">
        <v>42.344000000000001</v>
      </c>
      <c r="J2150" s="3">
        <f>Table1[[#This Row],[قيمة الفاتورة]]*0.94-Table1[[#This Row],[قيمة المشاركة]]</f>
        <v>39.168199999999999</v>
      </c>
      <c r="L2150" s="3" t="str">
        <f t="shared" si="33"/>
        <v/>
      </c>
      <c r="N2150" t="s">
        <v>328</v>
      </c>
    </row>
    <row r="2151" spans="1:14" x14ac:dyDescent="0.3">
      <c r="A2151">
        <v>106</v>
      </c>
      <c r="B2151" t="s">
        <v>4326</v>
      </c>
      <c r="C2151" t="s">
        <v>649</v>
      </c>
      <c r="D2151" t="s">
        <v>4327</v>
      </c>
      <c r="E2151" t="s">
        <v>23</v>
      </c>
      <c r="F2151" t="s">
        <v>4320</v>
      </c>
      <c r="G2151" s="3">
        <v>11.95</v>
      </c>
      <c r="H2151" s="3">
        <v>1.792</v>
      </c>
      <c r="I2151" s="3">
        <v>10.157999999999999</v>
      </c>
      <c r="J2151" s="3">
        <f>Table1[[#This Row],[قيمة الفاتورة]]*0.94-Table1[[#This Row],[قيمة المشاركة]]</f>
        <v>9.4409999999999989</v>
      </c>
      <c r="L2151" s="3" t="str">
        <f t="shared" si="33"/>
        <v/>
      </c>
      <c r="N2151" t="s">
        <v>19</v>
      </c>
    </row>
    <row r="2152" spans="1:14" x14ac:dyDescent="0.3">
      <c r="A2152">
        <v>110</v>
      </c>
      <c r="B2152" t="s">
        <v>1411</v>
      </c>
      <c r="C2152" t="s">
        <v>1412</v>
      </c>
      <c r="D2152" t="s">
        <v>4328</v>
      </c>
      <c r="E2152" t="s">
        <v>23</v>
      </c>
      <c r="F2152" t="s">
        <v>4329</v>
      </c>
      <c r="G2152" s="3">
        <v>5.16</v>
      </c>
      <c r="H2152" s="3">
        <v>0</v>
      </c>
      <c r="I2152" s="3">
        <v>5.16</v>
      </c>
      <c r="J2152" s="3">
        <f>Table1[[#This Row],[قيمة الفاتورة]]*0.94-Table1[[#This Row],[قيمة المشاركة]]</f>
        <v>4.8503999999999996</v>
      </c>
      <c r="L2152" s="3" t="str">
        <f t="shared" si="33"/>
        <v/>
      </c>
      <c r="N2152" t="s">
        <v>19</v>
      </c>
    </row>
    <row r="2153" spans="1:14" x14ac:dyDescent="0.3">
      <c r="A2153">
        <v>109</v>
      </c>
      <c r="B2153" t="s">
        <v>1627</v>
      </c>
      <c r="C2153" t="s">
        <v>1628</v>
      </c>
      <c r="D2153" t="s">
        <v>4330</v>
      </c>
      <c r="E2153" t="s">
        <v>17</v>
      </c>
      <c r="F2153" t="s">
        <v>4329</v>
      </c>
      <c r="G2153" s="3">
        <v>10.44</v>
      </c>
      <c r="H2153" s="3">
        <v>0</v>
      </c>
      <c r="I2153" s="3">
        <v>10.44</v>
      </c>
      <c r="J2153" s="3">
        <f>Table1[[#This Row],[قيمة الفاتورة]]*0.94-Table1[[#This Row],[قيمة المشاركة]]</f>
        <v>9.8135999999999992</v>
      </c>
      <c r="L2153" s="3" t="str">
        <f t="shared" si="33"/>
        <v/>
      </c>
      <c r="N2153" t="s">
        <v>19</v>
      </c>
    </row>
    <row r="2154" spans="1:14" x14ac:dyDescent="0.3">
      <c r="A2154">
        <v>111</v>
      </c>
      <c r="B2154" t="s">
        <v>3553</v>
      </c>
      <c r="C2154" t="s">
        <v>3554</v>
      </c>
      <c r="D2154" t="s">
        <v>4331</v>
      </c>
      <c r="E2154" t="s">
        <v>17</v>
      </c>
      <c r="F2154" t="s">
        <v>4332</v>
      </c>
      <c r="G2154" s="3">
        <v>23.04</v>
      </c>
      <c r="H2154" s="3">
        <v>4.6079999999999997</v>
      </c>
      <c r="I2154" s="3">
        <v>18.431999999999999</v>
      </c>
      <c r="J2154" s="3">
        <f>Table1[[#This Row],[قيمة الفاتورة]]*0.94-Table1[[#This Row],[قيمة المشاركة]]</f>
        <v>17.049599999999998</v>
      </c>
      <c r="L2154" s="3" t="str">
        <f t="shared" si="33"/>
        <v/>
      </c>
      <c r="N2154" t="s">
        <v>328</v>
      </c>
    </row>
    <row r="2155" spans="1:14" x14ac:dyDescent="0.3">
      <c r="A2155">
        <v>49</v>
      </c>
      <c r="B2155" t="s">
        <v>4191</v>
      </c>
      <c r="C2155" t="s">
        <v>3494</v>
      </c>
      <c r="D2155">
        <v>12615750</v>
      </c>
      <c r="E2155" t="s">
        <v>17</v>
      </c>
      <c r="F2155" s="6">
        <v>46115</v>
      </c>
      <c r="G2155" s="3">
        <v>53.77</v>
      </c>
      <c r="H2155" s="3">
        <f>Table1[[#This Row],[قيمة الفاتورة]]-Table1[[#This Row],[صافي القيمة]]</f>
        <v>10.754000000000005</v>
      </c>
      <c r="I2155" s="3">
        <v>43.015999999999998</v>
      </c>
      <c r="J2155" s="3">
        <f>Table1[[#This Row],[قيمة الفاتورة]]*0.94-Table1[[#This Row],[قيمة المشاركة]]</f>
        <v>39.789799999999993</v>
      </c>
      <c r="K2155" s="3">
        <v>39.79</v>
      </c>
      <c r="L2155" s="3">
        <f t="shared" si="33"/>
        <v>-2.0000000000663931E-4</v>
      </c>
      <c r="M2155" s="6">
        <v>46188</v>
      </c>
      <c r="N2155" s="6" t="s">
        <v>328</v>
      </c>
    </row>
    <row r="2156" spans="1:14" x14ac:dyDescent="0.3">
      <c r="A2156">
        <v>87</v>
      </c>
      <c r="B2156" t="s">
        <v>4273</v>
      </c>
      <c r="C2156" t="s">
        <v>620</v>
      </c>
      <c r="D2156">
        <v>29032026</v>
      </c>
      <c r="E2156" t="s">
        <v>17</v>
      </c>
      <c r="F2156" s="6">
        <v>46110</v>
      </c>
      <c r="G2156" s="3">
        <v>64.81</v>
      </c>
      <c r="H2156" s="3">
        <f>Table1[[#This Row],[قيمة الفاتورة]]-Table1[[#This Row],[صافي القيمة]]</f>
        <v>12.962000000000003</v>
      </c>
      <c r="I2156" s="3">
        <v>51.847999999999999</v>
      </c>
      <c r="J2156" s="3">
        <f>Table1[[#This Row],[قيمة الفاتورة]]*0.94-Table1[[#This Row],[قيمة المشاركة]]</f>
        <v>47.959399999999995</v>
      </c>
      <c r="K2156" s="3">
        <v>47.957999999999998</v>
      </c>
      <c r="L2156" s="3">
        <f t="shared" si="33"/>
        <v>1.3999999999967372E-3</v>
      </c>
      <c r="M2156" s="6">
        <v>46175</v>
      </c>
      <c r="N2156" s="6" t="s">
        <v>328</v>
      </c>
    </row>
    <row r="2157" spans="1:14" x14ac:dyDescent="0.3">
      <c r="A2157" s="7"/>
      <c r="B2157" s="7"/>
      <c r="C2157" s="7"/>
      <c r="D2157" s="7"/>
      <c r="E2157" s="7"/>
      <c r="F2157" s="7"/>
      <c r="G2157" s="8"/>
      <c r="H2157" s="8"/>
      <c r="I2157" s="8"/>
      <c r="J2157" s="8">
        <f>Table1[[#This Row],[قيمة الفاتورة]]*0.94-Table1[[#This Row],[قيمة المشاركة]]</f>
        <v>0</v>
      </c>
      <c r="L2157" s="3" t="str">
        <f t="shared" si="33"/>
        <v/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2026-07-13T13:09:04Z</cp:lastPrinted>
  <dcterms:created xsi:type="dcterms:W3CDTF">2026-07-08T13:57:19Z</dcterms:created>
  <dcterms:modified xsi:type="dcterms:W3CDTF">2026-07-13T16:14:50Z</dcterms:modified>
</cp:coreProperties>
</file>