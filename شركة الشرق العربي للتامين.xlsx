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rmacy_Operations\Insurance_Accounts\Insurance_Claims\"/>
    </mc:Choice>
  </mc:AlternateContent>
  <xr:revisionPtr revIDLastSave="0" documentId="13_ncr:1_{436D2EE8-DD14-4808-A87A-4A78D3042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9" i="1" l="1"/>
  <c r="J710" i="1"/>
  <c r="L710" i="1" s="1"/>
  <c r="J711" i="1"/>
  <c r="L711" i="1" s="1"/>
  <c r="J712" i="1"/>
  <c r="L712" i="1" s="1"/>
  <c r="J713" i="1"/>
  <c r="L713" i="1" s="1"/>
  <c r="J714" i="1"/>
  <c r="J715" i="1"/>
  <c r="L715" i="1" s="1"/>
  <c r="L709" i="1"/>
  <c r="L714" i="1"/>
  <c r="J677" i="1"/>
  <c r="J678" i="1"/>
  <c r="J679" i="1"/>
  <c r="J680" i="1"/>
  <c r="J681" i="1"/>
  <c r="J682" i="1"/>
  <c r="J683" i="1"/>
  <c r="J684" i="1"/>
  <c r="L684" i="1" s="1"/>
  <c r="J685" i="1"/>
  <c r="J686" i="1"/>
  <c r="J687" i="1"/>
  <c r="J688" i="1"/>
  <c r="J689" i="1"/>
  <c r="J690" i="1"/>
  <c r="J691" i="1"/>
  <c r="L691" i="1" s="1"/>
  <c r="J692" i="1"/>
  <c r="L692" i="1" s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L707" i="1" s="1"/>
  <c r="J708" i="1"/>
  <c r="L677" i="1"/>
  <c r="L678" i="1"/>
  <c r="L679" i="1"/>
  <c r="L680" i="1"/>
  <c r="L681" i="1"/>
  <c r="L682" i="1"/>
  <c r="L683" i="1"/>
  <c r="L685" i="1"/>
  <c r="L686" i="1"/>
  <c r="L687" i="1"/>
  <c r="L688" i="1"/>
  <c r="L689" i="1"/>
  <c r="L690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8" i="1"/>
  <c r="K339" i="1"/>
  <c r="K340" i="1"/>
  <c r="K344" i="1"/>
  <c r="K347" i="1"/>
  <c r="K348" i="1"/>
  <c r="K355" i="1"/>
  <c r="K356" i="1"/>
  <c r="K360" i="1"/>
  <c r="K363" i="1"/>
  <c r="K364" i="1"/>
  <c r="K368" i="1"/>
  <c r="K370" i="1"/>
  <c r="K371" i="1"/>
  <c r="K372" i="1"/>
  <c r="K376" i="1"/>
  <c r="K379" i="1"/>
  <c r="K380" i="1"/>
  <c r="K384" i="1"/>
  <c r="K386" i="1"/>
  <c r="K387" i="1"/>
  <c r="K394" i="1"/>
  <c r="K395" i="1"/>
  <c r="K396" i="1"/>
  <c r="K400" i="1"/>
  <c r="K402" i="1"/>
  <c r="K325" i="1"/>
  <c r="K326" i="1"/>
  <c r="K327" i="1"/>
  <c r="K331" i="1"/>
  <c r="K307" i="1"/>
  <c r="K312" i="1"/>
  <c r="K315" i="1"/>
  <c r="K293" i="1"/>
  <c r="K295" i="1"/>
  <c r="K296" i="1"/>
  <c r="K297" i="1"/>
  <c r="K277" i="1"/>
  <c r="K280" i="1"/>
  <c r="K288" i="1"/>
  <c r="K289" i="1"/>
  <c r="K253" i="1"/>
  <c r="K254" i="1"/>
  <c r="K259" i="1"/>
  <c r="K262" i="1"/>
  <c r="K263" i="1"/>
  <c r="K271" i="1"/>
  <c r="K218" i="1"/>
  <c r="K222" i="1"/>
  <c r="K226" i="1"/>
  <c r="K229" i="1"/>
  <c r="K236" i="1"/>
  <c r="K237" i="1"/>
  <c r="K238" i="1"/>
  <c r="K242" i="1"/>
  <c r="K245" i="1"/>
  <c r="K246" i="1"/>
  <c r="K202" i="1"/>
  <c r="K203" i="1"/>
  <c r="K204" i="1"/>
  <c r="K208" i="1"/>
  <c r="K211" i="1"/>
  <c r="K212" i="1"/>
  <c r="K216" i="1"/>
  <c r="K184" i="1"/>
  <c r="K188" i="1"/>
  <c r="K191" i="1"/>
  <c r="K192" i="1"/>
  <c r="K199" i="1"/>
  <c r="K161" i="1"/>
  <c r="K167" i="1"/>
  <c r="K169" i="1"/>
  <c r="K173" i="1"/>
  <c r="K175" i="1"/>
  <c r="K176" i="1"/>
  <c r="K177" i="1"/>
  <c r="K138" i="1"/>
  <c r="K147" i="1"/>
  <c r="K151" i="1"/>
  <c r="K154" i="1"/>
  <c r="K155" i="1"/>
  <c r="K159" i="1"/>
  <c r="K115" i="1"/>
  <c r="K119" i="1"/>
  <c r="K121" i="1"/>
  <c r="K122" i="1"/>
  <c r="K123" i="1"/>
  <c r="K131" i="1"/>
  <c r="K98" i="1"/>
  <c r="K100" i="1"/>
  <c r="K102" i="1"/>
  <c r="K109" i="1"/>
  <c r="K110" i="1"/>
  <c r="K86" i="1"/>
  <c r="K87" i="1"/>
  <c r="K91" i="1"/>
  <c r="K93" i="1"/>
  <c r="K94" i="1"/>
  <c r="K67" i="1"/>
  <c r="K68" i="1"/>
  <c r="K76" i="1"/>
  <c r="K77" i="1"/>
  <c r="K54" i="1"/>
  <c r="K62" i="1"/>
  <c r="K29" i="1"/>
  <c r="K30" i="1"/>
  <c r="K37" i="1"/>
  <c r="K38" i="1"/>
  <c r="K45" i="1"/>
  <c r="K46" i="1"/>
  <c r="K14" i="1"/>
  <c r="K16" i="1"/>
  <c r="K18" i="1"/>
  <c r="K22" i="1"/>
  <c r="J675" i="1"/>
  <c r="L675" i="1" s="1"/>
  <c r="J676" i="1"/>
  <c r="L676" i="1" s="1"/>
  <c r="J671" i="1"/>
  <c r="L671" i="1" s="1"/>
  <c r="J672" i="1"/>
  <c r="L672" i="1" s="1"/>
  <c r="J674" i="1"/>
  <c r="L674" i="1" s="1"/>
  <c r="J673" i="1"/>
  <c r="L673" i="1" s="1"/>
  <c r="J668" i="1"/>
  <c r="L668" i="1" s="1"/>
  <c r="J669" i="1"/>
  <c r="L669" i="1" s="1"/>
  <c r="J670" i="1"/>
  <c r="L670" i="1" s="1"/>
  <c r="J667" i="1"/>
  <c r="L667" i="1" s="1"/>
  <c r="J666" i="1"/>
  <c r="L666" i="1" s="1"/>
  <c r="J664" i="1"/>
  <c r="L664" i="1" s="1"/>
  <c r="J665" i="1"/>
  <c r="L665" i="1" s="1"/>
  <c r="J663" i="1"/>
  <c r="L663" i="1" s="1"/>
  <c r="J662" i="1"/>
  <c r="L662" i="1" s="1"/>
  <c r="J661" i="1"/>
  <c r="L661" i="1" s="1"/>
  <c r="J660" i="1"/>
  <c r="L660" i="1" s="1"/>
  <c r="J659" i="1"/>
  <c r="L659" i="1" s="1"/>
  <c r="J657" i="1"/>
  <c r="L657" i="1" s="1"/>
  <c r="J658" i="1"/>
  <c r="L658" i="1" s="1"/>
  <c r="J656" i="1"/>
  <c r="L656" i="1" s="1"/>
  <c r="J653" i="1"/>
  <c r="L653" i="1" s="1"/>
  <c r="J654" i="1"/>
  <c r="L654" i="1" s="1"/>
  <c r="J655" i="1"/>
  <c r="L655" i="1" s="1"/>
  <c r="J652" i="1"/>
  <c r="L652" i="1" s="1"/>
  <c r="J651" i="1"/>
  <c r="L651" i="1" s="1"/>
  <c r="J650" i="1"/>
  <c r="L650" i="1" s="1"/>
  <c r="J648" i="1"/>
  <c r="L648" i="1" s="1"/>
  <c r="J647" i="1"/>
  <c r="L647" i="1" s="1"/>
  <c r="J649" i="1"/>
  <c r="L649" i="1" s="1"/>
  <c r="J646" i="1"/>
  <c r="L646" i="1" s="1"/>
  <c r="J645" i="1"/>
  <c r="L645" i="1" s="1"/>
  <c r="J643" i="1"/>
  <c r="L643" i="1" s="1"/>
  <c r="J644" i="1"/>
  <c r="L644" i="1" s="1"/>
  <c r="J642" i="1"/>
  <c r="L642" i="1" s="1"/>
  <c r="J641" i="1"/>
  <c r="L641" i="1" s="1"/>
  <c r="J640" i="1"/>
  <c r="L640" i="1" s="1"/>
  <c r="J638" i="1"/>
  <c r="L638" i="1" s="1"/>
  <c r="J639" i="1"/>
  <c r="L639" i="1" s="1"/>
  <c r="J636" i="1"/>
  <c r="L636" i="1" s="1"/>
  <c r="J633" i="1"/>
  <c r="L633" i="1" s="1"/>
  <c r="J634" i="1"/>
  <c r="L634" i="1" s="1"/>
  <c r="J635" i="1"/>
  <c r="L635" i="1" s="1"/>
  <c r="J637" i="1"/>
  <c r="L637" i="1" s="1"/>
  <c r="J632" i="1"/>
  <c r="L632" i="1" s="1"/>
  <c r="J630" i="1"/>
  <c r="L630" i="1" s="1"/>
  <c r="J631" i="1"/>
  <c r="L631" i="1" s="1"/>
  <c r="J629" i="1"/>
  <c r="L629" i="1" s="1"/>
  <c r="J628" i="1"/>
  <c r="L628" i="1" s="1"/>
  <c r="J626" i="1"/>
  <c r="L626" i="1" s="1"/>
  <c r="J627" i="1"/>
  <c r="L627" i="1" s="1"/>
  <c r="J625" i="1"/>
  <c r="L625" i="1" s="1"/>
  <c r="J624" i="1"/>
  <c r="L624" i="1" s="1"/>
  <c r="J623" i="1"/>
  <c r="L623" i="1" s="1"/>
  <c r="J622" i="1"/>
  <c r="L622" i="1" s="1"/>
  <c r="J617" i="1"/>
  <c r="L617" i="1" s="1"/>
  <c r="J618" i="1"/>
  <c r="L618" i="1" s="1"/>
  <c r="J616" i="1"/>
  <c r="L616" i="1" s="1"/>
  <c r="J621" i="1"/>
  <c r="L621" i="1" s="1"/>
  <c r="J619" i="1"/>
  <c r="L619" i="1" s="1"/>
  <c r="J620" i="1"/>
  <c r="L620" i="1" s="1"/>
  <c r="J613" i="1"/>
  <c r="L613" i="1" s="1"/>
  <c r="J614" i="1"/>
  <c r="L614" i="1" s="1"/>
  <c r="J615" i="1"/>
  <c r="L615" i="1" s="1"/>
  <c r="J610" i="1"/>
  <c r="L610" i="1" s="1"/>
  <c r="J611" i="1"/>
  <c r="L611" i="1" s="1"/>
  <c r="J612" i="1"/>
  <c r="L612" i="1" s="1"/>
  <c r="J609" i="1"/>
  <c r="L609" i="1" s="1"/>
  <c r="J607" i="1"/>
  <c r="L607" i="1" s="1"/>
  <c r="J608" i="1"/>
  <c r="L608" i="1" s="1"/>
  <c r="J606" i="1"/>
  <c r="L606" i="1" s="1"/>
  <c r="J604" i="1"/>
  <c r="L604" i="1" s="1"/>
  <c r="J605" i="1"/>
  <c r="L605" i="1" s="1"/>
  <c r="J601" i="1"/>
  <c r="L601" i="1" s="1"/>
  <c r="J603" i="1"/>
  <c r="L603" i="1" s="1"/>
  <c r="J602" i="1"/>
  <c r="L602" i="1" s="1"/>
  <c r="J599" i="1"/>
  <c r="L599" i="1" s="1"/>
  <c r="J600" i="1"/>
  <c r="L600" i="1" s="1"/>
  <c r="J598" i="1"/>
  <c r="L598" i="1" s="1"/>
  <c r="J596" i="1"/>
  <c r="L596" i="1" s="1"/>
  <c r="J597" i="1"/>
  <c r="L597" i="1" s="1"/>
  <c r="J595" i="1"/>
  <c r="L595" i="1" s="1"/>
  <c r="J592" i="1"/>
  <c r="L592" i="1" s="1"/>
  <c r="J593" i="1"/>
  <c r="L593" i="1" s="1"/>
  <c r="J594" i="1"/>
  <c r="L594" i="1" s="1"/>
  <c r="J589" i="1"/>
  <c r="L589" i="1" s="1"/>
  <c r="J590" i="1"/>
  <c r="L590" i="1" s="1"/>
  <c r="J591" i="1"/>
  <c r="L591" i="1" s="1"/>
  <c r="J588" i="1"/>
  <c r="L588" i="1" s="1"/>
  <c r="J587" i="1"/>
  <c r="L587" i="1" s="1"/>
  <c r="J585" i="1"/>
  <c r="L585" i="1" s="1"/>
  <c r="J586" i="1"/>
  <c r="L586" i="1" s="1"/>
  <c r="J584" i="1"/>
  <c r="L584" i="1" s="1"/>
  <c r="J583" i="1"/>
  <c r="L583" i="1" s="1"/>
  <c r="J578" i="1"/>
  <c r="L578" i="1" s="1"/>
  <c r="J579" i="1"/>
  <c r="L579" i="1" s="1"/>
  <c r="J580" i="1"/>
  <c r="L580" i="1" s="1"/>
  <c r="J581" i="1"/>
  <c r="L581" i="1" s="1"/>
  <c r="J582" i="1"/>
  <c r="L582" i="1" s="1"/>
  <c r="J575" i="1"/>
  <c r="L575" i="1" s="1"/>
  <c r="J574" i="1"/>
  <c r="L574" i="1" s="1"/>
  <c r="J576" i="1"/>
  <c r="L576" i="1" s="1"/>
  <c r="J577" i="1"/>
  <c r="L577" i="1" s="1"/>
  <c r="J573" i="1"/>
  <c r="L573" i="1" s="1"/>
  <c r="J572" i="1"/>
  <c r="L572" i="1" s="1"/>
  <c r="J571" i="1"/>
  <c r="L571" i="1" s="1"/>
  <c r="J570" i="1"/>
  <c r="L570" i="1" s="1"/>
  <c r="J569" i="1"/>
  <c r="L569" i="1" s="1"/>
  <c r="J562" i="1"/>
  <c r="L562" i="1" s="1"/>
  <c r="J563" i="1"/>
  <c r="L563" i="1" s="1"/>
  <c r="J566" i="1"/>
  <c r="L566" i="1" s="1"/>
  <c r="J564" i="1"/>
  <c r="L564" i="1" s="1"/>
  <c r="J567" i="1"/>
  <c r="L567" i="1" s="1"/>
  <c r="J565" i="1"/>
  <c r="L565" i="1" s="1"/>
  <c r="J568" i="1"/>
  <c r="L568" i="1" s="1"/>
  <c r="J558" i="1"/>
  <c r="L558" i="1" s="1"/>
  <c r="J557" i="1"/>
  <c r="L557" i="1" s="1"/>
  <c r="J559" i="1"/>
  <c r="L559" i="1" s="1"/>
  <c r="J560" i="1"/>
  <c r="L560" i="1" s="1"/>
  <c r="J561" i="1"/>
  <c r="L561" i="1" s="1"/>
  <c r="J555" i="1"/>
  <c r="L555" i="1" s="1"/>
  <c r="J556" i="1"/>
  <c r="L556" i="1" s="1"/>
  <c r="J551" i="1"/>
  <c r="L551" i="1" s="1"/>
  <c r="J552" i="1"/>
  <c r="L552" i="1" s="1"/>
  <c r="J553" i="1"/>
  <c r="L553" i="1" s="1"/>
  <c r="J554" i="1"/>
  <c r="L554" i="1" s="1"/>
  <c r="J550" i="1"/>
  <c r="L550" i="1" s="1"/>
  <c r="J548" i="1"/>
  <c r="L548" i="1" s="1"/>
  <c r="J549" i="1"/>
  <c r="L549" i="1" s="1"/>
  <c r="J547" i="1"/>
  <c r="L547" i="1" s="1"/>
  <c r="J546" i="1"/>
  <c r="L546" i="1" s="1"/>
  <c r="J545" i="1"/>
  <c r="L545" i="1" s="1"/>
  <c r="J544" i="1"/>
  <c r="L544" i="1" s="1"/>
  <c r="J543" i="1"/>
  <c r="L543" i="1" s="1"/>
  <c r="J541" i="1"/>
  <c r="L541" i="1" s="1"/>
  <c r="J542" i="1"/>
  <c r="L542" i="1" s="1"/>
  <c r="J538" i="1"/>
  <c r="L538" i="1" s="1"/>
  <c r="J539" i="1"/>
  <c r="L539" i="1" s="1"/>
  <c r="J540" i="1"/>
  <c r="L540" i="1" s="1"/>
  <c r="J537" i="1"/>
  <c r="L537" i="1" s="1"/>
  <c r="J529" i="1"/>
  <c r="L529" i="1" s="1"/>
  <c r="J530" i="1"/>
  <c r="L530" i="1" s="1"/>
  <c r="J533" i="1"/>
  <c r="L533" i="1" s="1"/>
  <c r="J531" i="1"/>
  <c r="L531" i="1" s="1"/>
  <c r="J534" i="1"/>
  <c r="L534" i="1" s="1"/>
  <c r="J532" i="1"/>
  <c r="L532" i="1" s="1"/>
  <c r="J535" i="1"/>
  <c r="L535" i="1" s="1"/>
  <c r="J536" i="1"/>
  <c r="L536" i="1" s="1"/>
  <c r="J527" i="1"/>
  <c r="L527" i="1" s="1"/>
  <c r="J528" i="1"/>
  <c r="L528" i="1" s="1"/>
  <c r="J525" i="1"/>
  <c r="L525" i="1" s="1"/>
  <c r="J526" i="1"/>
  <c r="L526" i="1" s="1"/>
  <c r="J520" i="1"/>
  <c r="L520" i="1" s="1"/>
  <c r="J521" i="1"/>
  <c r="L521" i="1" s="1"/>
  <c r="J522" i="1"/>
  <c r="L522" i="1" s="1"/>
  <c r="J523" i="1"/>
  <c r="L523" i="1" s="1"/>
  <c r="J524" i="1"/>
  <c r="L524" i="1" s="1"/>
  <c r="J518" i="1"/>
  <c r="L518" i="1" s="1"/>
  <c r="J519" i="1"/>
  <c r="L519" i="1" s="1"/>
  <c r="J517" i="1"/>
  <c r="L517" i="1" s="1"/>
  <c r="J515" i="1"/>
  <c r="L515" i="1" s="1"/>
  <c r="J516" i="1"/>
  <c r="L516" i="1" s="1"/>
  <c r="J513" i="1"/>
  <c r="L513" i="1" s="1"/>
  <c r="J514" i="1"/>
  <c r="L514" i="1" s="1"/>
  <c r="J510" i="1"/>
  <c r="L510" i="1" s="1"/>
  <c r="J512" i="1"/>
  <c r="L512" i="1" s="1"/>
  <c r="J511" i="1"/>
  <c r="L511" i="1" s="1"/>
  <c r="J509" i="1"/>
  <c r="L509" i="1" s="1"/>
  <c r="J508" i="1"/>
  <c r="L508" i="1" s="1"/>
  <c r="J504" i="1"/>
  <c r="L504" i="1" s="1"/>
  <c r="J505" i="1"/>
  <c r="L505" i="1" s="1"/>
  <c r="J506" i="1"/>
  <c r="L506" i="1" s="1"/>
  <c r="J507" i="1"/>
  <c r="L507" i="1" s="1"/>
  <c r="J502" i="1"/>
  <c r="L502" i="1" s="1"/>
  <c r="J503" i="1"/>
  <c r="L503" i="1" s="1"/>
  <c r="J501" i="1"/>
  <c r="L501" i="1" s="1"/>
  <c r="J498" i="1"/>
  <c r="L498" i="1" s="1"/>
  <c r="J499" i="1"/>
  <c r="L499" i="1" s="1"/>
  <c r="J500" i="1"/>
  <c r="L500" i="1" s="1"/>
  <c r="J497" i="1"/>
  <c r="L497" i="1" s="1"/>
  <c r="J496" i="1"/>
  <c r="L496" i="1" s="1"/>
  <c r="J493" i="1"/>
  <c r="L493" i="1" s="1"/>
  <c r="J494" i="1"/>
  <c r="L494" i="1" s="1"/>
  <c r="J495" i="1"/>
  <c r="L495" i="1" s="1"/>
  <c r="J491" i="1"/>
  <c r="L491" i="1" s="1"/>
  <c r="J492" i="1"/>
  <c r="L492" i="1" s="1"/>
  <c r="J488" i="1"/>
  <c r="L488" i="1" s="1"/>
  <c r="J489" i="1"/>
  <c r="L489" i="1" s="1"/>
  <c r="J490" i="1"/>
  <c r="L490" i="1" s="1"/>
  <c r="J487" i="1"/>
  <c r="L487" i="1" s="1"/>
  <c r="J486" i="1"/>
  <c r="L486" i="1" s="1"/>
  <c r="J485" i="1"/>
  <c r="L485" i="1" s="1"/>
  <c r="J483" i="1"/>
  <c r="L483" i="1" s="1"/>
  <c r="J484" i="1"/>
  <c r="L484" i="1" s="1"/>
  <c r="J482" i="1"/>
  <c r="L482" i="1" s="1"/>
  <c r="J481" i="1"/>
  <c r="L481" i="1" s="1"/>
  <c r="J480" i="1"/>
  <c r="L480" i="1" s="1"/>
  <c r="J477" i="1"/>
  <c r="L477" i="1" s="1"/>
  <c r="J478" i="1"/>
  <c r="L478" i="1" s="1"/>
  <c r="J479" i="1"/>
  <c r="L479" i="1" s="1"/>
  <c r="J476" i="1"/>
  <c r="L476" i="1" s="1"/>
  <c r="J475" i="1"/>
  <c r="L475" i="1" s="1"/>
  <c r="J474" i="1"/>
  <c r="L474" i="1" s="1"/>
  <c r="J473" i="1"/>
  <c r="L473" i="1" s="1"/>
  <c r="J471" i="1"/>
  <c r="L471" i="1" s="1"/>
  <c r="J472" i="1"/>
  <c r="L472" i="1" s="1"/>
  <c r="J466" i="1"/>
  <c r="L466" i="1" s="1"/>
  <c r="J467" i="1"/>
  <c r="L467" i="1" s="1"/>
  <c r="J468" i="1"/>
  <c r="L468" i="1" s="1"/>
  <c r="J469" i="1"/>
  <c r="L469" i="1" s="1"/>
  <c r="J470" i="1"/>
  <c r="L470" i="1" s="1"/>
  <c r="J465" i="1"/>
  <c r="L465" i="1" s="1"/>
  <c r="J464" i="1"/>
  <c r="L464" i="1" s="1"/>
  <c r="J460" i="1"/>
  <c r="L460" i="1" s="1"/>
  <c r="J461" i="1"/>
  <c r="L461" i="1" s="1"/>
  <c r="J463" i="1"/>
  <c r="L463" i="1" s="1"/>
  <c r="J462" i="1"/>
  <c r="L462" i="1" s="1"/>
  <c r="J459" i="1"/>
  <c r="L459" i="1" s="1"/>
  <c r="J458" i="1"/>
  <c r="L458" i="1" s="1"/>
  <c r="J456" i="1"/>
  <c r="L456" i="1" s="1"/>
  <c r="J457" i="1"/>
  <c r="L457" i="1" s="1"/>
  <c r="J455" i="1"/>
  <c r="L455" i="1" s="1"/>
  <c r="J453" i="1"/>
  <c r="L453" i="1" s="1"/>
  <c r="J454" i="1"/>
  <c r="L454" i="1" s="1"/>
  <c r="J451" i="1"/>
  <c r="L451" i="1" s="1"/>
  <c r="J452" i="1"/>
  <c r="L452" i="1" s="1"/>
  <c r="J450" i="1"/>
  <c r="L450" i="1" s="1"/>
  <c r="J448" i="1"/>
  <c r="L448" i="1" s="1"/>
  <c r="J447" i="1"/>
  <c r="L447" i="1" s="1"/>
  <c r="J449" i="1"/>
  <c r="L449" i="1" s="1"/>
  <c r="J445" i="1"/>
  <c r="L445" i="1" s="1"/>
  <c r="J444" i="1"/>
  <c r="L444" i="1" s="1"/>
  <c r="J446" i="1"/>
  <c r="L446" i="1" s="1"/>
  <c r="J443" i="1"/>
  <c r="L443" i="1" s="1"/>
  <c r="J440" i="1"/>
  <c r="L440" i="1" s="1"/>
  <c r="J442" i="1"/>
  <c r="L442" i="1" s="1"/>
  <c r="J441" i="1"/>
  <c r="L441" i="1" s="1"/>
  <c r="J437" i="1"/>
  <c r="L437" i="1" s="1"/>
  <c r="J438" i="1"/>
  <c r="L438" i="1" s="1"/>
  <c r="J439" i="1"/>
  <c r="L439" i="1" s="1"/>
  <c r="J435" i="1"/>
  <c r="L435" i="1" s="1"/>
  <c r="J436" i="1"/>
  <c r="L436" i="1" s="1"/>
  <c r="J433" i="1"/>
  <c r="L433" i="1" s="1"/>
  <c r="J434" i="1"/>
  <c r="L434" i="1" s="1"/>
  <c r="J432" i="1"/>
  <c r="L432" i="1" s="1"/>
  <c r="J431" i="1"/>
  <c r="L431" i="1" s="1"/>
  <c r="J427" i="1"/>
  <c r="L427" i="1" s="1"/>
  <c r="J428" i="1"/>
  <c r="L428" i="1" s="1"/>
  <c r="J429" i="1"/>
  <c r="L429" i="1" s="1"/>
  <c r="J430" i="1"/>
  <c r="L430" i="1" s="1"/>
  <c r="J424" i="1"/>
  <c r="L424" i="1" s="1"/>
  <c r="J425" i="1"/>
  <c r="L425" i="1" s="1"/>
  <c r="J426" i="1"/>
  <c r="L426" i="1" s="1"/>
  <c r="J422" i="1"/>
  <c r="L422" i="1" s="1"/>
  <c r="J423" i="1"/>
  <c r="L423" i="1" s="1"/>
  <c r="J421" i="1"/>
  <c r="L421" i="1" s="1"/>
  <c r="J420" i="1"/>
  <c r="L420" i="1" s="1"/>
  <c r="J419" i="1"/>
  <c r="L419" i="1" s="1"/>
  <c r="J418" i="1"/>
  <c r="L418" i="1" s="1"/>
  <c r="J417" i="1"/>
  <c r="L417" i="1" s="1"/>
  <c r="J414" i="1"/>
  <c r="L414" i="1" s="1"/>
  <c r="J415" i="1"/>
  <c r="L415" i="1" s="1"/>
  <c r="J416" i="1"/>
  <c r="L416" i="1" s="1"/>
  <c r="J411" i="1"/>
  <c r="L411" i="1" s="1"/>
  <c r="J412" i="1"/>
  <c r="L412" i="1" s="1"/>
  <c r="J413" i="1"/>
  <c r="L413" i="1" s="1"/>
  <c r="J407" i="1"/>
  <c r="L407" i="1" s="1"/>
  <c r="J408" i="1"/>
  <c r="L408" i="1" s="1"/>
  <c r="J409" i="1"/>
  <c r="L409" i="1" s="1"/>
  <c r="J410" i="1"/>
  <c r="L410" i="1" s="1"/>
  <c r="J405" i="1"/>
  <c r="L405" i="1" s="1"/>
  <c r="J406" i="1"/>
  <c r="L406" i="1" s="1"/>
  <c r="J403" i="1"/>
  <c r="L403" i="1" s="1"/>
  <c r="J404" i="1"/>
  <c r="L404" i="1" s="1"/>
  <c r="J402" i="1"/>
  <c r="J401" i="1"/>
  <c r="J397" i="1"/>
  <c r="K397" i="1" s="1"/>
  <c r="J396" i="1"/>
  <c r="J400" i="1"/>
  <c r="J395" i="1"/>
  <c r="J398" i="1"/>
  <c r="K398" i="1" s="1"/>
  <c r="J399" i="1"/>
  <c r="J394" i="1"/>
  <c r="J393" i="1"/>
  <c r="J390" i="1"/>
  <c r="K390" i="1" s="1"/>
  <c r="J392" i="1"/>
  <c r="K392" i="1" s="1"/>
  <c r="J391" i="1"/>
  <c r="K391" i="1" s="1"/>
  <c r="J386" i="1"/>
  <c r="J387" i="1"/>
  <c r="J388" i="1"/>
  <c r="J389" i="1"/>
  <c r="K389" i="1" s="1"/>
  <c r="J383" i="1"/>
  <c r="J384" i="1"/>
  <c r="J385" i="1"/>
  <c r="K385" i="1" s="1"/>
  <c r="J372" i="1"/>
  <c r="J373" i="1"/>
  <c r="J374" i="1"/>
  <c r="K374" i="1" s="1"/>
  <c r="J375" i="1"/>
  <c r="J376" i="1"/>
  <c r="J378" i="1"/>
  <c r="J380" i="1"/>
  <c r="J377" i="1"/>
  <c r="K377" i="1" s="1"/>
  <c r="J379" i="1"/>
  <c r="J381" i="1"/>
  <c r="J382" i="1"/>
  <c r="K382" i="1" s="1"/>
  <c r="J365" i="1"/>
  <c r="J367" i="1"/>
  <c r="J369" i="1"/>
  <c r="J366" i="1"/>
  <c r="K366" i="1" s="1"/>
  <c r="J368" i="1"/>
  <c r="J371" i="1"/>
  <c r="J370" i="1"/>
  <c r="J364" i="1"/>
  <c r="J358" i="1"/>
  <c r="J360" i="1"/>
  <c r="J359" i="1"/>
  <c r="J361" i="1"/>
  <c r="K361" i="1" s="1"/>
  <c r="J362" i="1"/>
  <c r="K362" i="1" s="1"/>
  <c r="J363" i="1"/>
  <c r="J355" i="1"/>
  <c r="J356" i="1"/>
  <c r="J357" i="1"/>
  <c r="J354" i="1"/>
  <c r="K354" i="1" s="1"/>
  <c r="J351" i="1"/>
  <c r="J352" i="1"/>
  <c r="K352" i="1" s="1"/>
  <c r="J353" i="1"/>
  <c r="K353" i="1" s="1"/>
  <c r="J349" i="1"/>
  <c r="J350" i="1"/>
  <c r="J348" i="1"/>
  <c r="J344" i="1"/>
  <c r="J343" i="1"/>
  <c r="J346" i="1"/>
  <c r="J347" i="1"/>
  <c r="J345" i="1"/>
  <c r="K345" i="1" s="1"/>
  <c r="J340" i="1"/>
  <c r="J341" i="1"/>
  <c r="J342" i="1"/>
  <c r="J338" i="1"/>
  <c r="J339" i="1"/>
  <c r="J337" i="1"/>
  <c r="L337" i="1" s="1"/>
  <c r="J333" i="1"/>
  <c r="L333" i="1" s="1"/>
  <c r="J334" i="1"/>
  <c r="L334" i="1" s="1"/>
  <c r="J335" i="1"/>
  <c r="L335" i="1" s="1"/>
  <c r="J336" i="1"/>
  <c r="L336" i="1" s="1"/>
  <c r="J332" i="1"/>
  <c r="K332" i="1" s="1"/>
  <c r="J330" i="1"/>
  <c r="J331" i="1"/>
  <c r="J329" i="1"/>
  <c r="J327" i="1"/>
  <c r="J328" i="1"/>
  <c r="J325" i="1"/>
  <c r="J326" i="1"/>
  <c r="J322" i="1"/>
  <c r="J323" i="1"/>
  <c r="K323" i="1" s="1"/>
  <c r="J324" i="1"/>
  <c r="J318" i="1"/>
  <c r="K318" i="1" s="1"/>
  <c r="J319" i="1"/>
  <c r="K319" i="1" s="1"/>
  <c r="J320" i="1"/>
  <c r="J321" i="1"/>
  <c r="K321" i="1" s="1"/>
  <c r="J317" i="1"/>
  <c r="J315" i="1"/>
  <c r="J316" i="1"/>
  <c r="J313" i="1"/>
  <c r="J314" i="1"/>
  <c r="J310" i="1"/>
  <c r="K310" i="1" s="1"/>
  <c r="J311" i="1"/>
  <c r="K311" i="1" s="1"/>
  <c r="J312" i="1"/>
  <c r="J309" i="1"/>
  <c r="J307" i="1"/>
  <c r="J308" i="1"/>
  <c r="J306" i="1"/>
  <c r="K306" i="1" s="1"/>
  <c r="J304" i="1"/>
  <c r="K304" i="1" s="1"/>
  <c r="J305" i="1"/>
  <c r="K305" i="1" s="1"/>
  <c r="J303" i="1"/>
  <c r="K303" i="1" s="1"/>
  <c r="J302" i="1"/>
  <c r="K302" i="1" s="1"/>
  <c r="J299" i="1"/>
  <c r="J300" i="1"/>
  <c r="J301" i="1"/>
  <c r="J297" i="1"/>
  <c r="J298" i="1"/>
  <c r="K298" i="1" s="1"/>
  <c r="J296" i="1"/>
  <c r="J294" i="1"/>
  <c r="K294" i="1" s="1"/>
  <c r="J295" i="1"/>
  <c r="J290" i="1"/>
  <c r="J291" i="1"/>
  <c r="K291" i="1" s="1"/>
  <c r="J292" i="1"/>
  <c r="J293" i="1"/>
  <c r="J285" i="1"/>
  <c r="K285" i="1" s="1"/>
  <c r="J287" i="1"/>
  <c r="K287" i="1" s="1"/>
  <c r="J286" i="1"/>
  <c r="K286" i="1" s="1"/>
  <c r="J289" i="1"/>
  <c r="J288" i="1"/>
  <c r="J284" i="1"/>
  <c r="J281" i="1"/>
  <c r="K281" i="1" s="1"/>
  <c r="J282" i="1"/>
  <c r="K282" i="1" s="1"/>
  <c r="J283" i="1"/>
  <c r="J280" i="1"/>
  <c r="J277" i="1"/>
  <c r="J278" i="1"/>
  <c r="K278" i="1" s="1"/>
  <c r="J276" i="1"/>
  <c r="K276" i="1" s="1"/>
  <c r="J279" i="1"/>
  <c r="K279" i="1" s="1"/>
  <c r="J273" i="1"/>
  <c r="K273" i="1" s="1"/>
  <c r="J274" i="1"/>
  <c r="K274" i="1" s="1"/>
  <c r="J275" i="1"/>
  <c r="J270" i="1"/>
  <c r="K270" i="1" s="1"/>
  <c r="J269" i="1"/>
  <c r="K269" i="1" s="1"/>
  <c r="J271" i="1"/>
  <c r="J272" i="1"/>
  <c r="J266" i="1"/>
  <c r="J267" i="1"/>
  <c r="J268" i="1"/>
  <c r="J258" i="1"/>
  <c r="J259" i="1"/>
  <c r="J261" i="1"/>
  <c r="K261" i="1" s="1"/>
  <c r="J260" i="1"/>
  <c r="K260" i="1" s="1"/>
  <c r="J262" i="1"/>
  <c r="J263" i="1"/>
  <c r="J264" i="1"/>
  <c r="K264" i="1" s="1"/>
  <c r="J265" i="1"/>
  <c r="K265" i="1" s="1"/>
  <c r="J255" i="1"/>
  <c r="K255" i="1" s="1"/>
  <c r="J256" i="1"/>
  <c r="K256" i="1" s="1"/>
  <c r="J257" i="1"/>
  <c r="K257" i="1" s="1"/>
  <c r="J253" i="1"/>
  <c r="J254" i="1"/>
  <c r="J252" i="1"/>
  <c r="K252" i="1" s="1"/>
  <c r="J251" i="1"/>
  <c r="J249" i="1"/>
  <c r="K249" i="1" s="1"/>
  <c r="J250" i="1"/>
  <c r="J247" i="1"/>
  <c r="K247" i="1" s="1"/>
  <c r="J248" i="1"/>
  <c r="K248" i="1" s="1"/>
  <c r="J242" i="1"/>
  <c r="J243" i="1"/>
  <c r="K243" i="1" s="1"/>
  <c r="J244" i="1"/>
  <c r="K244" i="1" s="1"/>
  <c r="J245" i="1"/>
  <c r="J246" i="1"/>
  <c r="J239" i="1"/>
  <c r="K239" i="1" s="1"/>
  <c r="J240" i="1"/>
  <c r="K240" i="1" s="1"/>
  <c r="J241" i="1"/>
  <c r="J238" i="1"/>
  <c r="J236" i="1"/>
  <c r="J237" i="1"/>
  <c r="J230" i="1"/>
  <c r="J231" i="1"/>
  <c r="K231" i="1" s="1"/>
  <c r="J232" i="1"/>
  <c r="K232" i="1" s="1"/>
  <c r="J234" i="1"/>
  <c r="K234" i="1" s="1"/>
  <c r="J233" i="1"/>
  <c r="J235" i="1"/>
  <c r="K235" i="1" s="1"/>
  <c r="J229" i="1"/>
  <c r="J222" i="1"/>
  <c r="J223" i="1"/>
  <c r="J226" i="1"/>
  <c r="J224" i="1"/>
  <c r="K224" i="1" s="1"/>
  <c r="J228" i="1"/>
  <c r="K228" i="1" s="1"/>
  <c r="J225" i="1"/>
  <c r="J227" i="1"/>
  <c r="K227" i="1" s="1"/>
  <c r="J217" i="1"/>
  <c r="J218" i="1"/>
  <c r="J219" i="1"/>
  <c r="K219" i="1" s="1"/>
  <c r="J220" i="1"/>
  <c r="K220" i="1" s="1"/>
  <c r="J221" i="1"/>
  <c r="K221" i="1" s="1"/>
  <c r="J214" i="1"/>
  <c r="K214" i="1" s="1"/>
  <c r="J215" i="1"/>
  <c r="K215" i="1" s="1"/>
  <c r="J216" i="1"/>
  <c r="J206" i="1"/>
  <c r="K206" i="1" s="1"/>
  <c r="J209" i="1"/>
  <c r="K209" i="1" s="1"/>
  <c r="J207" i="1"/>
  <c r="K207" i="1" s="1"/>
  <c r="J208" i="1"/>
  <c r="J210" i="1"/>
  <c r="J211" i="1"/>
  <c r="J212" i="1"/>
  <c r="J213" i="1"/>
  <c r="J202" i="1"/>
  <c r="J203" i="1"/>
  <c r="J205" i="1"/>
  <c r="K205" i="1" s="1"/>
  <c r="J204" i="1"/>
  <c r="J200" i="1"/>
  <c r="J201" i="1"/>
  <c r="K201" i="1" s="1"/>
  <c r="J198" i="1"/>
  <c r="K198" i="1" s="1"/>
  <c r="J199" i="1"/>
  <c r="J194" i="1"/>
  <c r="J195" i="1"/>
  <c r="J196" i="1"/>
  <c r="K196" i="1" s="1"/>
  <c r="J197" i="1"/>
  <c r="J193" i="1"/>
  <c r="J190" i="1"/>
  <c r="K190" i="1" s="1"/>
  <c r="J191" i="1"/>
  <c r="J192" i="1"/>
  <c r="J189" i="1"/>
  <c r="K189" i="1" s="1"/>
  <c r="J188" i="1"/>
  <c r="J187" i="1"/>
  <c r="J186" i="1"/>
  <c r="K186" i="1" s="1"/>
  <c r="J181" i="1"/>
  <c r="J182" i="1"/>
  <c r="K182" i="1" s="1"/>
  <c r="J183" i="1"/>
  <c r="J184" i="1"/>
  <c r="J185" i="1"/>
  <c r="J180" i="1"/>
  <c r="J177" i="1"/>
  <c r="J178" i="1"/>
  <c r="K178" i="1" s="1"/>
  <c r="J179" i="1"/>
  <c r="J172" i="1"/>
  <c r="K172" i="1" s="1"/>
  <c r="J173" i="1"/>
  <c r="J174" i="1"/>
  <c r="K174" i="1" s="1"/>
  <c r="J175" i="1"/>
  <c r="J176" i="1"/>
  <c r="J171" i="1"/>
  <c r="J169" i="1"/>
  <c r="J170" i="1"/>
  <c r="J165" i="1"/>
  <c r="K165" i="1" s="1"/>
  <c r="J168" i="1"/>
  <c r="K168" i="1" s="1"/>
  <c r="J166" i="1"/>
  <c r="K166" i="1" s="1"/>
  <c r="J167" i="1"/>
  <c r="J164" i="1"/>
  <c r="J163" i="1"/>
  <c r="J159" i="1"/>
  <c r="J160" i="1"/>
  <c r="J161" i="1"/>
  <c r="J162" i="1"/>
  <c r="J158" i="1"/>
  <c r="K158" i="1" s="1"/>
  <c r="J155" i="1"/>
  <c r="J156" i="1"/>
  <c r="K156" i="1" s="1"/>
  <c r="J157" i="1"/>
  <c r="K157" i="1" s="1"/>
  <c r="J151" i="1"/>
  <c r="J152" i="1"/>
  <c r="J153" i="1"/>
  <c r="K153" i="1" s="1"/>
  <c r="J154" i="1"/>
  <c r="J149" i="1"/>
  <c r="K149" i="1" s="1"/>
  <c r="J148" i="1"/>
  <c r="J150" i="1"/>
  <c r="J143" i="1"/>
  <c r="K143" i="1" s="1"/>
  <c r="J144" i="1"/>
  <c r="J146" i="1"/>
  <c r="K146" i="1" s="1"/>
  <c r="J145" i="1"/>
  <c r="K145" i="1" s="1"/>
  <c r="J147" i="1"/>
  <c r="J142" i="1"/>
  <c r="K142" i="1" s="1"/>
  <c r="J140" i="1"/>
  <c r="J141" i="1"/>
  <c r="K141" i="1" s="1"/>
  <c r="J139" i="1"/>
  <c r="K139" i="1" s="1"/>
  <c r="J138" i="1"/>
  <c r="J135" i="1"/>
  <c r="J136" i="1"/>
  <c r="K136" i="1" s="1"/>
  <c r="J137" i="1"/>
  <c r="K137" i="1" s="1"/>
  <c r="J134" i="1"/>
  <c r="K134" i="1" s="1"/>
  <c r="J133" i="1"/>
  <c r="J132" i="1"/>
  <c r="K132" i="1" s="1"/>
  <c r="J129" i="1"/>
  <c r="K129" i="1" s="1"/>
  <c r="J131" i="1"/>
  <c r="J130" i="1"/>
  <c r="J128" i="1"/>
  <c r="K128" i="1" s="1"/>
  <c r="J127" i="1"/>
  <c r="K127" i="1" s="1"/>
  <c r="J121" i="1"/>
  <c r="J124" i="1"/>
  <c r="J122" i="1"/>
  <c r="J123" i="1"/>
  <c r="J125" i="1"/>
  <c r="K125" i="1" s="1"/>
  <c r="J126" i="1"/>
  <c r="K126" i="1" s="1"/>
  <c r="J117" i="1"/>
  <c r="K117" i="1" s="1"/>
  <c r="J118" i="1"/>
  <c r="K118" i="1" s="1"/>
  <c r="J119" i="1"/>
  <c r="J120" i="1"/>
  <c r="K120" i="1" s="1"/>
  <c r="J116" i="1"/>
  <c r="J113" i="1"/>
  <c r="K113" i="1" s="1"/>
  <c r="J112" i="1"/>
  <c r="K112" i="1" s="1"/>
  <c r="J114" i="1"/>
  <c r="K114" i="1" s="1"/>
  <c r="J115" i="1"/>
  <c r="J108" i="1"/>
  <c r="K108" i="1" s="1"/>
  <c r="J109" i="1"/>
  <c r="J110" i="1"/>
  <c r="J111" i="1"/>
  <c r="K111" i="1" s="1"/>
  <c r="J104" i="1"/>
  <c r="K104" i="1" s="1"/>
  <c r="J105" i="1"/>
  <c r="K105" i="1" s="1"/>
  <c r="J106" i="1"/>
  <c r="J107" i="1"/>
  <c r="K107" i="1" s="1"/>
  <c r="J103" i="1"/>
  <c r="K103" i="1" s="1"/>
  <c r="J99" i="1"/>
  <c r="K99" i="1" s="1"/>
  <c r="J100" i="1"/>
  <c r="J102" i="1"/>
  <c r="J101" i="1"/>
  <c r="K101" i="1" s="1"/>
  <c r="J98" i="1"/>
  <c r="J97" i="1"/>
  <c r="K97" i="1" s="1"/>
  <c r="J96" i="1"/>
  <c r="K96" i="1" s="1"/>
  <c r="J91" i="1"/>
  <c r="J92" i="1"/>
  <c r="K92" i="1" s="1"/>
  <c r="J93" i="1"/>
  <c r="J94" i="1"/>
  <c r="J95" i="1"/>
  <c r="K95" i="1" s="1"/>
  <c r="J88" i="1"/>
  <c r="K88" i="1" s="1"/>
  <c r="J89" i="1"/>
  <c r="K89" i="1" s="1"/>
  <c r="J87" i="1"/>
  <c r="J90" i="1"/>
  <c r="J86" i="1"/>
  <c r="J84" i="1"/>
  <c r="K84" i="1" s="1"/>
  <c r="J85" i="1"/>
  <c r="K85" i="1" s="1"/>
  <c r="J82" i="1"/>
  <c r="J83" i="1"/>
  <c r="J81" i="1"/>
  <c r="J78" i="1"/>
  <c r="K78" i="1" s="1"/>
  <c r="J80" i="1"/>
  <c r="J79" i="1"/>
  <c r="K79" i="1" s="1"/>
  <c r="J77" i="1"/>
  <c r="J75" i="1"/>
  <c r="K75" i="1" s="1"/>
  <c r="J76" i="1"/>
  <c r="J73" i="1"/>
  <c r="K73" i="1" s="1"/>
  <c r="J72" i="1"/>
  <c r="J74" i="1"/>
  <c r="K74" i="1" s="1"/>
  <c r="J68" i="1"/>
  <c r="J66" i="1"/>
  <c r="K66" i="1" s="1"/>
  <c r="J67" i="1"/>
  <c r="J69" i="1"/>
  <c r="K69" i="1" s="1"/>
  <c r="J70" i="1"/>
  <c r="K70" i="1" s="1"/>
  <c r="J71" i="1"/>
  <c r="K71" i="1" s="1"/>
  <c r="J64" i="1"/>
  <c r="J65" i="1"/>
  <c r="K65" i="1" s="1"/>
  <c r="J61" i="1"/>
  <c r="K61" i="1" s="1"/>
  <c r="J62" i="1"/>
  <c r="J63" i="1"/>
  <c r="K63" i="1" s="1"/>
  <c r="J60" i="1"/>
  <c r="J57" i="1"/>
  <c r="K57" i="1" s="1"/>
  <c r="J58" i="1"/>
  <c r="K58" i="1" s="1"/>
  <c r="J59" i="1"/>
  <c r="K59" i="1" s="1"/>
  <c r="J56" i="1"/>
  <c r="K56" i="1" s="1"/>
  <c r="J55" i="1"/>
  <c r="K55" i="1" s="1"/>
  <c r="J54" i="1"/>
  <c r="J53" i="1"/>
  <c r="K53" i="1" s="1"/>
  <c r="J52" i="1"/>
  <c r="J51" i="1"/>
  <c r="J50" i="1"/>
  <c r="K50" i="1" s="1"/>
  <c r="J49" i="1"/>
  <c r="K49" i="1" s="1"/>
  <c r="J48" i="1"/>
  <c r="K48" i="1" s="1"/>
  <c r="J45" i="1"/>
  <c r="J46" i="1"/>
  <c r="J47" i="1"/>
  <c r="K47" i="1" s="1"/>
  <c r="J44" i="1"/>
  <c r="K44" i="1" s="1"/>
  <c r="J41" i="1"/>
  <c r="J42" i="1"/>
  <c r="J43" i="1"/>
  <c r="K43" i="1" s="1"/>
  <c r="J38" i="1"/>
  <c r="J39" i="1"/>
  <c r="J40" i="1"/>
  <c r="K40" i="1" s="1"/>
  <c r="J37" i="1"/>
  <c r="J33" i="1"/>
  <c r="J34" i="1"/>
  <c r="J35" i="1"/>
  <c r="J36" i="1"/>
  <c r="J32" i="1"/>
  <c r="K32" i="1" s="1"/>
  <c r="J31" i="1"/>
  <c r="K31" i="1" s="1"/>
  <c r="J29" i="1"/>
  <c r="J30" i="1"/>
  <c r="J25" i="1"/>
  <c r="K25" i="1" s="1"/>
  <c r="J26" i="1"/>
  <c r="K26" i="1" s="1"/>
  <c r="J27" i="1"/>
  <c r="J28" i="1"/>
  <c r="J19" i="1"/>
  <c r="K19" i="1" s="1"/>
  <c r="J20" i="1"/>
  <c r="J21" i="1"/>
  <c r="J22" i="1"/>
  <c r="J23" i="1"/>
  <c r="K23" i="1" s="1"/>
  <c r="J24" i="1"/>
  <c r="K24" i="1" s="1"/>
  <c r="J18" i="1"/>
  <c r="J17" i="1"/>
  <c r="K17" i="1" s="1"/>
  <c r="J14" i="1"/>
  <c r="J15" i="1"/>
  <c r="K15" i="1" s="1"/>
  <c r="J16" i="1"/>
  <c r="J12" i="1"/>
  <c r="J13" i="1"/>
  <c r="J11" i="1"/>
  <c r="J10" i="1"/>
  <c r="K10" i="1" s="1"/>
  <c r="J8" i="1"/>
  <c r="J9" i="1"/>
  <c r="K9" i="1" s="1"/>
  <c r="J6" i="1"/>
  <c r="J7" i="1"/>
  <c r="K7" i="1" s="1"/>
  <c r="J4" i="1"/>
  <c r="J5" i="1"/>
  <c r="J2" i="1"/>
  <c r="K2" i="1" s="1"/>
  <c r="J3" i="1"/>
  <c r="K28" i="1" l="1"/>
  <c r="L28" i="1" s="1"/>
  <c r="L135" i="1"/>
  <c r="K160" i="1"/>
  <c r="L160" i="1" s="1"/>
  <c r="L200" i="1"/>
  <c r="K283" i="1"/>
  <c r="L283" i="1" s="1"/>
  <c r="K329" i="1"/>
  <c r="L329" i="1" s="1"/>
  <c r="K346" i="1"/>
  <c r="L346" i="1" s="1"/>
  <c r="K383" i="1"/>
  <c r="L383" i="1" s="1"/>
  <c r="K11" i="1"/>
  <c r="L11" i="1" s="1"/>
  <c r="L34" i="1"/>
  <c r="L245" i="1"/>
  <c r="L344" i="1"/>
  <c r="L375" i="1"/>
  <c r="K375" i="1"/>
  <c r="K64" i="1"/>
  <c r="L64" i="1" s="1"/>
  <c r="K170" i="1"/>
  <c r="L170" i="1" s="1"/>
  <c r="K193" i="1"/>
  <c r="L193" i="1" s="1"/>
  <c r="K250" i="1"/>
  <c r="L250" i="1" s="1"/>
  <c r="K351" i="1"/>
  <c r="L351" i="1" s="1"/>
  <c r="K401" i="1"/>
  <c r="L401" i="1" s="1"/>
  <c r="K106" i="1"/>
  <c r="L106" i="1" s="1"/>
  <c r="K27" i="1"/>
  <c r="L27" i="1" s="1"/>
  <c r="K51" i="1"/>
  <c r="L51" i="1" s="1"/>
  <c r="K82" i="1"/>
  <c r="L82" i="1" s="1"/>
  <c r="K171" i="1"/>
  <c r="L171" i="1" s="1"/>
  <c r="L251" i="1"/>
  <c r="K358" i="1"/>
  <c r="L358" i="1" s="1"/>
  <c r="K399" i="1"/>
  <c r="L399" i="1" s="1"/>
  <c r="K5" i="1"/>
  <c r="L5" i="1" s="1"/>
  <c r="K42" i="1"/>
  <c r="L42" i="1" s="1"/>
  <c r="K72" i="1"/>
  <c r="L72" i="1" s="1"/>
  <c r="K181" i="1"/>
  <c r="L181" i="1" s="1"/>
  <c r="K275" i="1"/>
  <c r="L275" i="1" s="1"/>
  <c r="K314" i="1"/>
  <c r="L314" i="1" s="1"/>
  <c r="K359" i="1"/>
  <c r="L359" i="1" s="1"/>
  <c r="K35" i="1"/>
  <c r="L35" i="1" s="1"/>
  <c r="L73" i="1"/>
  <c r="K163" i="1"/>
  <c r="L163" i="1" s="1"/>
  <c r="L196" i="1"/>
  <c r="K223" i="1"/>
  <c r="L223" i="1" s="1"/>
  <c r="L316" i="1"/>
  <c r="K357" i="1"/>
  <c r="L357" i="1" s="1"/>
  <c r="K316" i="1"/>
  <c r="K83" i="1"/>
  <c r="L83" i="1" s="1"/>
  <c r="L114" i="1"/>
  <c r="K179" i="1"/>
  <c r="L179" i="1" s="1"/>
  <c r="K258" i="1"/>
  <c r="L258" i="1" s="1"/>
  <c r="K369" i="1"/>
  <c r="L369" i="1" s="1"/>
  <c r="K393" i="1"/>
  <c r="L393" i="1" s="1"/>
  <c r="L57" i="1"/>
  <c r="L123" i="1"/>
  <c r="L177" i="1"/>
  <c r="K292" i="1"/>
  <c r="L292" i="1" s="1"/>
  <c r="K330" i="1"/>
  <c r="L330" i="1" s="1"/>
  <c r="K52" i="1"/>
  <c r="L52" i="1" s="1"/>
  <c r="K20" i="1"/>
  <c r="L20" i="1" s="1"/>
  <c r="L45" i="1"/>
  <c r="L68" i="1"/>
  <c r="K90" i="1"/>
  <c r="L90" i="1" s="1"/>
  <c r="L91" i="1"/>
  <c r="L147" i="1"/>
  <c r="L154" i="1"/>
  <c r="L162" i="1"/>
  <c r="K162" i="1"/>
  <c r="L173" i="1"/>
  <c r="L191" i="1"/>
  <c r="L212" i="1"/>
  <c r="K225" i="1"/>
  <c r="L225" i="1" s="1"/>
  <c r="K233" i="1"/>
  <c r="L233" i="1" s="1"/>
  <c r="K241" i="1"/>
  <c r="L241" i="1" s="1"/>
  <c r="L277" i="1"/>
  <c r="K320" i="1"/>
  <c r="L320" i="1" s="1"/>
  <c r="K328" i="1"/>
  <c r="L328" i="1" s="1"/>
  <c r="L396" i="1"/>
  <c r="K8" i="1"/>
  <c r="L8" i="1" s="1"/>
  <c r="K34" i="1"/>
  <c r="K130" i="1"/>
  <c r="L130" i="1" s="1"/>
  <c r="K251" i="1"/>
  <c r="K388" i="1"/>
  <c r="L388" i="1" s="1"/>
  <c r="K36" i="1"/>
  <c r="L36" i="1" s="1"/>
  <c r="K152" i="1"/>
  <c r="L152" i="1" s="1"/>
  <c r="K210" i="1"/>
  <c r="L210" i="1" s="1"/>
  <c r="L285" i="1"/>
  <c r="K378" i="1"/>
  <c r="L378" i="1" s="1"/>
  <c r="L3" i="1"/>
  <c r="K3" i="1"/>
  <c r="K41" i="1"/>
  <c r="L41" i="1" s="1"/>
  <c r="L143" i="1"/>
  <c r="K187" i="1"/>
  <c r="L187" i="1" s="1"/>
  <c r="L323" i="1"/>
  <c r="K365" i="1"/>
  <c r="L365" i="1" s="1"/>
  <c r="K13" i="1"/>
  <c r="L13" i="1" s="1"/>
  <c r="K33" i="1"/>
  <c r="L33" i="1" s="1"/>
  <c r="K60" i="1"/>
  <c r="L60" i="1" s="1"/>
  <c r="L102" i="1"/>
  <c r="K39" i="1"/>
  <c r="L39" i="1" s="1"/>
  <c r="L80" i="1"/>
  <c r="K80" i="1"/>
  <c r="L9" i="1"/>
  <c r="L211" i="1"/>
  <c r="L270" i="1"/>
  <c r="L280" i="1"/>
  <c r="L296" i="1"/>
  <c r="L319" i="1"/>
  <c r="L327" i="1"/>
  <c r="L347" i="1"/>
  <c r="L380" i="1"/>
  <c r="K6" i="1"/>
  <c r="L6" i="1" s="1"/>
  <c r="K81" i="1"/>
  <c r="L81" i="1" s="1"/>
  <c r="K135" i="1"/>
  <c r="K183" i="1"/>
  <c r="L183" i="1" s="1"/>
  <c r="K200" i="1"/>
  <c r="K230" i="1"/>
  <c r="L230" i="1" s="1"/>
  <c r="K267" i="1"/>
  <c r="L267" i="1" s="1"/>
  <c r="K301" i="1"/>
  <c r="L301" i="1" s="1"/>
  <c r="K308" i="1"/>
  <c r="L308" i="1" s="1"/>
  <c r="K338" i="1"/>
  <c r="L338" i="1" s="1"/>
  <c r="L122" i="1"/>
  <c r="L203" i="1"/>
  <c r="L222" i="1"/>
  <c r="L307" i="1"/>
  <c r="L30" i="1"/>
  <c r="L37" i="1"/>
  <c r="L77" i="1"/>
  <c r="L110" i="1"/>
  <c r="L133" i="1"/>
  <c r="L140" i="1"/>
  <c r="L155" i="1"/>
  <c r="L229" i="1"/>
  <c r="L254" i="1"/>
  <c r="L262" i="1"/>
  <c r="L341" i="1"/>
  <c r="L355" i="1"/>
  <c r="L395" i="1"/>
  <c r="K12" i="1"/>
  <c r="L12" i="1" s="1"/>
  <c r="K4" i="1"/>
  <c r="L4" i="1" s="1"/>
  <c r="K133" i="1"/>
  <c r="K194" i="1"/>
  <c r="L194" i="1" s="1"/>
  <c r="K299" i="1"/>
  <c r="L299" i="1" s="1"/>
  <c r="K350" i="1"/>
  <c r="L350" i="1" s="1"/>
  <c r="K342" i="1"/>
  <c r="L342" i="1" s="1"/>
  <c r="L141" i="1"/>
  <c r="L164" i="1"/>
  <c r="L218" i="1"/>
  <c r="L322" i="1"/>
  <c r="L29" i="1"/>
  <c r="L46" i="1"/>
  <c r="L86" i="1"/>
  <c r="L109" i="1"/>
  <c r="L184" i="1"/>
  <c r="L192" i="1"/>
  <c r="L199" i="1"/>
  <c r="L216" i="1"/>
  <c r="L238" i="1"/>
  <c r="L242" i="1"/>
  <c r="L271" i="1"/>
  <c r="L340" i="1"/>
  <c r="L363" i="1"/>
  <c r="L371" i="1"/>
  <c r="L379" i="1"/>
  <c r="L372" i="1"/>
  <c r="K124" i="1"/>
  <c r="L124" i="1" s="1"/>
  <c r="K116" i="1"/>
  <c r="L116" i="1" s="1"/>
  <c r="K148" i="1"/>
  <c r="L148" i="1" s="1"/>
  <c r="K140" i="1"/>
  <c r="K185" i="1"/>
  <c r="L185" i="1" s="1"/>
  <c r="K213" i="1"/>
  <c r="L213" i="1" s="1"/>
  <c r="K272" i="1"/>
  <c r="L272" i="1" s="1"/>
  <c r="K290" i="1"/>
  <c r="L290" i="1" s="1"/>
  <c r="K317" i="1"/>
  <c r="L317" i="1" s="1"/>
  <c r="K309" i="1"/>
  <c r="L309" i="1" s="1"/>
  <c r="K381" i="1"/>
  <c r="L381" i="1" s="1"/>
  <c r="K373" i="1"/>
  <c r="L373" i="1" s="1"/>
  <c r="K349" i="1"/>
  <c r="L349" i="1" s="1"/>
  <c r="K341" i="1"/>
  <c r="L98" i="1"/>
  <c r="L125" i="1"/>
  <c r="L131" i="1"/>
  <c r="L144" i="1"/>
  <c r="L151" i="1"/>
  <c r="L159" i="1"/>
  <c r="L169" i="1"/>
  <c r="L178" i="1"/>
  <c r="L208" i="1"/>
  <c r="L274" i="1"/>
  <c r="L282" i="1"/>
  <c r="L293" i="1"/>
  <c r="L313" i="1"/>
  <c r="L331" i="1"/>
  <c r="L339" i="1"/>
  <c r="L360" i="1"/>
  <c r="L376" i="1"/>
  <c r="L389" i="1"/>
  <c r="K144" i="1"/>
  <c r="K197" i="1"/>
  <c r="L197" i="1" s="1"/>
  <c r="K268" i="1"/>
  <c r="L268" i="1" s="1"/>
  <c r="K313" i="1"/>
  <c r="K324" i="1"/>
  <c r="L324" i="1" s="1"/>
  <c r="L111" i="1"/>
  <c r="L132" i="1"/>
  <c r="L156" i="1"/>
  <c r="L237" i="1"/>
  <c r="L291" i="1"/>
  <c r="L315" i="1"/>
  <c r="L348" i="1"/>
  <c r="L356" i="1"/>
  <c r="L364" i="1"/>
  <c r="L382" i="1"/>
  <c r="L374" i="1"/>
  <c r="L387" i="1"/>
  <c r="L398" i="1"/>
  <c r="K21" i="1"/>
  <c r="L21" i="1" s="1"/>
  <c r="K150" i="1"/>
  <c r="L150" i="1" s="1"/>
  <c r="K180" i="1"/>
  <c r="L180" i="1" s="1"/>
  <c r="K164" i="1"/>
  <c r="K195" i="1"/>
  <c r="L195" i="1" s="1"/>
  <c r="K217" i="1"/>
  <c r="L217" i="1" s="1"/>
  <c r="K266" i="1"/>
  <c r="L266" i="1" s="1"/>
  <c r="K284" i="1"/>
  <c r="L284" i="1" s="1"/>
  <c r="K300" i="1"/>
  <c r="L300" i="1" s="1"/>
  <c r="K322" i="1"/>
  <c r="K367" i="1"/>
  <c r="L367" i="1" s="1"/>
  <c r="K343" i="1"/>
  <c r="L343" i="1" s="1"/>
  <c r="L306" i="1"/>
  <c r="L24" i="1"/>
  <c r="L113" i="1"/>
  <c r="L129" i="1"/>
  <c r="L219" i="1"/>
  <c r="L23" i="1"/>
  <c r="L44" i="1"/>
  <c r="L209" i="1"/>
  <c r="L244" i="1"/>
  <c r="L63" i="1"/>
  <c r="L236" i="1"/>
  <c r="L67" i="1"/>
  <c r="L93" i="1"/>
  <c r="L202" i="1"/>
  <c r="L243" i="1"/>
  <c r="L7" i="1"/>
  <c r="L66" i="1"/>
  <c r="L92" i="1"/>
  <c r="L99" i="1"/>
  <c r="L121" i="1"/>
  <c r="L166" i="1"/>
  <c r="L174" i="1"/>
  <c r="L227" i="1"/>
  <c r="L235" i="1"/>
  <c r="L253" i="1"/>
  <c r="L260" i="1"/>
  <c r="L295" i="1"/>
  <c r="L302" i="1"/>
  <c r="L100" i="1"/>
  <c r="L189" i="1"/>
  <c r="L15" i="1"/>
  <c r="L55" i="1"/>
  <c r="L137" i="1"/>
  <c r="L198" i="1"/>
  <c r="L286" i="1"/>
  <c r="L47" i="1"/>
  <c r="L84" i="1"/>
  <c r="L108" i="1"/>
  <c r="L261" i="1"/>
  <c r="L269" i="1"/>
  <c r="L294" i="1"/>
  <c r="L303" i="1"/>
  <c r="L14" i="1"/>
  <c r="L19" i="1"/>
  <c r="L48" i="1"/>
  <c r="L56" i="1"/>
  <c r="L65" i="1"/>
  <c r="L74" i="1"/>
  <c r="L107" i="1"/>
  <c r="L136" i="1"/>
  <c r="L145" i="1"/>
  <c r="L153" i="1"/>
  <c r="L161" i="1"/>
  <c r="L165" i="1"/>
  <c r="L172" i="1"/>
  <c r="L182" i="1"/>
  <c r="L190" i="1"/>
  <c r="L201" i="1"/>
  <c r="L228" i="1"/>
  <c r="L259" i="1"/>
  <c r="L287" i="1"/>
  <c r="L397" i="1"/>
  <c r="L394" i="1"/>
  <c r="L370" i="1"/>
  <c r="L391" i="1"/>
  <c r="L400" i="1"/>
  <c r="L402" i="1"/>
  <c r="L345" i="1"/>
  <c r="L353" i="1"/>
  <c r="L362" i="1"/>
  <c r="L368" i="1"/>
  <c r="L377" i="1"/>
  <c r="L385" i="1"/>
  <c r="L392" i="1"/>
  <c r="L354" i="1"/>
  <c r="L386" i="1"/>
  <c r="L352" i="1"/>
  <c r="L361" i="1"/>
  <c r="L366" i="1"/>
  <c r="L384" i="1"/>
  <c r="L390" i="1"/>
  <c r="L332" i="1"/>
  <c r="L321" i="1"/>
  <c r="L325" i="1"/>
  <c r="L326" i="1"/>
  <c r="L312" i="1"/>
  <c r="L311" i="1"/>
  <c r="L310" i="1"/>
  <c r="L318" i="1"/>
  <c r="L297" i="1"/>
  <c r="L305" i="1"/>
  <c r="L304" i="1"/>
  <c r="L298" i="1"/>
  <c r="L281" i="1"/>
  <c r="L279" i="1"/>
  <c r="L276" i="1"/>
  <c r="L288" i="1"/>
  <c r="L278" i="1"/>
  <c r="L289" i="1"/>
  <c r="L257" i="1"/>
  <c r="L256" i="1"/>
  <c r="L255" i="1"/>
  <c r="L265" i="1"/>
  <c r="L264" i="1"/>
  <c r="L273" i="1"/>
  <c r="L252" i="1"/>
  <c r="L263" i="1"/>
  <c r="L248" i="1"/>
  <c r="L234" i="1"/>
  <c r="L240" i="1"/>
  <c r="L247" i="1"/>
  <c r="L221" i="1"/>
  <c r="L224" i="1"/>
  <c r="L232" i="1"/>
  <c r="L239" i="1"/>
  <c r="L220" i="1"/>
  <c r="L226" i="1"/>
  <c r="L231" i="1"/>
  <c r="L246" i="1"/>
  <c r="L249" i="1"/>
  <c r="L215" i="1"/>
  <c r="L214" i="1"/>
  <c r="L204" i="1"/>
  <c r="L206" i="1"/>
  <c r="L205" i="1"/>
  <c r="L207" i="1"/>
  <c r="L188" i="1"/>
  <c r="L186" i="1"/>
  <c r="L176" i="1"/>
  <c r="L167" i="1"/>
  <c r="L175" i="1"/>
  <c r="L168" i="1"/>
  <c r="L149" i="1"/>
  <c r="L146" i="1"/>
  <c r="L142" i="1"/>
  <c r="L158" i="1"/>
  <c r="L138" i="1"/>
  <c r="L139" i="1"/>
  <c r="L157" i="1"/>
  <c r="L120" i="1"/>
  <c r="L119" i="1"/>
  <c r="L134" i="1"/>
  <c r="L115" i="1"/>
  <c r="L117" i="1"/>
  <c r="L128" i="1"/>
  <c r="L118" i="1"/>
  <c r="L127" i="1"/>
  <c r="L126" i="1"/>
  <c r="L103" i="1"/>
  <c r="L105" i="1"/>
  <c r="L112" i="1"/>
  <c r="L101" i="1"/>
  <c r="L104" i="1"/>
  <c r="L87" i="1"/>
  <c r="L96" i="1"/>
  <c r="L89" i="1"/>
  <c r="L97" i="1"/>
  <c r="L88" i="1"/>
  <c r="L95" i="1"/>
  <c r="L85" i="1"/>
  <c r="L94" i="1"/>
  <c r="L79" i="1"/>
  <c r="L78" i="1"/>
  <c r="L71" i="1"/>
  <c r="L70" i="1"/>
  <c r="L76" i="1"/>
  <c r="L69" i="1"/>
  <c r="L75" i="1"/>
  <c r="L62" i="1"/>
  <c r="L53" i="1"/>
  <c r="L54" i="1"/>
  <c r="L61" i="1"/>
  <c r="L49" i="1"/>
  <c r="L59" i="1"/>
  <c r="L50" i="1"/>
  <c r="L58" i="1"/>
  <c r="L40" i="1"/>
  <c r="L31" i="1"/>
  <c r="L32" i="1"/>
  <c r="L38" i="1"/>
  <c r="L43" i="1"/>
  <c r="L17" i="1"/>
  <c r="L10" i="1"/>
  <c r="L18" i="1"/>
  <c r="L26" i="1"/>
  <c r="L25" i="1"/>
  <c r="L22" i="1"/>
  <c r="L16" i="1"/>
  <c r="L2" i="1"/>
</calcChain>
</file>

<file path=xl/sharedStrings.xml><?xml version="1.0" encoding="utf-8"?>
<sst xmlns="http://schemas.openxmlformats.org/spreadsheetml/2006/main" count="1447" uniqueCount="407">
  <si>
    <t>الرقم</t>
  </si>
  <si>
    <t>رقم الموظف /رقم البطاقة</t>
  </si>
  <si>
    <t>اسم المريض</t>
  </si>
  <si>
    <t>رقم النموذج</t>
  </si>
  <si>
    <t>نوع المستفيد</t>
  </si>
  <si>
    <t>تاريخ البيع</t>
  </si>
  <si>
    <t>قيمة الفاتورة</t>
  </si>
  <si>
    <t>قيمة المشاركة</t>
  </si>
  <si>
    <t>صافي القيمة</t>
  </si>
  <si>
    <t>القيمة المطلوبة</t>
  </si>
  <si>
    <t>المدفوع</t>
  </si>
  <si>
    <t>المتبقي</t>
  </si>
  <si>
    <t>تاريخ الدفعة</t>
  </si>
  <si>
    <t>Insurance Company Name</t>
  </si>
  <si>
    <t>علي شوكت ابراهيم الحسنات</t>
  </si>
  <si>
    <t>عائله</t>
  </si>
  <si>
    <t>جود يوسف احمد العمرات</t>
  </si>
  <si>
    <t>سوسن مدالله الحسنات</t>
  </si>
  <si>
    <t>علاء الدين محمد ابراهيم الفلاحات</t>
  </si>
  <si>
    <t>موظف</t>
  </si>
  <si>
    <t>شهم شادي الهروط</t>
  </si>
  <si>
    <t>ايلينا شادي الهروط</t>
  </si>
  <si>
    <t>احمد يحيى الحسنات</t>
  </si>
  <si>
    <t>فادية محمود الحسنات</t>
  </si>
  <si>
    <t>دخيل الله عودة عيد البدول</t>
  </si>
  <si>
    <t>سلمى اياد محمد الهلالات</t>
  </si>
  <si>
    <t>عطالله سالم المراعيه</t>
  </si>
  <si>
    <t>كنان فاضل الفلحات</t>
  </si>
  <si>
    <t>سحر منير يوسف الصوالحة</t>
  </si>
  <si>
    <t>زياد احمد ابراهيم الهلالات</t>
  </si>
  <si>
    <t>حسين محمد حسن الخلايفة</t>
  </si>
  <si>
    <t>رفا مهدي العمرات</t>
  </si>
  <si>
    <t>حسين محمد الخلايفه</t>
  </si>
  <si>
    <t>مهند محفوظ الحسنات</t>
  </si>
  <si>
    <t>خالد علي النوافلة</t>
  </si>
  <si>
    <t>رامي يحيى النصرات</t>
  </si>
  <si>
    <t>شهد شوكت الحسنات</t>
  </si>
  <si>
    <t>يحيى دخيل الله البدول</t>
  </si>
  <si>
    <t>يوسف شوكت الحسنات</t>
  </si>
  <si>
    <t>راشد هارون الحسنات</t>
  </si>
  <si>
    <t>اثير سليمان العمرات</t>
  </si>
  <si>
    <t>عروب وحيد عايد النوافلة</t>
  </si>
  <si>
    <t>سوسن الحسنات</t>
  </si>
  <si>
    <t>علاء عاطف الحسنات</t>
  </si>
  <si>
    <t>عبدالله يونس الفلاحات</t>
  </si>
  <si>
    <t>فيصل علي الرواضية</t>
  </si>
  <si>
    <t>صخر محمود العمرات</t>
  </si>
  <si>
    <t>عبدالكريم عمر الفرجات</t>
  </si>
  <si>
    <t>شوكت علي الحسنات</t>
  </si>
  <si>
    <t>رائد محمود رمضان الحمادين</t>
  </si>
  <si>
    <t>ايمان خالد محمد الرواضية</t>
  </si>
  <si>
    <t>ايات بركات المومني</t>
  </si>
  <si>
    <t>قيصر محمد النصرات</t>
  </si>
  <si>
    <t>محمد احمد الخليفات</t>
  </si>
  <si>
    <t>سليمان احمد محمد العمرات</t>
  </si>
  <si>
    <t>صخر عامر السعيدات</t>
  </si>
  <si>
    <t>عامر محمد السعيدات</t>
  </si>
  <si>
    <t>يزن محمود العمري</t>
  </si>
  <si>
    <t>زيد محمود العمرات</t>
  </si>
  <si>
    <t>كاظم رضوان السلامين</t>
  </si>
  <si>
    <t>رشد كاظم رضوان السلامين</t>
  </si>
  <si>
    <t>رنا محمد النوافلة</t>
  </si>
  <si>
    <t>حمزة الماضي</t>
  </si>
  <si>
    <t>باسل دخيل الله عودة البدول</t>
  </si>
  <si>
    <t>شمس يوسف احمد العمرات</t>
  </si>
  <si>
    <t>رنا محمد احمد النوافلة</t>
  </si>
  <si>
    <t>هارون سليمان الهلالات</t>
  </si>
  <si>
    <t>حمزة موسى مطلق الفلاحات</t>
  </si>
  <si>
    <t>شروق هويمل البدول</t>
  </si>
  <si>
    <t>يوسف احمد العمرات</t>
  </si>
  <si>
    <t>رفاء مهدي العمرات</t>
  </si>
  <si>
    <t>رشد كاظم السلامين</t>
  </si>
  <si>
    <t>محمد هيثم علي الهلالات</t>
  </si>
  <si>
    <t>ابراهيم عبدالله العمرات</t>
  </si>
  <si>
    <t>محمد ابراهيم عبدالله العمرات</t>
  </si>
  <si>
    <t>كرم ابراهيم عبدالله العمرات</t>
  </si>
  <si>
    <t>سحر منير الصوالحة</t>
  </si>
  <si>
    <t>ابراهيم سنيان الرواجفة</t>
  </si>
  <si>
    <t>ادم رامي يحيى النصرات</t>
  </si>
  <si>
    <t>رامي يحيى محمد النصرات</t>
  </si>
  <si>
    <t>سلسبيل صالح الخليفات</t>
  </si>
  <si>
    <t>تبارك يوسف الهلالات</t>
  </si>
  <si>
    <t>بثينه محمد ابراهيم</t>
  </si>
  <si>
    <t>محمد محمود محمد النصرات</t>
  </si>
  <si>
    <t>شوق رعد خليل</t>
  </si>
  <si>
    <t>سليمان عبدالله الحمادين</t>
  </si>
  <si>
    <t>هبة طارق الحمادين</t>
  </si>
  <si>
    <t>ياقوت محمود الحسنات</t>
  </si>
  <si>
    <t>ماجد علي السلامين</t>
  </si>
  <si>
    <t>علاء الديمن محمد الفلاحات</t>
  </si>
  <si>
    <t>محمد علاء الدين محمد الفلاحات</t>
  </si>
  <si>
    <t>شهاب خالد عودة الهلالات</t>
  </si>
  <si>
    <t>عمر محمد العمرات</t>
  </si>
  <si>
    <t>ضياء خالد ابراهيم العمرات</t>
  </si>
  <si>
    <t>سارة اياد الهلالات</t>
  </si>
  <si>
    <t>هاني رجا المساعده</t>
  </si>
  <si>
    <t>سلمى اياد الهلالات</t>
  </si>
  <si>
    <t>ياسين مرشد الحسنات</t>
  </si>
  <si>
    <t>87435903/1</t>
  </si>
  <si>
    <t>شداد احمد الحسنات</t>
  </si>
  <si>
    <t>رتيل عمر العمرات</t>
  </si>
  <si>
    <t>ريماس عمر العمرات</t>
  </si>
  <si>
    <t>ايمان خالد الرواضية</t>
  </si>
  <si>
    <t>راشد هارون سالم الحسنات</t>
  </si>
  <si>
    <t>ايلا شداد احمد الحسنات</t>
  </si>
  <si>
    <t>سبأ عطالله سالم</t>
  </si>
  <si>
    <t>محمود محمد الحسنات</t>
  </si>
  <si>
    <t>لؤي هيثم الهلالات</t>
  </si>
  <si>
    <t>محمد هيثم الهلالات</t>
  </si>
  <si>
    <t>فاطمة احمد عبدالله الهلالات</t>
  </si>
  <si>
    <t>رائد محمود الحمادين</t>
  </si>
  <si>
    <t>عمر سلامة عواد البدول</t>
  </si>
  <si>
    <t>احمد سعود عيسى الخليفات</t>
  </si>
  <si>
    <t>دعاء بسام المؤنس</t>
  </si>
  <si>
    <t>ورود احمد محمد البزايعه</t>
  </si>
  <si>
    <t>عمر محمد حسن العمرات</t>
  </si>
  <si>
    <t>صالح عمر محمد العمرات</t>
  </si>
  <si>
    <t>ريماس عمر محمد العمرات</t>
  </si>
  <si>
    <t>رتيل عمر محمد العمرات</t>
  </si>
  <si>
    <t>فرح عمر العمرات</t>
  </si>
  <si>
    <t>رولا خالد النوافلة</t>
  </si>
  <si>
    <t>سحر منير الصوالحه</t>
  </si>
  <si>
    <t>زياد احمد الهلالات</t>
  </si>
  <si>
    <t>فايق اسماعيل الفلاحات</t>
  </si>
  <si>
    <t>فايق اسماعيل الفلحات</t>
  </si>
  <si>
    <t>86810954/1</t>
  </si>
  <si>
    <t>عزالدين فاضل الفلحات</t>
  </si>
  <si>
    <t>دلال خالد الفلحات</t>
  </si>
  <si>
    <t>حنين ضيف الله السعيدات</t>
  </si>
  <si>
    <t>عامر محمد الهلالات</t>
  </si>
  <si>
    <t>هيا فرهان عبدالله الحسنات</t>
  </si>
  <si>
    <t>مهند عارف السلامين</t>
  </si>
  <si>
    <t>خالد طالب الحسنات</t>
  </si>
  <si>
    <t>سفيان محمد العمرات</t>
  </si>
  <si>
    <t>الين عيد محمد النوافلة</t>
  </si>
  <si>
    <t>شمس يوسف العمرات</t>
  </si>
  <si>
    <t>سعود حسين الحساسين</t>
  </si>
  <si>
    <t>حليمة محمود الهلالات</t>
  </si>
  <si>
    <t>يوسف احمد محمد العمرات</t>
  </si>
  <si>
    <t>خلود خالد النوافلة</t>
  </si>
  <si>
    <t>محمد علي العمرات</t>
  </si>
  <si>
    <t>هارون سليمان حمدان الهلالات</t>
  </si>
  <si>
    <t>خالد هارون عبدالله الشماسين</t>
  </si>
  <si>
    <t>بيان هارون سليمان الهلالات</t>
  </si>
  <si>
    <t>عمر محمد المشاعله</t>
  </si>
  <si>
    <t>سهى سليمان النوافلة</t>
  </si>
  <si>
    <t>مكة سمير خميس الهلالات</t>
  </si>
  <si>
    <t>ماجد الفلاحات</t>
  </si>
  <si>
    <t>امجد نواف النوافلة</t>
  </si>
  <si>
    <t>عمران توفيق</t>
  </si>
  <si>
    <t>عمران توفيق المشاعله</t>
  </si>
  <si>
    <t>86811014/1</t>
  </si>
  <si>
    <t>صالح محمد النوافلة</t>
  </si>
  <si>
    <t>شاكر يونس الحمادين</t>
  </si>
  <si>
    <t>سلمى حسين  عبدو</t>
  </si>
  <si>
    <t>محمد خليل لافي النوافلة</t>
  </si>
  <si>
    <t>علي فواز الرواضية</t>
  </si>
  <si>
    <t>محمد محمود النصرات</t>
  </si>
  <si>
    <t>اماني مهدي الفلاحات</t>
  </si>
  <si>
    <t>جود يوسف العمرات</t>
  </si>
  <si>
    <t>اسامه محمد الهلالات</t>
  </si>
  <si>
    <t>نور حسين الهلالات</t>
  </si>
  <si>
    <t>كنان فاضل عبدالرحمن الفلاحات</t>
  </si>
  <si>
    <t>محمود جمال النوافلة</t>
  </si>
  <si>
    <t>عز الدين فاضل عبد الرحمن الفلاحات</t>
  </si>
  <si>
    <t>محمد خليل النوافلة</t>
  </si>
  <si>
    <t>اسيل محمد النوافلة</t>
  </si>
  <si>
    <t>معاذ يحيى النعميات</t>
  </si>
  <si>
    <t>قيس خالد هارون الفرجات</t>
  </si>
  <si>
    <t>ايمن جاد الله النوافلة</t>
  </si>
  <si>
    <t>سليمان احمد العمرات</t>
  </si>
  <si>
    <t>ياسين سليمان احمد العمرات</t>
  </si>
  <si>
    <t>لارين سمير الهلالات</t>
  </si>
  <si>
    <t>امل السطري</t>
  </si>
  <si>
    <t>فاطمة الحسنات</t>
  </si>
  <si>
    <t>نهاية حازم الخليفات</t>
  </si>
  <si>
    <t>انتصار انيس محمد</t>
  </si>
  <si>
    <t>سلمى امير السعيدات</t>
  </si>
  <si>
    <t>يحيى عودةالله الحمادين</t>
  </si>
  <si>
    <t>يحيى محمد الصبيحات</t>
  </si>
  <si>
    <t>هيام الشقيرات</t>
  </si>
  <si>
    <t>سجى يحي الطرابلسي</t>
  </si>
  <si>
    <t>خالد هارون الشماسين</t>
  </si>
  <si>
    <t>عمر محمد المشاعلة</t>
  </si>
  <si>
    <t>علاء الدين محمد الفلحات</t>
  </si>
  <si>
    <t>مريم سليمان الهلالات</t>
  </si>
  <si>
    <t>جنى علاء الدين الفلحات</t>
  </si>
  <si>
    <t>صخر محمود اجخيدم العمرات</t>
  </si>
  <si>
    <t>جهاد هارون النوافلة</t>
  </si>
  <si>
    <t>علي العوامرة</t>
  </si>
  <si>
    <t>عبدالله جعفر النوافلة</t>
  </si>
  <si>
    <t>ايهم عيد النوافلة</t>
  </si>
  <si>
    <t>ابراهيم رضوان الرواضية</t>
  </si>
  <si>
    <t>محمد علاء الدين الفلاحات</t>
  </si>
  <si>
    <t>جود رامي يحيى النصرات</t>
  </si>
  <si>
    <t>امير يوسف العمرات</t>
  </si>
  <si>
    <t>كاظم رضوان سليمان السلامين</t>
  </si>
  <si>
    <t>ايمان خالد محمد الرواضيه</t>
  </si>
  <si>
    <t>ريتال جبريل ابراهيم الشماسين</t>
  </si>
  <si>
    <t>سعود احمد سعود عيسى الخليفات</t>
  </si>
  <si>
    <t>هيا فرحان الحسنات</t>
  </si>
  <si>
    <t>حسين ضيف الله ابراهيم الحسنات</t>
  </si>
  <si>
    <t>محمود محمد سالم الحسنات</t>
  </si>
  <si>
    <t>ابراهيم سنيان الرواجفه</t>
  </si>
  <si>
    <t>رولا خالد عيد النوافلة</t>
  </si>
  <si>
    <t>شهاب الهلالات</t>
  </si>
  <si>
    <t>وتين سليمان العمرات</t>
  </si>
  <si>
    <t>اسماعيل فيصل النصرات</t>
  </si>
  <si>
    <t>محمد جميل الحمادين</t>
  </si>
  <si>
    <t>علي محمد العمرات</t>
  </si>
  <si>
    <t>حلا محمد العمرات</t>
  </si>
  <si>
    <t>ياقوت محمود محمد الحسنات</t>
  </si>
  <si>
    <t>حمد محمود محمد الحسنات</t>
  </si>
  <si>
    <t>محمد محمود محمد الحسنات</t>
  </si>
  <si>
    <t>اريج اشرف البدول</t>
  </si>
  <si>
    <t>بثينة محمد ابراهيم</t>
  </si>
  <si>
    <t>شوق رعد ابو معيتق</t>
  </si>
  <si>
    <t>لمار عطا الله المراعيه</t>
  </si>
  <si>
    <t>اياد محمد الهلالات</t>
  </si>
  <si>
    <t>ادم رامي النصرات</t>
  </si>
  <si>
    <t>جود رامي النصرات</t>
  </si>
  <si>
    <t>ولاء جديان الفضول</t>
  </si>
  <si>
    <t>اسماء علي الهلالات</t>
  </si>
  <si>
    <t>ماجد الفلحات</t>
  </si>
  <si>
    <t>علي اياد الهلالات</t>
  </si>
  <si>
    <t>صفاء هارون السلامين</t>
  </si>
  <si>
    <t>عامر محمد عودة الهلالات</t>
  </si>
  <si>
    <t>محمد عيد النوافلة</t>
  </si>
  <si>
    <t>حمد محمود الحسنات</t>
  </si>
  <si>
    <t>انتصار انيس المحمد</t>
  </si>
  <si>
    <t>علي فواز الرواضيه</t>
  </si>
  <si>
    <t>فاطمة احمد الهلالات</t>
  </si>
  <si>
    <t>ولاء جدعان الفضول</t>
  </si>
  <si>
    <t>عبدالله عبدالكريم الفرجات</t>
  </si>
  <si>
    <t>اروى احمد العلايا</t>
  </si>
  <si>
    <t>صالح محمد  النوافلة</t>
  </si>
  <si>
    <t>نورسين عمران المشاعلة</t>
  </si>
  <si>
    <t>سلمى عمران المشاعلة</t>
  </si>
  <si>
    <t>ايلا شداد الحسنات</t>
  </si>
  <si>
    <t>كريم امجد النوافلة</t>
  </si>
  <si>
    <t>محمد علي هارون السلامين</t>
  </si>
  <si>
    <t>احمد يحيى سالم الحسنات</t>
  </si>
  <si>
    <t>اصيل محمد النوافلة</t>
  </si>
  <si>
    <t>علاء الدين محمد الفلاحات</t>
  </si>
  <si>
    <t>معالي محمد السلامين</t>
  </si>
  <si>
    <t>محمد علي اجخيدم العمرات</t>
  </si>
  <si>
    <t>نورسين عمران المشاعله</t>
  </si>
  <si>
    <t>عهد محمد النوافلة</t>
  </si>
  <si>
    <t>سلمى عمران المشاعله</t>
  </si>
  <si>
    <t>موسى عمر موسى الفرجات</t>
  </si>
  <si>
    <t>احمد عقيل الرواضيه</t>
  </si>
  <si>
    <t>ياسين سليمان احمد محمد العمرات</t>
  </si>
  <si>
    <t>عبدالله النوافله</t>
  </si>
  <si>
    <t>شهم اياد الهلالات</t>
  </si>
  <si>
    <t>فادية الحسنات</t>
  </si>
  <si>
    <t>عاكف سعود الحسنات</t>
  </si>
  <si>
    <t>حليمة محمود عبدالله</t>
  </si>
  <si>
    <t>اماني مهدي حميد الفلاحات</t>
  </si>
  <si>
    <t>عواد عبدالعزيز الحسنات</t>
  </si>
  <si>
    <t>صابرين محمود احمد</t>
  </si>
  <si>
    <t>يوسف يحيى الشماسين</t>
  </si>
  <si>
    <t>علاء عاطف احمد الحسنات</t>
  </si>
  <si>
    <t>دلال السعيدات</t>
  </si>
  <si>
    <t>عطالله سالم المراعية</t>
  </si>
  <si>
    <t>عبير الرواضية</t>
  </si>
  <si>
    <t>عامر محمد موسى السعيدات</t>
  </si>
  <si>
    <t>اسماعيل فيصل اسماعيل النصرات</t>
  </si>
  <si>
    <t>فيصل علي الرواضيه</t>
  </si>
  <si>
    <t>دلال خالد الفلاحات</t>
  </si>
  <si>
    <t>فرح طلال الحسنات</t>
  </si>
  <si>
    <t>ساندي محمد النصرات</t>
  </si>
  <si>
    <t>هدى طلال الحسنات</t>
  </si>
  <si>
    <t>الما فيصل الرواضية</t>
  </si>
  <si>
    <t>ايات محمد الرواجفة</t>
  </si>
  <si>
    <t>معالي محمد عيد السلامين</t>
  </si>
  <si>
    <t>خوله الهلالات</t>
  </si>
  <si>
    <t>امير محمد محمود الحسنات</t>
  </si>
  <si>
    <t>محمد محمود الحسنات</t>
  </si>
  <si>
    <t>عبدالرحمن الفضول</t>
  </si>
  <si>
    <t>فراس الفضول</t>
  </si>
  <si>
    <t>نهى الفرجات</t>
  </si>
  <si>
    <t>محمد الفضول</t>
  </si>
  <si>
    <t>ملاك محمد الحسنات</t>
  </si>
  <si>
    <t>اباء راشد الحسنات</t>
  </si>
  <si>
    <t>سلمى اياد محمد عودة الهلالات</t>
  </si>
  <si>
    <t>ياسمين فراس الفضول</t>
  </si>
  <si>
    <t>عائشة احمد موسى الحسنات</t>
  </si>
  <si>
    <t>راشد عبدالرحيم السلامين</t>
  </si>
  <si>
    <t>كرم ابراهيم العمرات</t>
  </si>
  <si>
    <t>سلمى عامر السعيدات</t>
  </si>
  <si>
    <t>اسراء حمزة موسى حرب الرفايعة</t>
  </si>
  <si>
    <t>86812491/1</t>
  </si>
  <si>
    <t>سجى يحيى الطرابلسي</t>
  </si>
  <si>
    <t>محمد وليد الفناطسة</t>
  </si>
  <si>
    <t>شهاب خالد الهلالات</t>
  </si>
  <si>
    <t>ادم الفلاحات</t>
  </si>
  <si>
    <t>جنى الفلاحات</t>
  </si>
  <si>
    <t>ابراهيم راشد الحسنات</t>
  </si>
  <si>
    <t>ختام محمد المساعدة</t>
  </si>
  <si>
    <t>محمد علي اجخيد العمرات</t>
  </si>
  <si>
    <t>حكم فتحي معروف</t>
  </si>
  <si>
    <t>يامن حكمت السلامين</t>
  </si>
  <si>
    <t>محمد اسماعيل الرواجفة</t>
  </si>
  <si>
    <t>اليس امجد النوافلة</t>
  </si>
  <si>
    <t>ياقوت محمود محمد سالم الحسنات</t>
  </si>
  <si>
    <t>سحر منير الصولحه</t>
  </si>
  <si>
    <t>لانا محمد النوافلة</t>
  </si>
  <si>
    <t>قاسم محمود عبدالله خليفات</t>
  </si>
  <si>
    <t>سجى الطرابلسي</t>
  </si>
  <si>
    <t>سلمى حسين العبيد</t>
  </si>
  <si>
    <t>ايمان هارون الحسنات</t>
  </si>
  <si>
    <t>رماح عبدالله محمد النصرات</t>
  </si>
  <si>
    <t>عائشة  احمد موسى الحسنات</t>
  </si>
  <si>
    <t>ملاك رافت الخلايفه</t>
  </si>
  <si>
    <t>ابتسام هارون النعيمات</t>
  </si>
  <si>
    <t>عائشة رأفت الخلايفه</t>
  </si>
  <si>
    <t>ولاء جديان صالح الفضول</t>
  </si>
  <si>
    <t>خالد علي هارون النوافلة</t>
  </si>
  <si>
    <t>قيس خالد الفرجات</t>
  </si>
  <si>
    <t>غدير علي العمرات</t>
  </si>
  <si>
    <t>اسماء علي احمد الهلالات</t>
  </si>
  <si>
    <t>حنان احمد الفلاحات</t>
  </si>
  <si>
    <t>حكمت احمد السلامين</t>
  </si>
  <si>
    <t>دانيال حكمت السلامين</t>
  </si>
  <si>
    <t>مريم سلمان الهلالات</t>
  </si>
  <si>
    <t>محمود المشاعله</t>
  </si>
  <si>
    <t>سحر محمد النوافلة</t>
  </si>
  <si>
    <t>ابراهيم احمد عبدالكريم الحسنات</t>
  </si>
  <si>
    <t>صابرين محمود الخليفات</t>
  </si>
  <si>
    <t>عبير محمد النوافلة</t>
  </si>
  <si>
    <t>حمد امجد</t>
  </si>
  <si>
    <t>عائشة احمد الحسنات</t>
  </si>
  <si>
    <t>لمار عطالله المراعيه</t>
  </si>
  <si>
    <t>حمزة صبحي النوافلة</t>
  </si>
  <si>
    <t>عيسى محمود خليل الشماسين</t>
  </si>
  <si>
    <t>كندا عامر محمد السعيدات</t>
  </si>
  <si>
    <t>نهى احمد الحمادين</t>
  </si>
  <si>
    <t>جوادعيد محمد سلمان النوافلة</t>
  </si>
  <si>
    <t>هدى طلال عبدالله الحسنات</t>
  </si>
  <si>
    <t>الين عيد النوافلة</t>
  </si>
  <si>
    <t>هزاع الرواجفة</t>
  </si>
  <si>
    <t>فارس حمله</t>
  </si>
  <si>
    <t>فاتين غازي داود</t>
  </si>
  <si>
    <t>فرح طلال عبدالله الحسنات</t>
  </si>
  <si>
    <t>عيد محمد النوافلة</t>
  </si>
  <si>
    <t>صقر حكمت السلامين</t>
  </si>
  <si>
    <t>لمى محمد الهلالات</t>
  </si>
  <si>
    <t>امير محمد عادل الهلالات</t>
  </si>
  <si>
    <t>جيهان هارون الحسنات</t>
  </si>
  <si>
    <t>حليمة محمود</t>
  </si>
  <si>
    <t>محمد امهاوش السلامين</t>
  </si>
  <si>
    <t>عاكف الحسنات</t>
  </si>
  <si>
    <t>محمد علي السلامين</t>
  </si>
  <si>
    <t>ليث عوض الخوالدة</t>
  </si>
  <si>
    <t>ابراهيم عبدالله النوافلة</t>
  </si>
  <si>
    <t>ابراهيم سنيان عيسى الرواجفة</t>
  </si>
  <si>
    <t>سحر الصوالحة</t>
  </si>
  <si>
    <t>زيد النوافلة</t>
  </si>
  <si>
    <t>خليل يوسف صقر</t>
  </si>
  <si>
    <t>ليان صهيب السعيدات</t>
  </si>
  <si>
    <t>ايات المومني</t>
  </si>
  <si>
    <t>ايات محمد الرواجفه</t>
  </si>
  <si>
    <t>فاطمه احمد الهلالات</t>
  </si>
  <si>
    <t>سحر النوافلة</t>
  </si>
  <si>
    <t>محمود المشاعلة</t>
  </si>
  <si>
    <t>سلمى عامر الاسعيدات</t>
  </si>
  <si>
    <t>جعفر علي الفلحات</t>
  </si>
  <si>
    <t>بندر محمد الصباحين</t>
  </si>
  <si>
    <t>يوسف يحيى محمود الشماسين</t>
  </si>
  <si>
    <t>لمار عطالله المراعية</t>
  </si>
  <si>
    <t>فيصل اسماعيل النصرات</t>
  </si>
  <si>
    <t>خولة الهلالات</t>
  </si>
  <si>
    <t>رشاد محمد بدوي</t>
  </si>
  <si>
    <t>خالد هارون النوافلة</t>
  </si>
  <si>
    <t>88463947/1</t>
  </si>
  <si>
    <t>ملاك صخر احمد السعيدات</t>
  </si>
  <si>
    <t>رولا النوافلة</t>
  </si>
  <si>
    <t>موسى عمر الفرجات</t>
  </si>
  <si>
    <t>ايات محمد المومني</t>
  </si>
  <si>
    <t>احمد موسى الحميدات</t>
  </si>
  <si>
    <t>سمير خميس الهلالات</t>
  </si>
  <si>
    <t>رامي محمد العمرات</t>
  </si>
  <si>
    <t>همام سليمان المشاعله</t>
  </si>
  <si>
    <t>محمد يوسف السلامين</t>
  </si>
  <si>
    <t>ابراهيم سنيان عيسى الرواجفه</t>
  </si>
  <si>
    <t>سحر محمد سلمان النوافلة</t>
  </si>
  <si>
    <t>خلدون ماجد الهلول</t>
  </si>
  <si>
    <t>ياسين سليمان العمرات</t>
  </si>
  <si>
    <t>بيان هارون الهلالات</t>
  </si>
  <si>
    <t>سدين فايق الفلحات</t>
  </si>
  <si>
    <t>ايات بركات محمود المومني</t>
  </si>
  <si>
    <t>احمد عقيل الرواضية</t>
  </si>
  <si>
    <t>ريماس يحيى الشماسين</t>
  </si>
  <si>
    <t>يحيى الشماسين</t>
  </si>
  <si>
    <t>نزار شاكر مصطفى</t>
  </si>
  <si>
    <t>انتصار عامر السعيدات</t>
  </si>
  <si>
    <t>ايمان هارون موسى الحسنات</t>
  </si>
  <si>
    <t>حنان احمد الفلحات</t>
  </si>
  <si>
    <t>كندا عامر السعيدات</t>
  </si>
  <si>
    <t>ليان يحيى الشماسين</t>
  </si>
  <si>
    <t>محمد سعيد ابوبكر</t>
  </si>
  <si>
    <t>دانا يحيى الشماسين</t>
  </si>
  <si>
    <t>محمد العمرات</t>
  </si>
  <si>
    <t>حسام الهاشم</t>
  </si>
  <si>
    <t>عبدالله حسن الطيب</t>
  </si>
  <si>
    <t>اليمامه ناصر الشماسين</t>
  </si>
  <si>
    <t>ساجده علي العمرات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</si>
</sst>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0\ _د_._ا_._‏_-;\-* #,##0.000\ _د_._ا_._‏_-;_-* &quot;-&quot;???\ _د_._ا_._‏_-;_-@_-"/>
    <numFmt numFmtId="165" formatCode="yyyy\-mm\-dd"/>
    <numFmt numFmtId="166" formatCode="#,##0.000\ _د_._ا_._‏"/>
  </numFmts>
  <fonts count="6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b/>
      <sz val="10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auto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0" fontId="4" fillId="0" borderId="1" xfId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6" fontId="5" fillId="0" borderId="1" xfId="1" applyNumberFormat="1" applyFont="1" applyBorder="1" applyAlignment="1">
      <alignment horizontal="center"/>
    </xf>
    <xf numFmtId="165" fontId="0" fillId="0" borderId="0" xfId="0" applyNumberFormat="1"/>
    <xf numFmtId="0" fontId="2" fillId="2" borderId="0" xfId="0" applyFont="1" applyFill="1"/>
    <xf numFmtId="14" fontId="2" fillId="2" borderId="0" xfId="0" applyNumberFormat="1" applyFont="1" applyFill="1"/>
    <xf numFmtId="164" fontId="2" fillId="2" borderId="0" xfId="0" applyNumberFormat="1" applyFont="1" applyFill="1"/>
    <xf numFmtId="164" fontId="0" fillId="2" borderId="0" xfId="0" applyNumberFormat="1" applyFill="1"/>
  </cellXfs>
  <cellStyles count="3">
    <cellStyle name="Normal" xfId="0" builtinId="0"/>
    <cellStyle name="Normal 2" xfId="2" xr:uid="{00000000-0005-0000-0000-000002000000}"/>
    <cellStyle name="Normal 3" xfId="1" xr:uid="{00000000-0005-0000-0000-000001000000}"/>
  </cellStyles>
  <dxfs count="16">
    <dxf>
      <numFmt numFmtId="164" formatCode="_-* #,##0.000\ _د_._ا_._‏_-;\-* #,##0.000\ _د_._ا_._‏_-;_-* &quot;-&quot;???\ _د_._ا_._‏_-;_-@_-"/>
      <fill>
        <patternFill>
          <fgColor indexed="64"/>
          <bgColor auto="1"/>
        </patternFill>
      </fill>
    </dxf>
    <dxf>
      <numFmt numFmtId="164" formatCode="_-* #,##0.000\ _د_._ا_._‏_-;\-* #,##0.000\ _د_._ا_._‏_-;_-* &quot;-&quot;???\ _د_._ا_._‏_-;_-@_-"/>
      <fill>
        <patternFill>
          <fgColor indexed="64"/>
          <bgColor auto="1"/>
        </patternFill>
      </fill>
    </dxf>
    <dxf>
      <numFmt numFmtId="164" formatCode="_-* #,##0.000\ _د_._ا_._‏_-;\-* #,##0.000\ _د_._ا_._‏_-;_-* &quot;-&quot;???\ _د_._ا_._‏_-;_-@_-"/>
      <fill>
        <patternFill>
          <fgColor indexed="64"/>
          <bgColor auto="1"/>
        </patternFill>
      </fill>
    </dxf>
    <dxf>
      <numFmt numFmtId="164" formatCode="_-* #,##0.000\ _د_._ا_._‏_-;\-* #,##0.000\ _د_._ا_._‏_-;_-* &quot;-&quot;???\ _د_._ا_._‏_-;_-@_-"/>
      <fill>
        <patternFill>
          <fgColor indexed="64"/>
          <bgColor auto="1"/>
        </patternFill>
      </fill>
    </dxf>
    <dxf>
      <numFmt numFmtId="164" formatCode="_-* #,##0.000\ _د_._ا_._‏_-;\-* #,##0.000\ _د_._ا_._‏_-;_-* &quot;-&quot;???\ _د_._ا_._‏_-;_-@_-"/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numFmt numFmtId="164" formatCode="_-* #,##0.000\ _د_._ا_._‏_-;\-* #,##0.000\ _د_._ا_._‏_-;_-* &quot;-&quot;???\ _د_._ا_._‏_-;_-@_-"/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numFmt numFmtId="164" formatCode="_-* #,##0.000\ _د_._ا_._‏_-;\-* #,##0.000\ _د_._ا_._‏_-;_-* &quot;-&quot;???\ _د_._ا_._‏_-;_-@_-"/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numFmt numFmtId="164" formatCode="_-* #,##0.000\ _د_._ا_._‏_-;\-* #,##0.000\ _د_._ا_._‏_-;_-* &quot;-&quot;???\ _د_._ا_._‏_-;_-@_-"/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numFmt numFmtId="19" formatCode="dd/mm/yyyy"/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Aptos Narrow"/>
        <family val="2"/>
        <scheme val="minor"/>
      </font>
      <numFmt numFmtId="166" formatCode="#,##0.000\ _د_._ا_._‏"/>
      <fill>
        <patternFill>
          <fgColor indexed="64"/>
          <bgColor auto="1"/>
        </patternFill>
      </fill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715" totalsRowShown="0" headerRowDxfId="15" dataDxfId="14">
  <autoFilter ref="A1:N715" xr:uid="{00000000-0009-0000-0100-000001000000}"/>
  <sortState xmlns:xlrd2="http://schemas.microsoft.com/office/spreadsheetml/2017/richdata2" ref="A2:N676">
    <sortCondition ref="F1:F676"/>
  </sortState>
  <tableColumns count="14">
    <tableColumn id="1" xr3:uid="{00000000-0010-0000-0000-000001000000}" name="الرقم" dataDxfId="13"/>
    <tableColumn id="2" xr3:uid="{00000000-0010-0000-0000-000002000000}" name="رقم الموظف /رقم البطاقة" dataDxfId="12"/>
    <tableColumn id="3" xr3:uid="{00000000-0010-0000-0000-000003000000}" name="اسم المريض" dataDxfId="11"/>
    <tableColumn id="4" xr3:uid="{00000000-0010-0000-0000-000004000000}" name="رقم النموذج" dataDxfId="10"/>
    <tableColumn id="5" xr3:uid="{00000000-0010-0000-0000-000005000000}" name="نوع المستفيد" dataDxfId="9"/>
    <tableColumn id="6" xr3:uid="{00000000-0010-0000-0000-000006000000}" name="تاريخ البيع" dataDxfId="8"/>
    <tableColumn id="7" xr3:uid="{00000000-0010-0000-0000-000007000000}" name="قيمة الفاتورة" dataDxfId="7"/>
    <tableColumn id="8" xr3:uid="{00000000-0010-0000-0000-000008000000}" name="قيمة المشاركة" dataDxfId="6"/>
    <tableColumn id="9" xr3:uid="{00000000-0010-0000-0000-000009000000}" name="صافي القيمة" dataDxfId="5"/>
    <tableColumn id="10" xr3:uid="{00000000-0010-0000-0000-00000A000000}" name="القيمة المطلوبة" dataDxfId="4">
      <calculatedColumnFormula>G2*0.94-H2</calculatedColumnFormula>
    </tableColumn>
    <tableColumn id="11" xr3:uid="{00000000-0010-0000-0000-00000B000000}" name="المدفوع" dataDxfId="3"/>
    <tableColumn id="12" xr3:uid="{00000000-0010-0000-0000-00000C000000}" name="المتبقي" dataDxfId="2">
      <calculatedColumnFormula>J2-K2</calculatedColumnFormula>
    </tableColumn>
    <tableColumn id="13" xr3:uid="{00000000-0010-0000-0000-00000D000000}" name="تاريخ الدفعة" dataDxfId="1"/>
    <tableColumn id="14" xr3:uid="{00000000-0010-0000-0000-00000E000000}" name="Insurance Company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5"/>
  <sheetViews>
    <sheetView rightToLeft="1" tabSelected="1" topLeftCell="A697" zoomScale="90" zoomScaleNormal="90" workbookViewId="0">
      <selection activeCell="H724" sqref="H724"/>
    </sheetView>
  </sheetViews>
  <sheetFormatPr defaultRowHeight="13.8" x14ac:dyDescent="0.25"/>
  <cols>
    <col min="1" max="1" width="5.19921875" customWidth="1"/>
    <col min="2" max="2" width="16.59765625" customWidth="1"/>
    <col min="3" max="3" width="35.296875" bestFit="1" customWidth="1"/>
    <col min="4" max="4" width="9.59765625" bestFit="1" customWidth="1"/>
    <col min="5" max="5" width="10" customWidth="1"/>
    <col min="6" max="6" width="9.296875" style="1" bestFit="1" customWidth="1"/>
    <col min="7" max="7" width="13.69921875" style="5" bestFit="1" customWidth="1"/>
    <col min="8" max="8" width="12.69921875" style="5" customWidth="1"/>
    <col min="9" max="9" width="13.69921875" style="5" bestFit="1" customWidth="1"/>
    <col min="10" max="10" width="11.19921875" style="5" customWidth="1"/>
    <col min="11" max="11" width="13.19921875" style="5" customWidth="1"/>
    <col min="12" max="12" width="11.796875" style="5" customWidth="1"/>
    <col min="13" max="13" width="10.296875" customWidth="1"/>
    <col min="14" max="14" width="22.3984375" customWidth="1"/>
  </cols>
  <sheetData>
    <row r="1" spans="1:14" ht="14.4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9" t="s">
        <v>13</v>
      </c>
    </row>
    <row r="2" spans="1:14" ht="14.4" customHeight="1" x14ac:dyDescent="0.3">
      <c r="A2" s="2">
        <v>2</v>
      </c>
      <c r="B2" s="2">
        <v>1988623</v>
      </c>
      <c r="C2" s="2" t="s">
        <v>16</v>
      </c>
      <c r="D2" s="2">
        <v>86812285</v>
      </c>
      <c r="E2" s="2" t="s">
        <v>15</v>
      </c>
      <c r="F2" s="3">
        <v>45778</v>
      </c>
      <c r="G2" s="4">
        <v>13.81</v>
      </c>
      <c r="H2" s="4">
        <v>2.0710000000000002</v>
      </c>
      <c r="I2" s="4">
        <v>11.739000000000001</v>
      </c>
      <c r="J2" s="5">
        <f t="shared" ref="J2:J65" si="0">G2*0.94-H2</f>
        <v>10.910399999999999</v>
      </c>
      <c r="K2" s="5">
        <f>Table1[[#This Row],[القيمة المطلوبة]]</f>
        <v>10.910399999999999</v>
      </c>
      <c r="L2" s="5">
        <f t="shared" ref="L2:L65" si="1">J2-K2</f>
        <v>0</v>
      </c>
      <c r="M2" s="5"/>
      <c r="N2" s="5"/>
    </row>
    <row r="3" spans="1:14" ht="14.4" customHeight="1" x14ac:dyDescent="0.3">
      <c r="A3" s="2">
        <v>1</v>
      </c>
      <c r="B3" s="2">
        <v>1988813</v>
      </c>
      <c r="C3" s="2" t="s">
        <v>14</v>
      </c>
      <c r="D3" s="2">
        <v>86812099</v>
      </c>
      <c r="E3" s="2" t="s">
        <v>15</v>
      </c>
      <c r="F3" s="3">
        <v>45778</v>
      </c>
      <c r="G3" s="4">
        <v>40.07</v>
      </c>
      <c r="H3" s="4">
        <v>6.01</v>
      </c>
      <c r="I3" s="4">
        <v>34.06</v>
      </c>
      <c r="J3" s="5">
        <f t="shared" si="0"/>
        <v>31.655799999999999</v>
      </c>
      <c r="K3" s="5">
        <f>Table1[[#This Row],[القيمة المطلوبة]]</f>
        <v>31.655799999999999</v>
      </c>
      <c r="L3" s="5">
        <f t="shared" si="1"/>
        <v>0</v>
      </c>
      <c r="M3" s="5"/>
      <c r="N3" s="5"/>
    </row>
    <row r="4" spans="1:14" ht="14.4" customHeight="1" x14ac:dyDescent="0.3">
      <c r="A4" s="2">
        <v>3</v>
      </c>
      <c r="B4" s="2">
        <v>1988686</v>
      </c>
      <c r="C4" s="2" t="s">
        <v>18</v>
      </c>
      <c r="D4" s="2">
        <v>86811004</v>
      </c>
      <c r="E4" s="2" t="s">
        <v>19</v>
      </c>
      <c r="F4" s="3">
        <v>45781</v>
      </c>
      <c r="G4" s="4">
        <v>26.19</v>
      </c>
      <c r="H4" s="4">
        <v>3.9279999999999999</v>
      </c>
      <c r="I4" s="4">
        <v>22.262</v>
      </c>
      <c r="J4" s="5">
        <f t="shared" si="0"/>
        <v>20.6906</v>
      </c>
      <c r="K4" s="5">
        <f>Table1[[#This Row],[القيمة المطلوبة]]</f>
        <v>20.6906</v>
      </c>
      <c r="L4" s="5">
        <f t="shared" si="1"/>
        <v>0</v>
      </c>
      <c r="M4" s="5"/>
      <c r="N4" s="5"/>
    </row>
    <row r="5" spans="1:14" ht="14.4" customHeight="1" x14ac:dyDescent="0.3">
      <c r="A5" s="2">
        <v>4</v>
      </c>
      <c r="B5" s="2">
        <v>1966859</v>
      </c>
      <c r="C5" s="2" t="s">
        <v>17</v>
      </c>
      <c r="D5" s="2">
        <v>85430881</v>
      </c>
      <c r="E5" s="2" t="s">
        <v>15</v>
      </c>
      <c r="F5" s="3">
        <v>45781</v>
      </c>
      <c r="G5" s="4">
        <v>51.88</v>
      </c>
      <c r="H5" s="4">
        <v>10.375999999999999</v>
      </c>
      <c r="I5" s="4">
        <v>41.503999999999998</v>
      </c>
      <c r="J5" s="5">
        <f t="shared" si="0"/>
        <v>38.391200000000005</v>
      </c>
      <c r="K5" s="5">
        <f>Table1[[#This Row],[القيمة المطلوبة]]</f>
        <v>38.391200000000005</v>
      </c>
      <c r="L5" s="5">
        <f t="shared" si="1"/>
        <v>0</v>
      </c>
      <c r="M5" s="5"/>
      <c r="N5" s="5"/>
    </row>
    <row r="6" spans="1:14" ht="14.4" customHeight="1" x14ac:dyDescent="0.3">
      <c r="A6" s="2">
        <v>6</v>
      </c>
      <c r="B6" s="2">
        <v>1993715</v>
      </c>
      <c r="C6" s="2" t="s">
        <v>21</v>
      </c>
      <c r="D6" s="2">
        <v>86444496</v>
      </c>
      <c r="E6" s="2" t="s">
        <v>15</v>
      </c>
      <c r="F6" s="3">
        <v>45782</v>
      </c>
      <c r="G6" s="4">
        <v>5.72</v>
      </c>
      <c r="H6" s="4">
        <v>0</v>
      </c>
      <c r="I6" s="4">
        <v>5.72</v>
      </c>
      <c r="J6" s="5">
        <f t="shared" si="0"/>
        <v>5.3767999999999994</v>
      </c>
      <c r="K6" s="5">
        <f>Table1[[#This Row],[القيمة المطلوبة]]</f>
        <v>5.3767999999999994</v>
      </c>
      <c r="L6" s="5">
        <f t="shared" si="1"/>
        <v>0</v>
      </c>
      <c r="M6" s="5"/>
      <c r="N6" s="5"/>
    </row>
    <row r="7" spans="1:14" ht="14.4" customHeight="1" x14ac:dyDescent="0.3">
      <c r="A7" s="2">
        <v>5</v>
      </c>
      <c r="B7" s="2">
        <v>1993714</v>
      </c>
      <c r="C7" s="2" t="s">
        <v>20</v>
      </c>
      <c r="D7" s="2">
        <v>86444494</v>
      </c>
      <c r="E7" s="2" t="s">
        <v>15</v>
      </c>
      <c r="F7" s="3">
        <v>45782</v>
      </c>
      <c r="G7" s="4">
        <v>7.18</v>
      </c>
      <c r="H7" s="4">
        <v>0</v>
      </c>
      <c r="I7" s="4">
        <v>7.18</v>
      </c>
      <c r="J7" s="5">
        <f t="shared" si="0"/>
        <v>6.7491999999999992</v>
      </c>
      <c r="K7" s="5">
        <f>Table1[[#This Row],[القيمة المطلوبة]]</f>
        <v>6.7491999999999992</v>
      </c>
      <c r="L7" s="5">
        <f t="shared" si="1"/>
        <v>0</v>
      </c>
      <c r="M7" s="5"/>
      <c r="N7" s="5"/>
    </row>
    <row r="8" spans="1:14" ht="14.4" customHeight="1" x14ac:dyDescent="0.3">
      <c r="A8" s="2">
        <v>7</v>
      </c>
      <c r="B8" s="2">
        <v>1970947</v>
      </c>
      <c r="C8" s="2" t="s">
        <v>23</v>
      </c>
      <c r="D8" s="2">
        <v>85836870</v>
      </c>
      <c r="E8" s="2" t="s">
        <v>15</v>
      </c>
      <c r="F8" s="3">
        <v>45783</v>
      </c>
      <c r="G8" s="4">
        <v>12.29</v>
      </c>
      <c r="H8" s="4">
        <v>1.2290000000000001</v>
      </c>
      <c r="I8" s="4">
        <v>11.061</v>
      </c>
      <c r="J8" s="5">
        <f t="shared" si="0"/>
        <v>10.323599999999999</v>
      </c>
      <c r="K8" s="5">
        <f>Table1[[#This Row],[القيمة المطلوبة]]</f>
        <v>10.323599999999999</v>
      </c>
      <c r="L8" s="5">
        <f t="shared" si="1"/>
        <v>0</v>
      </c>
      <c r="M8" s="5"/>
      <c r="N8" s="5"/>
    </row>
    <row r="9" spans="1:14" ht="14.4" customHeight="1" x14ac:dyDescent="0.3">
      <c r="A9" s="2">
        <v>8</v>
      </c>
      <c r="B9" s="2">
        <v>1988853</v>
      </c>
      <c r="C9" s="2" t="s">
        <v>22</v>
      </c>
      <c r="D9" s="2">
        <v>86815136</v>
      </c>
      <c r="E9" s="2" t="s">
        <v>19</v>
      </c>
      <c r="F9" s="3">
        <v>45783</v>
      </c>
      <c r="G9" s="4">
        <v>43.48</v>
      </c>
      <c r="H9" s="4">
        <v>6.5220000000000002</v>
      </c>
      <c r="I9" s="4">
        <v>36.957999999999998</v>
      </c>
      <c r="J9" s="5">
        <f t="shared" si="0"/>
        <v>34.349199999999996</v>
      </c>
      <c r="K9" s="5">
        <f>Table1[[#This Row],[القيمة المطلوبة]]</f>
        <v>34.349199999999996</v>
      </c>
      <c r="L9" s="5">
        <f t="shared" si="1"/>
        <v>0</v>
      </c>
      <c r="M9" s="5"/>
      <c r="N9" s="5"/>
    </row>
    <row r="10" spans="1:14" ht="14.4" customHeight="1" x14ac:dyDescent="0.3">
      <c r="A10" s="2">
        <v>9</v>
      </c>
      <c r="B10" s="2">
        <v>1872954</v>
      </c>
      <c r="C10" s="2" t="s">
        <v>24</v>
      </c>
      <c r="D10" s="2">
        <v>55256417</v>
      </c>
      <c r="E10" s="2" t="s">
        <v>19</v>
      </c>
      <c r="F10" s="3">
        <v>45784</v>
      </c>
      <c r="G10" s="4">
        <v>18.3</v>
      </c>
      <c r="H10" s="4">
        <v>3.66</v>
      </c>
      <c r="I10" s="4">
        <v>14.64</v>
      </c>
      <c r="J10" s="5">
        <f t="shared" si="0"/>
        <v>13.541999999999998</v>
      </c>
      <c r="K10" s="5">
        <f>Table1[[#This Row],[القيمة المطلوبة]]</f>
        <v>13.541999999999998</v>
      </c>
      <c r="L10" s="5">
        <f t="shared" si="1"/>
        <v>0</v>
      </c>
      <c r="M10" s="5"/>
      <c r="N10" s="5"/>
    </row>
    <row r="11" spans="1:14" ht="14.4" customHeight="1" x14ac:dyDescent="0.3">
      <c r="A11" s="2">
        <v>10</v>
      </c>
      <c r="B11" s="2">
        <v>1988661</v>
      </c>
      <c r="C11" s="2" t="s">
        <v>25</v>
      </c>
      <c r="D11" s="2">
        <v>86812208</v>
      </c>
      <c r="E11" s="2" t="s">
        <v>15</v>
      </c>
      <c r="F11" s="3">
        <v>45784</v>
      </c>
      <c r="G11" s="4">
        <v>19.170000000000002</v>
      </c>
      <c r="H11" s="4">
        <v>2.875</v>
      </c>
      <c r="I11" s="4">
        <v>16.295000000000002</v>
      </c>
      <c r="J11" s="5">
        <f t="shared" si="0"/>
        <v>15.1448</v>
      </c>
      <c r="K11" s="5">
        <f>Table1[[#This Row],[القيمة المطلوبة]]</f>
        <v>15.1448</v>
      </c>
      <c r="L11" s="5">
        <f t="shared" si="1"/>
        <v>0</v>
      </c>
      <c r="M11" s="5"/>
      <c r="N11" s="5"/>
    </row>
    <row r="12" spans="1:14" ht="14.4" customHeight="1" x14ac:dyDescent="0.3">
      <c r="A12" s="2">
        <v>12</v>
      </c>
      <c r="B12" s="2">
        <v>1966860</v>
      </c>
      <c r="C12" s="2" t="s">
        <v>27</v>
      </c>
      <c r="D12" s="2">
        <v>85427247</v>
      </c>
      <c r="E12" s="2" t="s">
        <v>15</v>
      </c>
      <c r="F12" s="3">
        <v>45788</v>
      </c>
      <c r="G12" s="4">
        <v>16.63</v>
      </c>
      <c r="H12" s="4">
        <v>3.3260000000000001</v>
      </c>
      <c r="I12" s="4">
        <v>13.304</v>
      </c>
      <c r="J12" s="5">
        <f t="shared" si="0"/>
        <v>12.306199999999997</v>
      </c>
      <c r="K12" s="5">
        <f>Table1[[#This Row],[القيمة المطلوبة]]</f>
        <v>12.306199999999997</v>
      </c>
      <c r="L12" s="5">
        <f t="shared" si="1"/>
        <v>0</v>
      </c>
      <c r="M12" s="5"/>
      <c r="N12" s="5"/>
    </row>
    <row r="13" spans="1:14" ht="14.4" customHeight="1" x14ac:dyDescent="0.3">
      <c r="A13" s="2">
        <v>11</v>
      </c>
      <c r="B13" s="2">
        <v>793305</v>
      </c>
      <c r="C13" s="2" t="s">
        <v>26</v>
      </c>
      <c r="D13" s="2">
        <v>86414820</v>
      </c>
      <c r="E13" s="2" t="s">
        <v>19</v>
      </c>
      <c r="F13" s="3">
        <v>45788</v>
      </c>
      <c r="G13" s="4">
        <v>41.3</v>
      </c>
      <c r="H13" s="4">
        <v>4.13</v>
      </c>
      <c r="I13" s="4">
        <v>37.17</v>
      </c>
      <c r="J13" s="5">
        <f t="shared" si="0"/>
        <v>34.691999999999993</v>
      </c>
      <c r="K13" s="5">
        <f>Table1[[#This Row],[القيمة المطلوبة]]</f>
        <v>34.691999999999993</v>
      </c>
      <c r="L13" s="5">
        <f t="shared" si="1"/>
        <v>0</v>
      </c>
      <c r="M13" s="5"/>
      <c r="N13" s="5"/>
    </row>
    <row r="14" spans="1:14" ht="14.4" customHeight="1" x14ac:dyDescent="0.3">
      <c r="A14" s="2">
        <v>15</v>
      </c>
      <c r="B14" s="2">
        <v>1988751</v>
      </c>
      <c r="C14" s="2" t="s">
        <v>30</v>
      </c>
      <c r="D14" s="2">
        <v>2507241</v>
      </c>
      <c r="E14" s="2" t="s">
        <v>19</v>
      </c>
      <c r="F14" s="3">
        <v>45789</v>
      </c>
      <c r="G14" s="4">
        <v>17.46</v>
      </c>
      <c r="H14" s="4">
        <v>2.6190000000000002</v>
      </c>
      <c r="I14" s="4">
        <v>14.840999999999999</v>
      </c>
      <c r="J14" s="5">
        <f t="shared" si="0"/>
        <v>13.793399999999998</v>
      </c>
      <c r="K14" s="5">
        <f>Table1[[#This Row],[القيمة المطلوبة]]</f>
        <v>13.793399999999998</v>
      </c>
      <c r="L14" s="5">
        <f t="shared" si="1"/>
        <v>0</v>
      </c>
      <c r="M14" s="5"/>
      <c r="N14" s="5"/>
    </row>
    <row r="15" spans="1:14" ht="14.4" customHeight="1" x14ac:dyDescent="0.3">
      <c r="A15" s="2">
        <v>14</v>
      </c>
      <c r="B15" s="2">
        <v>1988680</v>
      </c>
      <c r="C15" s="2" t="s">
        <v>29</v>
      </c>
      <c r="D15" s="2">
        <v>86811017</v>
      </c>
      <c r="E15" s="2" t="s">
        <v>19</v>
      </c>
      <c r="F15" s="3">
        <v>45789</v>
      </c>
      <c r="G15" s="4">
        <v>52.55</v>
      </c>
      <c r="H15" s="4">
        <v>7.8819999999999997</v>
      </c>
      <c r="I15" s="4">
        <v>44.667999999999999</v>
      </c>
      <c r="J15" s="5">
        <f t="shared" si="0"/>
        <v>41.514999999999993</v>
      </c>
      <c r="K15" s="5">
        <f>Table1[[#This Row],[القيمة المطلوبة]]</f>
        <v>41.514999999999993</v>
      </c>
      <c r="L15" s="5">
        <f t="shared" si="1"/>
        <v>0</v>
      </c>
      <c r="M15" s="5"/>
      <c r="N15" s="5"/>
    </row>
    <row r="16" spans="1:14" ht="14.4" customHeight="1" x14ac:dyDescent="0.3">
      <c r="A16" s="2">
        <v>13</v>
      </c>
      <c r="B16" s="2">
        <v>1988681</v>
      </c>
      <c r="C16" s="2" t="s">
        <v>28</v>
      </c>
      <c r="D16" s="2">
        <v>86811861</v>
      </c>
      <c r="E16" s="2" t="s">
        <v>15</v>
      </c>
      <c r="F16" s="3">
        <v>45789</v>
      </c>
      <c r="G16" s="4">
        <v>70.98</v>
      </c>
      <c r="H16" s="4">
        <v>10.647</v>
      </c>
      <c r="I16" s="4">
        <v>60.332999999999998</v>
      </c>
      <c r="J16" s="5">
        <f t="shared" si="0"/>
        <v>56.074199999999998</v>
      </c>
      <c r="K16" s="5">
        <f>Table1[[#This Row],[القيمة المطلوبة]]</f>
        <v>56.074199999999998</v>
      </c>
      <c r="L16" s="5">
        <f t="shared" si="1"/>
        <v>0</v>
      </c>
      <c r="M16" s="5"/>
      <c r="N16" s="5"/>
    </row>
    <row r="17" spans="1:14" ht="14.4" customHeight="1" x14ac:dyDescent="0.3">
      <c r="A17" s="2">
        <v>16</v>
      </c>
      <c r="B17" s="2">
        <v>1988622</v>
      </c>
      <c r="C17" s="2" t="s">
        <v>31</v>
      </c>
      <c r="D17" s="2">
        <v>86811830</v>
      </c>
      <c r="E17" s="2" t="s">
        <v>15</v>
      </c>
      <c r="F17" s="3">
        <v>45790</v>
      </c>
      <c r="G17" s="4">
        <v>49.77</v>
      </c>
      <c r="H17" s="4">
        <v>7.4649999999999999</v>
      </c>
      <c r="I17" s="4">
        <v>42.305</v>
      </c>
      <c r="J17" s="5">
        <f t="shared" si="0"/>
        <v>39.318799999999996</v>
      </c>
      <c r="K17" s="5">
        <f>Table1[[#This Row],[القيمة المطلوبة]]</f>
        <v>39.318799999999996</v>
      </c>
      <c r="L17" s="5">
        <f t="shared" si="1"/>
        <v>0</v>
      </c>
      <c r="M17" s="5"/>
      <c r="N17" s="5"/>
    </row>
    <row r="18" spans="1:14" ht="14.4" customHeight="1" x14ac:dyDescent="0.3">
      <c r="A18" s="2">
        <v>17</v>
      </c>
      <c r="B18" s="2">
        <v>1988751</v>
      </c>
      <c r="C18" s="2" t="s">
        <v>32</v>
      </c>
      <c r="D18" s="2">
        <v>86810872</v>
      </c>
      <c r="E18" s="2" t="s">
        <v>19</v>
      </c>
      <c r="F18" s="3">
        <v>45791</v>
      </c>
      <c r="G18" s="4">
        <v>44.96</v>
      </c>
      <c r="H18" s="4">
        <v>6.7439999999999998</v>
      </c>
      <c r="I18" s="4">
        <v>38.216000000000001</v>
      </c>
      <c r="J18" s="5">
        <f t="shared" si="0"/>
        <v>35.5184</v>
      </c>
      <c r="K18" s="5">
        <f>Table1[[#This Row],[القيمة المطلوبة]]</f>
        <v>35.5184</v>
      </c>
      <c r="L18" s="5">
        <f t="shared" si="1"/>
        <v>0</v>
      </c>
      <c r="M18" s="5"/>
      <c r="N18" s="5"/>
    </row>
    <row r="19" spans="1:14" ht="14.4" customHeight="1" x14ac:dyDescent="0.3">
      <c r="A19" s="2">
        <v>22</v>
      </c>
      <c r="B19" s="2">
        <v>1988814</v>
      </c>
      <c r="C19" s="2" t="s">
        <v>38</v>
      </c>
      <c r="D19" s="2">
        <v>86812195</v>
      </c>
      <c r="E19" s="2" t="s">
        <v>15</v>
      </c>
      <c r="F19" s="3">
        <v>45792</v>
      </c>
      <c r="G19" s="4">
        <v>13</v>
      </c>
      <c r="H19" s="4">
        <v>1.95</v>
      </c>
      <c r="I19" s="4">
        <v>11.05</v>
      </c>
      <c r="J19" s="5">
        <f t="shared" si="0"/>
        <v>10.27</v>
      </c>
      <c r="K19" s="5">
        <f>Table1[[#This Row],[القيمة المطلوبة]]</f>
        <v>10.27</v>
      </c>
      <c r="L19" s="5">
        <f t="shared" si="1"/>
        <v>0</v>
      </c>
      <c r="M19" s="5"/>
      <c r="N19" s="5"/>
    </row>
    <row r="20" spans="1:14" ht="14.4" customHeight="1" x14ac:dyDescent="0.3">
      <c r="A20" s="2">
        <v>23</v>
      </c>
      <c r="B20" s="2">
        <v>1872955</v>
      </c>
      <c r="C20" s="2" t="s">
        <v>37</v>
      </c>
      <c r="D20" s="2">
        <v>55256411</v>
      </c>
      <c r="E20" s="2" t="s">
        <v>15</v>
      </c>
      <c r="F20" s="3">
        <v>45792</v>
      </c>
      <c r="G20" s="4">
        <v>15.44</v>
      </c>
      <c r="H20" s="4">
        <v>3.0880000000000001</v>
      </c>
      <c r="I20" s="4">
        <v>12.352</v>
      </c>
      <c r="J20" s="5">
        <f t="shared" si="0"/>
        <v>11.425599999999999</v>
      </c>
      <c r="K20" s="5">
        <f>Table1[[#This Row],[القيمة المطلوبة]]</f>
        <v>11.425599999999999</v>
      </c>
      <c r="L20" s="5">
        <f t="shared" si="1"/>
        <v>0</v>
      </c>
      <c r="M20" s="5"/>
      <c r="N20" s="5"/>
    </row>
    <row r="21" spans="1:14" ht="14.4" customHeight="1" x14ac:dyDescent="0.3">
      <c r="A21" s="2">
        <v>21</v>
      </c>
      <c r="B21" s="2">
        <v>1988810</v>
      </c>
      <c r="C21" s="2" t="s">
        <v>36</v>
      </c>
      <c r="D21" s="2">
        <v>86811959</v>
      </c>
      <c r="E21" s="2" t="s">
        <v>15</v>
      </c>
      <c r="F21" s="3">
        <v>45792</v>
      </c>
      <c r="G21" s="4">
        <v>25.4</v>
      </c>
      <c r="H21" s="4">
        <v>3.81</v>
      </c>
      <c r="I21" s="4">
        <v>21.59</v>
      </c>
      <c r="J21" s="5">
        <f t="shared" si="0"/>
        <v>20.065999999999999</v>
      </c>
      <c r="K21" s="5">
        <f>Table1[[#This Row],[القيمة المطلوبة]]</f>
        <v>20.065999999999999</v>
      </c>
      <c r="L21" s="5">
        <f t="shared" si="1"/>
        <v>0</v>
      </c>
      <c r="M21" s="5"/>
      <c r="N21" s="5"/>
    </row>
    <row r="22" spans="1:14" ht="14.4" customHeight="1" x14ac:dyDescent="0.3">
      <c r="A22" s="2">
        <v>20</v>
      </c>
      <c r="B22" s="2">
        <v>1988697</v>
      </c>
      <c r="C22" s="2" t="s">
        <v>35</v>
      </c>
      <c r="D22" s="2">
        <v>86811023</v>
      </c>
      <c r="E22" s="2" t="s">
        <v>19</v>
      </c>
      <c r="F22" s="3">
        <v>45792</v>
      </c>
      <c r="G22" s="4">
        <v>38.54</v>
      </c>
      <c r="H22" s="4">
        <v>5.7809999999999997</v>
      </c>
      <c r="I22" s="4">
        <v>32.759</v>
      </c>
      <c r="J22" s="5">
        <f t="shared" si="0"/>
        <v>30.446599999999997</v>
      </c>
      <c r="K22" s="5">
        <f>Table1[[#This Row],[القيمة المطلوبة]]</f>
        <v>30.446599999999997</v>
      </c>
      <c r="L22" s="5">
        <f t="shared" si="1"/>
        <v>0</v>
      </c>
      <c r="M22" s="5"/>
      <c r="N22" s="5"/>
    </row>
    <row r="23" spans="1:14" ht="14.4" customHeight="1" x14ac:dyDescent="0.3">
      <c r="A23" s="2">
        <v>19</v>
      </c>
      <c r="B23" s="2">
        <v>1988642</v>
      </c>
      <c r="C23" s="2" t="s">
        <v>34</v>
      </c>
      <c r="D23" s="2">
        <v>86810990</v>
      </c>
      <c r="E23" s="2" t="s">
        <v>19</v>
      </c>
      <c r="F23" s="3">
        <v>45792</v>
      </c>
      <c r="G23" s="4">
        <v>43.48</v>
      </c>
      <c r="H23" s="4">
        <v>6.5220000000000002</v>
      </c>
      <c r="I23" s="4">
        <v>36.957999999999998</v>
      </c>
      <c r="J23" s="5">
        <f t="shared" si="0"/>
        <v>34.349199999999996</v>
      </c>
      <c r="K23" s="5">
        <f>Table1[[#This Row],[القيمة المطلوبة]]</f>
        <v>34.349199999999996</v>
      </c>
      <c r="L23" s="5">
        <f t="shared" si="1"/>
        <v>0</v>
      </c>
      <c r="M23" s="5"/>
      <c r="N23" s="5"/>
    </row>
    <row r="24" spans="1:14" ht="14.4" customHeight="1" x14ac:dyDescent="0.3">
      <c r="A24" s="2">
        <v>18</v>
      </c>
      <c r="B24" s="2">
        <v>1988713</v>
      </c>
      <c r="C24" s="2" t="s">
        <v>33</v>
      </c>
      <c r="D24" s="2">
        <v>86815127</v>
      </c>
      <c r="E24" s="2" t="s">
        <v>19</v>
      </c>
      <c r="F24" s="3">
        <v>45792</v>
      </c>
      <c r="G24" s="4">
        <v>46.24</v>
      </c>
      <c r="H24" s="4">
        <v>6.9359999999999999</v>
      </c>
      <c r="I24" s="4">
        <v>39.304000000000002</v>
      </c>
      <c r="J24" s="5">
        <f t="shared" si="0"/>
        <v>36.529600000000002</v>
      </c>
      <c r="K24" s="5">
        <f>Table1[[#This Row],[القيمة المطلوبة]]</f>
        <v>36.529600000000002</v>
      </c>
      <c r="L24" s="5">
        <f t="shared" si="1"/>
        <v>0</v>
      </c>
      <c r="M24" s="5"/>
      <c r="N24" s="5"/>
    </row>
    <row r="25" spans="1:14" ht="14.4" customHeight="1" x14ac:dyDescent="0.3">
      <c r="A25" s="2">
        <v>27</v>
      </c>
      <c r="B25" s="2">
        <v>1966859</v>
      </c>
      <c r="C25" s="2" t="s">
        <v>42</v>
      </c>
      <c r="D25" s="2">
        <v>85430882</v>
      </c>
      <c r="E25" s="2" t="s">
        <v>19</v>
      </c>
      <c r="F25" s="3">
        <v>45794</v>
      </c>
      <c r="G25" s="4">
        <v>22.5</v>
      </c>
      <c r="H25" s="4">
        <v>4.5</v>
      </c>
      <c r="I25" s="4">
        <v>18</v>
      </c>
      <c r="J25" s="5">
        <f t="shared" si="0"/>
        <v>16.649999999999999</v>
      </c>
      <c r="K25" s="5">
        <f>Table1[[#This Row],[القيمة المطلوبة]]</f>
        <v>16.649999999999999</v>
      </c>
      <c r="L25" s="5">
        <f t="shared" si="1"/>
        <v>0</v>
      </c>
      <c r="M25" s="5"/>
      <c r="N25" s="5"/>
    </row>
    <row r="26" spans="1:14" ht="14.4" customHeight="1" x14ac:dyDescent="0.3">
      <c r="A26" s="2">
        <v>26</v>
      </c>
      <c r="B26" s="2">
        <v>1988643</v>
      </c>
      <c r="C26" s="2" t="s">
        <v>41</v>
      </c>
      <c r="D26" s="2">
        <v>86813910</v>
      </c>
      <c r="E26" s="2" t="s">
        <v>15</v>
      </c>
      <c r="F26" s="3">
        <v>45794</v>
      </c>
      <c r="G26" s="4">
        <v>43.67</v>
      </c>
      <c r="H26" s="4">
        <v>6.55</v>
      </c>
      <c r="I26" s="4">
        <v>37.119999999999997</v>
      </c>
      <c r="J26" s="5">
        <f t="shared" si="0"/>
        <v>34.4998</v>
      </c>
      <c r="K26" s="5">
        <f>Table1[[#This Row],[القيمة المطلوبة]]</f>
        <v>34.4998</v>
      </c>
      <c r="L26" s="5">
        <f t="shared" si="1"/>
        <v>0</v>
      </c>
      <c r="M26" s="5"/>
      <c r="N26" s="5"/>
    </row>
    <row r="27" spans="1:14" ht="14.4" customHeight="1" x14ac:dyDescent="0.3">
      <c r="A27" s="2">
        <v>24</v>
      </c>
      <c r="B27" s="2">
        <v>1988567</v>
      </c>
      <c r="C27" s="2" t="s">
        <v>40</v>
      </c>
      <c r="D27" s="2">
        <v>86813916</v>
      </c>
      <c r="E27" s="2" t="s">
        <v>15</v>
      </c>
      <c r="F27" s="3">
        <v>45794</v>
      </c>
      <c r="G27" s="4">
        <v>44.81</v>
      </c>
      <c r="H27" s="4">
        <v>6.7210000000000001</v>
      </c>
      <c r="I27" s="4">
        <v>38.088999999999999</v>
      </c>
      <c r="J27" s="5">
        <f t="shared" si="0"/>
        <v>35.400400000000005</v>
      </c>
      <c r="K27" s="5">
        <f>Table1[[#This Row],[القيمة المطلوبة]]</f>
        <v>35.400400000000005</v>
      </c>
      <c r="L27" s="5">
        <f t="shared" si="1"/>
        <v>0</v>
      </c>
      <c r="M27" s="5"/>
      <c r="N27" s="5"/>
    </row>
    <row r="28" spans="1:14" ht="14.4" customHeight="1" x14ac:dyDescent="0.3">
      <c r="A28" s="2">
        <v>25</v>
      </c>
      <c r="B28" s="2">
        <v>1988669</v>
      </c>
      <c r="C28" s="2" t="s">
        <v>39</v>
      </c>
      <c r="D28" s="2">
        <v>86810911</v>
      </c>
      <c r="E28" s="2" t="s">
        <v>19</v>
      </c>
      <c r="F28" s="3">
        <v>45794</v>
      </c>
      <c r="G28" s="4">
        <v>47.35</v>
      </c>
      <c r="H28" s="4">
        <v>7.1020000000000003</v>
      </c>
      <c r="I28" s="4">
        <v>40.247999999999998</v>
      </c>
      <c r="J28" s="5">
        <f t="shared" si="0"/>
        <v>37.406999999999996</v>
      </c>
      <c r="K28" s="5">
        <f>Table1[[#This Row],[القيمة المطلوبة]]</f>
        <v>37.406999999999996</v>
      </c>
      <c r="L28" s="5">
        <f t="shared" si="1"/>
        <v>0</v>
      </c>
      <c r="M28" s="5"/>
      <c r="N28" s="5"/>
    </row>
    <row r="29" spans="1:14" ht="14.4" customHeight="1" x14ac:dyDescent="0.3">
      <c r="A29" s="2">
        <v>29</v>
      </c>
      <c r="B29" s="2">
        <v>1988736</v>
      </c>
      <c r="C29" s="2" t="s">
        <v>44</v>
      </c>
      <c r="D29" s="2">
        <v>86812159</v>
      </c>
      <c r="E29" s="2" t="s">
        <v>15</v>
      </c>
      <c r="F29" s="3">
        <v>45795</v>
      </c>
      <c r="G29" s="4">
        <v>11.48</v>
      </c>
      <c r="H29" s="4">
        <v>1.722</v>
      </c>
      <c r="I29" s="4">
        <v>9.7579999999999991</v>
      </c>
      <c r="J29" s="5">
        <f t="shared" si="0"/>
        <v>9.0692000000000004</v>
      </c>
      <c r="K29" s="5">
        <f>Table1[[#This Row],[القيمة المطلوبة]]</f>
        <v>9.0692000000000004</v>
      </c>
      <c r="L29" s="5">
        <f t="shared" si="1"/>
        <v>0</v>
      </c>
      <c r="M29" s="5"/>
      <c r="N29" s="5"/>
    </row>
    <row r="30" spans="1:14" ht="14.4" customHeight="1" x14ac:dyDescent="0.3">
      <c r="A30" s="2">
        <v>28</v>
      </c>
      <c r="B30" s="2">
        <v>1988796</v>
      </c>
      <c r="C30" s="2" t="s">
        <v>43</v>
      </c>
      <c r="D30" s="2">
        <v>86815092</v>
      </c>
      <c r="E30" s="2" t="s">
        <v>19</v>
      </c>
      <c r="F30" s="3">
        <v>45795</v>
      </c>
      <c r="G30" s="4">
        <v>34.729999999999997</v>
      </c>
      <c r="H30" s="4">
        <v>5.2089999999999996</v>
      </c>
      <c r="I30" s="4">
        <v>29.521000000000001</v>
      </c>
      <c r="J30" s="5">
        <f t="shared" si="0"/>
        <v>27.437199999999994</v>
      </c>
      <c r="K30" s="5">
        <f>Table1[[#This Row],[القيمة المطلوبة]]</f>
        <v>27.437199999999994</v>
      </c>
      <c r="L30" s="5">
        <f t="shared" si="1"/>
        <v>0</v>
      </c>
      <c r="M30" s="5"/>
      <c r="N30" s="5"/>
    </row>
    <row r="31" spans="1:14" ht="14.4" customHeight="1" x14ac:dyDescent="0.3">
      <c r="A31" s="2">
        <v>30</v>
      </c>
      <c r="B31" s="2">
        <v>1876003</v>
      </c>
      <c r="C31" s="2" t="s">
        <v>45</v>
      </c>
      <c r="D31" s="2">
        <v>55580009</v>
      </c>
      <c r="E31" s="2" t="s">
        <v>15</v>
      </c>
      <c r="F31" s="3">
        <v>45796</v>
      </c>
      <c r="G31" s="4">
        <v>38.700000000000003</v>
      </c>
      <c r="H31" s="4">
        <v>7.74</v>
      </c>
      <c r="I31" s="4">
        <v>30.96</v>
      </c>
      <c r="J31" s="5">
        <f t="shared" si="0"/>
        <v>28.637999999999998</v>
      </c>
      <c r="K31" s="5">
        <f>Table1[[#This Row],[القيمة المطلوبة]]</f>
        <v>28.637999999999998</v>
      </c>
      <c r="L31" s="5">
        <f t="shared" si="1"/>
        <v>0</v>
      </c>
      <c r="M31" s="5"/>
      <c r="N31" s="5"/>
    </row>
    <row r="32" spans="1:14" ht="14.4" customHeight="1" x14ac:dyDescent="0.3">
      <c r="A32" s="2">
        <v>31</v>
      </c>
      <c r="B32" s="2">
        <v>1966818</v>
      </c>
      <c r="C32" s="2" t="s">
        <v>46</v>
      </c>
      <c r="D32" s="2">
        <v>85427130</v>
      </c>
      <c r="E32" s="2" t="s">
        <v>19</v>
      </c>
      <c r="F32" s="3">
        <v>45798</v>
      </c>
      <c r="G32" s="4">
        <v>53.67</v>
      </c>
      <c r="H32" s="4">
        <v>10.734</v>
      </c>
      <c r="I32" s="4">
        <v>42.936</v>
      </c>
      <c r="J32" s="5">
        <f t="shared" si="0"/>
        <v>39.715799999999994</v>
      </c>
      <c r="K32" s="5">
        <f>Table1[[#This Row],[القيمة المطلوبة]]</f>
        <v>39.715799999999994</v>
      </c>
      <c r="L32" s="5">
        <f t="shared" si="1"/>
        <v>0</v>
      </c>
      <c r="M32" s="5"/>
      <c r="N32" s="5"/>
    </row>
    <row r="33" spans="1:14" ht="14.4" customHeight="1" x14ac:dyDescent="0.3">
      <c r="A33" s="2">
        <v>34</v>
      </c>
      <c r="B33" s="2">
        <v>1833948</v>
      </c>
      <c r="C33" s="2" t="s">
        <v>50</v>
      </c>
      <c r="D33" s="2">
        <v>85423176</v>
      </c>
      <c r="E33" s="2" t="s">
        <v>15</v>
      </c>
      <c r="F33" s="3">
        <v>45801</v>
      </c>
      <c r="G33" s="4">
        <v>10.49</v>
      </c>
      <c r="H33" s="4">
        <v>2.0979999999999999</v>
      </c>
      <c r="I33" s="4">
        <v>8.3919999999999995</v>
      </c>
      <c r="J33" s="5">
        <f t="shared" si="0"/>
        <v>7.7625999999999999</v>
      </c>
      <c r="K33" s="5">
        <f>Table1[[#This Row],[القيمة المطلوبة]]</f>
        <v>7.7625999999999999</v>
      </c>
      <c r="L33" s="5">
        <f t="shared" si="1"/>
        <v>0</v>
      </c>
      <c r="M33" s="5"/>
      <c r="N33" s="5"/>
    </row>
    <row r="34" spans="1:14" ht="14.4" customHeight="1" x14ac:dyDescent="0.3">
      <c r="A34" s="2">
        <v>33</v>
      </c>
      <c r="B34" s="2">
        <v>1988644</v>
      </c>
      <c r="C34" s="2" t="s">
        <v>49</v>
      </c>
      <c r="D34" s="2">
        <v>86815075</v>
      </c>
      <c r="E34" s="2" t="s">
        <v>19</v>
      </c>
      <c r="F34" s="3">
        <v>45801</v>
      </c>
      <c r="G34" s="4">
        <v>44.61</v>
      </c>
      <c r="H34" s="4">
        <v>6.6909999999999998</v>
      </c>
      <c r="I34" s="4">
        <v>37.918999999999997</v>
      </c>
      <c r="J34" s="5">
        <f t="shared" si="0"/>
        <v>35.242399999999996</v>
      </c>
      <c r="K34" s="5">
        <f>Table1[[#This Row],[القيمة المطلوبة]]</f>
        <v>35.242399999999996</v>
      </c>
      <c r="L34" s="5">
        <f t="shared" si="1"/>
        <v>0</v>
      </c>
      <c r="M34" s="5"/>
      <c r="N34" s="5"/>
    </row>
    <row r="35" spans="1:14" ht="14.4" customHeight="1" x14ac:dyDescent="0.3">
      <c r="A35" s="2">
        <v>32</v>
      </c>
      <c r="B35" s="2">
        <v>1988808</v>
      </c>
      <c r="C35" s="2" t="s">
        <v>48</v>
      </c>
      <c r="D35" s="2">
        <v>86810932</v>
      </c>
      <c r="E35" s="2" t="s">
        <v>19</v>
      </c>
      <c r="F35" s="3">
        <v>45801</v>
      </c>
      <c r="G35" s="4">
        <v>47.15</v>
      </c>
      <c r="H35" s="4">
        <v>7.0720000000000001</v>
      </c>
      <c r="I35" s="4">
        <v>40.078000000000003</v>
      </c>
      <c r="J35" s="5">
        <f t="shared" si="0"/>
        <v>37.248999999999995</v>
      </c>
      <c r="K35" s="5">
        <f>Table1[[#This Row],[القيمة المطلوبة]]</f>
        <v>37.248999999999995</v>
      </c>
      <c r="L35" s="5">
        <f t="shared" si="1"/>
        <v>0</v>
      </c>
      <c r="M35" s="5"/>
      <c r="N35" s="5"/>
    </row>
    <row r="36" spans="1:14" ht="14.4" customHeight="1" x14ac:dyDescent="0.3">
      <c r="A36" s="2">
        <v>35</v>
      </c>
      <c r="B36" s="2">
        <v>1948511</v>
      </c>
      <c r="C36" s="2" t="s">
        <v>47</v>
      </c>
      <c r="D36" s="2">
        <v>55706887</v>
      </c>
      <c r="E36" s="2" t="s">
        <v>19</v>
      </c>
      <c r="F36" s="3">
        <v>45801</v>
      </c>
      <c r="G36" s="4">
        <v>59.36</v>
      </c>
      <c r="H36" s="4">
        <v>11.872</v>
      </c>
      <c r="I36" s="4">
        <v>47.488</v>
      </c>
      <c r="J36" s="5">
        <f t="shared" si="0"/>
        <v>43.926399999999994</v>
      </c>
      <c r="K36" s="5">
        <f>Table1[[#This Row],[القيمة المطلوبة]]</f>
        <v>43.926399999999994</v>
      </c>
      <c r="L36" s="5">
        <f t="shared" si="1"/>
        <v>0</v>
      </c>
      <c r="M36" s="5"/>
      <c r="N36" s="5"/>
    </row>
    <row r="37" spans="1:14" ht="14.4" customHeight="1" x14ac:dyDescent="0.3">
      <c r="A37" s="2">
        <v>36</v>
      </c>
      <c r="B37" s="2">
        <v>1988567</v>
      </c>
      <c r="C37" s="2" t="s">
        <v>40</v>
      </c>
      <c r="D37" s="2">
        <v>86813915</v>
      </c>
      <c r="E37" s="2" t="s">
        <v>15</v>
      </c>
      <c r="F37" s="3">
        <v>45802</v>
      </c>
      <c r="G37" s="4">
        <v>22.5</v>
      </c>
      <c r="H37" s="4">
        <v>3.375</v>
      </c>
      <c r="I37" s="4">
        <v>19.125</v>
      </c>
      <c r="J37" s="5">
        <f t="shared" si="0"/>
        <v>17.774999999999999</v>
      </c>
      <c r="K37" s="5">
        <f>Table1[[#This Row],[القيمة المطلوبة]]</f>
        <v>17.774999999999999</v>
      </c>
      <c r="L37" s="5">
        <f t="shared" si="1"/>
        <v>0</v>
      </c>
      <c r="M37" s="5"/>
      <c r="N37" s="5"/>
    </row>
    <row r="38" spans="1:14" ht="14.4" customHeight="1" x14ac:dyDescent="0.3">
      <c r="A38" s="2">
        <v>37</v>
      </c>
      <c r="B38" s="2">
        <v>1988635</v>
      </c>
      <c r="C38" s="2" t="s">
        <v>53</v>
      </c>
      <c r="D38" s="2">
        <v>86812117</v>
      </c>
      <c r="E38" s="2" t="s">
        <v>15</v>
      </c>
      <c r="F38" s="3">
        <v>45803</v>
      </c>
      <c r="G38" s="4">
        <v>12.32</v>
      </c>
      <c r="H38" s="4">
        <v>1.8480000000000001</v>
      </c>
      <c r="I38" s="4">
        <v>10.472</v>
      </c>
      <c r="J38" s="5">
        <f t="shared" si="0"/>
        <v>9.7327999999999992</v>
      </c>
      <c r="K38" s="5">
        <f>Table1[[#This Row],[القيمة المطلوبة]]</f>
        <v>9.7327999999999992</v>
      </c>
      <c r="L38" s="5">
        <f t="shared" si="1"/>
        <v>0</v>
      </c>
      <c r="M38" s="5"/>
      <c r="N38" s="5"/>
    </row>
    <row r="39" spans="1:14" ht="14.4" customHeight="1" x14ac:dyDescent="0.3">
      <c r="A39" s="2">
        <v>38</v>
      </c>
      <c r="B39" s="2">
        <v>1966430</v>
      </c>
      <c r="C39" s="2" t="s">
        <v>52</v>
      </c>
      <c r="D39" s="2">
        <v>85426001</v>
      </c>
      <c r="E39" s="2" t="s">
        <v>15</v>
      </c>
      <c r="F39" s="3">
        <v>45803</v>
      </c>
      <c r="G39" s="4">
        <v>13.89</v>
      </c>
      <c r="H39" s="4">
        <v>2.778</v>
      </c>
      <c r="I39" s="4">
        <v>11.112</v>
      </c>
      <c r="J39" s="5">
        <f t="shared" si="0"/>
        <v>10.278599999999999</v>
      </c>
      <c r="K39" s="5">
        <f>Table1[[#This Row],[القيمة المطلوبة]]</f>
        <v>10.278599999999999</v>
      </c>
      <c r="L39" s="5">
        <f t="shared" si="1"/>
        <v>0</v>
      </c>
      <c r="M39" s="5"/>
      <c r="N39" s="5"/>
    </row>
    <row r="40" spans="1:14" ht="14.4" customHeight="1" x14ac:dyDescent="0.3">
      <c r="A40" s="2">
        <v>39</v>
      </c>
      <c r="B40" s="2">
        <v>1874649</v>
      </c>
      <c r="C40" s="2" t="s">
        <v>51</v>
      </c>
      <c r="D40" s="2">
        <v>55622995</v>
      </c>
      <c r="E40" s="2" t="s">
        <v>19</v>
      </c>
      <c r="F40" s="3">
        <v>45803</v>
      </c>
      <c r="G40" s="4">
        <v>37.89</v>
      </c>
      <c r="H40" s="4">
        <v>7.5780000000000003</v>
      </c>
      <c r="I40" s="4">
        <v>30.312000000000001</v>
      </c>
      <c r="J40" s="5">
        <f t="shared" si="0"/>
        <v>28.038599999999999</v>
      </c>
      <c r="K40" s="5">
        <f>Table1[[#This Row],[القيمة المطلوبة]]</f>
        <v>28.038599999999999</v>
      </c>
      <c r="L40" s="5">
        <f t="shared" si="1"/>
        <v>0</v>
      </c>
      <c r="M40" s="5"/>
      <c r="N40" s="5"/>
    </row>
    <row r="41" spans="1:14" ht="14.4" customHeight="1" x14ac:dyDescent="0.3">
      <c r="A41" s="2">
        <v>41</v>
      </c>
      <c r="B41" s="2">
        <v>19888664</v>
      </c>
      <c r="C41" s="2" t="s">
        <v>56</v>
      </c>
      <c r="D41" s="2">
        <v>86810968</v>
      </c>
      <c r="E41" s="2" t="s">
        <v>19</v>
      </c>
      <c r="F41" s="3">
        <v>45805</v>
      </c>
      <c r="G41" s="4">
        <v>15.25</v>
      </c>
      <c r="H41" s="4">
        <v>2.2869999999999999</v>
      </c>
      <c r="I41" s="4">
        <v>12.962999999999999</v>
      </c>
      <c r="J41" s="5">
        <f t="shared" si="0"/>
        <v>12.047999999999998</v>
      </c>
      <c r="K41" s="5">
        <f>Table1[[#This Row],[القيمة المطلوبة]]</f>
        <v>12.047999999999998</v>
      </c>
      <c r="L41" s="5">
        <f t="shared" si="1"/>
        <v>0</v>
      </c>
      <c r="M41" s="5"/>
      <c r="N41" s="5"/>
    </row>
    <row r="42" spans="1:14" ht="14.4" customHeight="1" x14ac:dyDescent="0.3">
      <c r="A42" s="2">
        <v>42</v>
      </c>
      <c r="B42" s="2">
        <v>1988668</v>
      </c>
      <c r="C42" s="2" t="s">
        <v>55</v>
      </c>
      <c r="D42" s="2">
        <v>86812132</v>
      </c>
      <c r="E42" s="2" t="s">
        <v>15</v>
      </c>
      <c r="F42" s="3">
        <v>45805</v>
      </c>
      <c r="G42" s="4">
        <v>17.88</v>
      </c>
      <c r="H42" s="4">
        <v>2.6819999999999999</v>
      </c>
      <c r="I42" s="4">
        <v>15.198</v>
      </c>
      <c r="J42" s="5">
        <f t="shared" si="0"/>
        <v>14.125199999999998</v>
      </c>
      <c r="K42" s="5">
        <f>Table1[[#This Row],[القيمة المطلوبة]]</f>
        <v>14.125199999999998</v>
      </c>
      <c r="L42" s="5">
        <f t="shared" si="1"/>
        <v>0</v>
      </c>
      <c r="M42" s="5"/>
      <c r="N42" s="5"/>
    </row>
    <row r="43" spans="1:14" ht="14.4" customHeight="1" x14ac:dyDescent="0.3">
      <c r="A43" s="2">
        <v>40</v>
      </c>
      <c r="B43" s="2">
        <v>1988573</v>
      </c>
      <c r="C43" s="2" t="s">
        <v>54</v>
      </c>
      <c r="D43" s="2">
        <v>86810891</v>
      </c>
      <c r="E43" s="2" t="s">
        <v>19</v>
      </c>
      <c r="F43" s="3">
        <v>45805</v>
      </c>
      <c r="G43" s="4">
        <v>46.37</v>
      </c>
      <c r="H43" s="4">
        <v>6.9550000000000001</v>
      </c>
      <c r="I43" s="4">
        <v>39.414999999999999</v>
      </c>
      <c r="J43" s="5">
        <f t="shared" si="0"/>
        <v>36.632799999999996</v>
      </c>
      <c r="K43" s="5">
        <f>Table1[[#This Row],[القيمة المطلوبة]]</f>
        <v>36.632799999999996</v>
      </c>
      <c r="L43" s="5">
        <f t="shared" si="1"/>
        <v>0</v>
      </c>
      <c r="M43" s="5"/>
      <c r="N43" s="5"/>
    </row>
    <row r="44" spans="1:14" ht="14.4" customHeight="1" x14ac:dyDescent="0.3">
      <c r="A44" s="2">
        <v>43</v>
      </c>
      <c r="B44" s="2">
        <v>1872968</v>
      </c>
      <c r="C44" s="2" t="s">
        <v>57</v>
      </c>
      <c r="D44" s="2">
        <v>55256521</v>
      </c>
      <c r="E44" s="2" t="s">
        <v>15</v>
      </c>
      <c r="F44" s="3">
        <v>45807</v>
      </c>
      <c r="G44" s="4">
        <v>19.41</v>
      </c>
      <c r="H44" s="4">
        <v>3.8820000000000001</v>
      </c>
      <c r="I44" s="4">
        <v>15.528</v>
      </c>
      <c r="J44" s="5">
        <f t="shared" si="0"/>
        <v>14.3634</v>
      </c>
      <c r="K44" s="5">
        <f>Table1[[#This Row],[القيمة المطلوبة]]</f>
        <v>14.3634</v>
      </c>
      <c r="L44" s="5">
        <f t="shared" si="1"/>
        <v>0</v>
      </c>
      <c r="M44" s="5"/>
      <c r="N44" s="5"/>
    </row>
    <row r="45" spans="1:14" ht="14.4" customHeight="1" x14ac:dyDescent="0.3">
      <c r="A45" s="2">
        <v>45</v>
      </c>
      <c r="B45" s="2">
        <v>1904564</v>
      </c>
      <c r="C45" s="2" t="s">
        <v>60</v>
      </c>
      <c r="D45" s="2">
        <v>85423159</v>
      </c>
      <c r="E45" s="2" t="s">
        <v>15</v>
      </c>
      <c r="F45" s="3">
        <v>45808</v>
      </c>
      <c r="G45" s="4">
        <v>19.100000000000001</v>
      </c>
      <c r="H45" s="4">
        <v>3.82</v>
      </c>
      <c r="I45" s="4">
        <v>15.28</v>
      </c>
      <c r="J45" s="5">
        <f t="shared" si="0"/>
        <v>14.134</v>
      </c>
      <c r="K45" s="5">
        <f>Table1[[#This Row],[القيمة المطلوبة]]</f>
        <v>14.134</v>
      </c>
      <c r="L45" s="5">
        <f t="shared" si="1"/>
        <v>0</v>
      </c>
      <c r="M45" s="5"/>
      <c r="N45" s="5"/>
    </row>
    <row r="46" spans="1:14" ht="14.4" customHeight="1" x14ac:dyDescent="0.3">
      <c r="A46" s="2">
        <v>44</v>
      </c>
      <c r="B46" s="2">
        <v>1833947</v>
      </c>
      <c r="C46" s="2" t="s">
        <v>59</v>
      </c>
      <c r="D46" s="2">
        <v>85423172</v>
      </c>
      <c r="E46" s="2" t="s">
        <v>19</v>
      </c>
      <c r="F46" s="3">
        <v>45808</v>
      </c>
      <c r="G46" s="4">
        <v>37.81</v>
      </c>
      <c r="H46" s="4">
        <v>7.5620000000000003</v>
      </c>
      <c r="I46" s="4">
        <v>30.248000000000001</v>
      </c>
      <c r="J46" s="5">
        <f t="shared" si="0"/>
        <v>27.979400000000002</v>
      </c>
      <c r="K46" s="5">
        <f>Table1[[#This Row],[القيمة المطلوبة]]</f>
        <v>27.979400000000002</v>
      </c>
      <c r="L46" s="5">
        <f t="shared" si="1"/>
        <v>0</v>
      </c>
      <c r="M46" s="5"/>
      <c r="N46" s="5"/>
    </row>
    <row r="47" spans="1:14" ht="14.4" customHeight="1" x14ac:dyDescent="0.3">
      <c r="A47" s="2">
        <v>46</v>
      </c>
      <c r="B47" s="2">
        <v>1747078</v>
      </c>
      <c r="C47" s="2" t="s">
        <v>58</v>
      </c>
      <c r="D47" s="2">
        <v>85156320</v>
      </c>
      <c r="E47" s="2" t="s">
        <v>19</v>
      </c>
      <c r="F47" s="3">
        <v>45808</v>
      </c>
      <c r="G47" s="4">
        <v>65.400000000000006</v>
      </c>
      <c r="H47" s="4">
        <v>9.81</v>
      </c>
      <c r="I47" s="4">
        <v>55.59</v>
      </c>
      <c r="J47" s="5">
        <f t="shared" si="0"/>
        <v>51.665999999999997</v>
      </c>
      <c r="K47" s="5">
        <f>Table1[[#This Row],[القيمة المطلوبة]]</f>
        <v>51.665999999999997</v>
      </c>
      <c r="L47" s="5">
        <f t="shared" si="1"/>
        <v>0</v>
      </c>
      <c r="M47" s="5"/>
      <c r="N47" s="5"/>
    </row>
    <row r="48" spans="1:14" ht="14.4" customHeight="1" x14ac:dyDescent="0.3">
      <c r="A48" s="2">
        <v>47</v>
      </c>
      <c r="B48" s="2">
        <v>1948511</v>
      </c>
      <c r="C48" s="2" t="s">
        <v>47</v>
      </c>
      <c r="D48" s="2">
        <v>55706888</v>
      </c>
      <c r="E48" s="2" t="s">
        <v>19</v>
      </c>
      <c r="F48" s="3">
        <v>45809</v>
      </c>
      <c r="G48" s="4">
        <v>47.29</v>
      </c>
      <c r="H48" s="4">
        <v>9.4580000000000002</v>
      </c>
      <c r="I48" s="4">
        <v>37.832000000000001</v>
      </c>
      <c r="J48" s="5">
        <f t="shared" si="0"/>
        <v>34.994599999999998</v>
      </c>
      <c r="K48" s="5">
        <f>Table1[[#This Row],[القيمة المطلوبة]]</f>
        <v>34.994599999999998</v>
      </c>
      <c r="L48" s="5">
        <f t="shared" si="1"/>
        <v>0</v>
      </c>
      <c r="M48" s="5"/>
      <c r="N48" s="5"/>
    </row>
    <row r="49" spans="1:14" ht="14.4" customHeight="1" x14ac:dyDescent="0.3">
      <c r="A49" s="2">
        <v>49</v>
      </c>
      <c r="B49" s="2">
        <v>1966926</v>
      </c>
      <c r="C49" s="2" t="s">
        <v>61</v>
      </c>
      <c r="D49" s="2">
        <v>85427440</v>
      </c>
      <c r="E49" s="2" t="s">
        <v>19</v>
      </c>
      <c r="F49" s="3">
        <v>45810</v>
      </c>
      <c r="G49" s="4">
        <v>11.85</v>
      </c>
      <c r="H49" s="4">
        <v>2.37</v>
      </c>
      <c r="I49" s="4">
        <v>9.48</v>
      </c>
      <c r="J49" s="5">
        <f t="shared" si="0"/>
        <v>8.7689999999999984</v>
      </c>
      <c r="K49" s="5">
        <f>Table1[[#This Row],[القيمة المطلوبة]]</f>
        <v>8.7689999999999984</v>
      </c>
      <c r="L49" s="5">
        <f t="shared" si="1"/>
        <v>0</v>
      </c>
      <c r="M49" s="5"/>
      <c r="N49" s="5"/>
    </row>
    <row r="50" spans="1:14" ht="14.4" customHeight="1" x14ac:dyDescent="0.3">
      <c r="A50" s="2">
        <v>48</v>
      </c>
      <c r="B50" s="2">
        <v>1988605</v>
      </c>
      <c r="C50" s="2" t="s">
        <v>62</v>
      </c>
      <c r="D50" s="2">
        <v>86815117</v>
      </c>
      <c r="E50" s="2" t="s">
        <v>19</v>
      </c>
      <c r="F50" s="3">
        <v>45810</v>
      </c>
      <c r="G50" s="4">
        <v>19.91</v>
      </c>
      <c r="H50" s="4">
        <v>0</v>
      </c>
      <c r="I50" s="4">
        <v>19.91</v>
      </c>
      <c r="J50" s="5">
        <f t="shared" si="0"/>
        <v>18.715399999999999</v>
      </c>
      <c r="K50" s="5">
        <f>Table1[[#This Row],[القيمة المطلوبة]]</f>
        <v>18.715399999999999</v>
      </c>
      <c r="L50" s="5">
        <f t="shared" si="1"/>
        <v>0</v>
      </c>
      <c r="M50" s="5"/>
      <c r="N50" s="5"/>
    </row>
    <row r="51" spans="1:14" ht="14.4" customHeight="1" x14ac:dyDescent="0.3">
      <c r="A51" s="2">
        <v>50</v>
      </c>
      <c r="B51" s="2">
        <v>1872957</v>
      </c>
      <c r="C51" s="2" t="s">
        <v>63</v>
      </c>
      <c r="D51" s="2">
        <v>55256400</v>
      </c>
      <c r="E51" s="2" t="s">
        <v>15</v>
      </c>
      <c r="F51" s="3">
        <v>45811</v>
      </c>
      <c r="G51" s="4">
        <v>19.25</v>
      </c>
      <c r="H51" s="4">
        <v>3.85</v>
      </c>
      <c r="I51" s="4">
        <v>15.4</v>
      </c>
      <c r="J51" s="5">
        <f t="shared" si="0"/>
        <v>14.244999999999999</v>
      </c>
      <c r="K51" s="5">
        <f>Table1[[#This Row],[القيمة المطلوبة]]</f>
        <v>14.244999999999999</v>
      </c>
      <c r="L51" s="5">
        <f t="shared" si="1"/>
        <v>0</v>
      </c>
      <c r="M51" s="5"/>
      <c r="N51" s="5"/>
    </row>
    <row r="52" spans="1:14" ht="14.4" customHeight="1" x14ac:dyDescent="0.3">
      <c r="A52" s="2">
        <v>51</v>
      </c>
      <c r="B52" s="2">
        <v>1990710</v>
      </c>
      <c r="C52" s="2" t="s">
        <v>64</v>
      </c>
      <c r="D52" s="2">
        <v>86812369</v>
      </c>
      <c r="E52" s="2" t="s">
        <v>15</v>
      </c>
      <c r="F52" s="3">
        <v>45811</v>
      </c>
      <c r="G52" s="4">
        <v>21.58</v>
      </c>
      <c r="H52" s="4">
        <v>3.2370000000000001</v>
      </c>
      <c r="I52" s="4">
        <v>18.343</v>
      </c>
      <c r="J52" s="5">
        <f t="shared" si="0"/>
        <v>17.048199999999994</v>
      </c>
      <c r="K52" s="5">
        <f>Table1[[#This Row],[القيمة المطلوبة]]</f>
        <v>17.048199999999994</v>
      </c>
      <c r="L52" s="5">
        <f t="shared" si="1"/>
        <v>0</v>
      </c>
      <c r="M52" s="5"/>
      <c r="N52" s="5"/>
    </row>
    <row r="53" spans="1:14" ht="14.4" customHeight="1" x14ac:dyDescent="0.3">
      <c r="A53" s="2">
        <v>52</v>
      </c>
      <c r="B53" s="2">
        <v>1966926</v>
      </c>
      <c r="C53" s="2" t="s">
        <v>65</v>
      </c>
      <c r="D53" s="2">
        <v>85727441</v>
      </c>
      <c r="E53" s="2" t="s">
        <v>19</v>
      </c>
      <c r="F53" s="3">
        <v>45812</v>
      </c>
      <c r="G53" s="4">
        <v>63.9</v>
      </c>
      <c r="H53" s="4">
        <v>12.78</v>
      </c>
      <c r="I53" s="4">
        <v>51.12</v>
      </c>
      <c r="J53" s="5">
        <f t="shared" si="0"/>
        <v>47.285999999999994</v>
      </c>
      <c r="K53" s="5">
        <f>Table1[[#This Row],[القيمة المطلوبة]]</f>
        <v>47.285999999999994</v>
      </c>
      <c r="L53" s="5">
        <f t="shared" si="1"/>
        <v>0</v>
      </c>
      <c r="M53" s="5"/>
      <c r="N53" s="5"/>
    </row>
    <row r="54" spans="1:14" ht="14.4" customHeight="1" x14ac:dyDescent="0.3">
      <c r="A54" s="2">
        <v>53</v>
      </c>
      <c r="B54" s="2">
        <v>1902625</v>
      </c>
      <c r="C54" s="2" t="s">
        <v>66</v>
      </c>
      <c r="D54" s="2">
        <v>86116925</v>
      </c>
      <c r="E54" s="2" t="s">
        <v>19</v>
      </c>
      <c r="F54" s="3">
        <v>45813</v>
      </c>
      <c r="G54" s="4">
        <v>46.98</v>
      </c>
      <c r="H54" s="4">
        <v>9.3960000000000008</v>
      </c>
      <c r="I54" s="4">
        <v>37.584000000000003</v>
      </c>
      <c r="J54" s="5">
        <f t="shared" si="0"/>
        <v>34.765199999999993</v>
      </c>
      <c r="K54" s="5">
        <f>Table1[[#This Row],[القيمة المطلوبة]]</f>
        <v>34.765199999999993</v>
      </c>
      <c r="L54" s="5">
        <f t="shared" si="1"/>
        <v>0</v>
      </c>
      <c r="M54" s="5"/>
      <c r="N54" s="5"/>
    </row>
    <row r="55" spans="1:14" ht="14.4" customHeight="1" x14ac:dyDescent="0.3">
      <c r="A55" s="2">
        <v>54</v>
      </c>
      <c r="B55" s="2">
        <v>1988714</v>
      </c>
      <c r="C55" s="2" t="s">
        <v>67</v>
      </c>
      <c r="D55" s="2">
        <v>8681114</v>
      </c>
      <c r="E55" s="2" t="s">
        <v>19</v>
      </c>
      <c r="F55" s="3">
        <v>45816</v>
      </c>
      <c r="G55" s="4">
        <v>48.55</v>
      </c>
      <c r="H55" s="4">
        <v>7.282</v>
      </c>
      <c r="I55" s="4">
        <v>41.268000000000001</v>
      </c>
      <c r="J55" s="5">
        <f t="shared" si="0"/>
        <v>38.35499999999999</v>
      </c>
      <c r="K55" s="5">
        <f>Table1[[#This Row],[القيمة المطلوبة]]</f>
        <v>38.35499999999999</v>
      </c>
      <c r="L55" s="5">
        <f t="shared" si="1"/>
        <v>0</v>
      </c>
      <c r="M55" s="5"/>
      <c r="N55" s="5"/>
    </row>
    <row r="56" spans="1:14" ht="14.4" customHeight="1" x14ac:dyDescent="0.3">
      <c r="A56" s="2">
        <v>55</v>
      </c>
      <c r="B56" s="2">
        <v>1872964</v>
      </c>
      <c r="C56" s="2" t="s">
        <v>68</v>
      </c>
      <c r="D56" s="2">
        <v>55256476</v>
      </c>
      <c r="E56" s="2" t="s">
        <v>15</v>
      </c>
      <c r="F56" s="3">
        <v>45818</v>
      </c>
      <c r="G56" s="4">
        <v>63.33</v>
      </c>
      <c r="H56" s="4">
        <v>12.666</v>
      </c>
      <c r="I56" s="4">
        <v>50.664000000000001</v>
      </c>
      <c r="J56" s="5">
        <f t="shared" si="0"/>
        <v>46.864199999999997</v>
      </c>
      <c r="K56" s="5">
        <f>Table1[[#This Row],[القيمة المطلوبة]]</f>
        <v>46.864199999999997</v>
      </c>
      <c r="L56" s="5">
        <f t="shared" si="1"/>
        <v>0</v>
      </c>
      <c r="M56" s="5"/>
      <c r="N56" s="5"/>
    </row>
    <row r="57" spans="1:14" ht="14.4" customHeight="1" x14ac:dyDescent="0.3">
      <c r="A57" s="2">
        <v>58</v>
      </c>
      <c r="B57" s="2">
        <v>1904564</v>
      </c>
      <c r="C57" s="2" t="s">
        <v>71</v>
      </c>
      <c r="D57" s="2">
        <v>85423160</v>
      </c>
      <c r="E57" s="2" t="s">
        <v>15</v>
      </c>
      <c r="F57" s="3">
        <v>45820</v>
      </c>
      <c r="G57" s="4">
        <v>15.6</v>
      </c>
      <c r="H57" s="4">
        <v>3.12</v>
      </c>
      <c r="I57" s="4">
        <v>12.48</v>
      </c>
      <c r="J57" s="5">
        <f t="shared" si="0"/>
        <v>11.544</v>
      </c>
      <c r="K57" s="5">
        <f>Table1[[#This Row],[القيمة المطلوبة]]</f>
        <v>11.544</v>
      </c>
      <c r="L57" s="5">
        <f t="shared" si="1"/>
        <v>0</v>
      </c>
      <c r="M57" s="5"/>
      <c r="N57" s="5"/>
    </row>
    <row r="58" spans="1:14" ht="14.4" customHeight="1" x14ac:dyDescent="0.3">
      <c r="A58" s="2">
        <v>56</v>
      </c>
      <c r="B58" s="2">
        <v>1988622</v>
      </c>
      <c r="C58" s="2" t="s">
        <v>70</v>
      </c>
      <c r="D58" s="2">
        <v>86811831</v>
      </c>
      <c r="E58" s="2" t="s">
        <v>15</v>
      </c>
      <c r="F58" s="3">
        <v>45820</v>
      </c>
      <c r="G58" s="4">
        <v>40.56</v>
      </c>
      <c r="H58" s="4">
        <v>6.0839999999999996</v>
      </c>
      <c r="I58" s="4">
        <v>34.475999999999999</v>
      </c>
      <c r="J58" s="5">
        <f t="shared" si="0"/>
        <v>32.042400000000001</v>
      </c>
      <c r="K58" s="5">
        <f>Table1[[#This Row],[القيمة المطلوبة]]</f>
        <v>32.042400000000001</v>
      </c>
      <c r="L58" s="5">
        <f t="shared" si="1"/>
        <v>0</v>
      </c>
      <c r="M58" s="5"/>
      <c r="N58" s="5"/>
    </row>
    <row r="59" spans="1:14" ht="14.4" customHeight="1" x14ac:dyDescent="0.3">
      <c r="A59" s="2">
        <v>57</v>
      </c>
      <c r="B59" s="2">
        <v>1988621</v>
      </c>
      <c r="C59" s="2" t="s">
        <v>69</v>
      </c>
      <c r="D59" s="2">
        <v>86811074</v>
      </c>
      <c r="E59" s="2" t="s">
        <v>19</v>
      </c>
      <c r="F59" s="3">
        <v>45820</v>
      </c>
      <c r="G59" s="4">
        <v>44.6</v>
      </c>
      <c r="H59" s="4">
        <v>6.69</v>
      </c>
      <c r="I59" s="4">
        <v>37.909999999999997</v>
      </c>
      <c r="J59" s="5">
        <f t="shared" si="0"/>
        <v>35.234000000000002</v>
      </c>
      <c r="K59" s="5">
        <f>Table1[[#This Row],[القيمة المطلوبة]]</f>
        <v>35.234000000000002</v>
      </c>
      <c r="L59" s="5">
        <f t="shared" si="1"/>
        <v>0</v>
      </c>
      <c r="M59" s="5"/>
      <c r="N59" s="5"/>
    </row>
    <row r="60" spans="1:14" ht="14.4" customHeight="1" x14ac:dyDescent="0.3">
      <c r="A60" s="2">
        <v>59</v>
      </c>
      <c r="B60" s="2">
        <v>1990713</v>
      </c>
      <c r="C60" s="2" t="s">
        <v>72</v>
      </c>
      <c r="D60" s="2">
        <v>86812526</v>
      </c>
      <c r="E60" s="2" t="s">
        <v>15</v>
      </c>
      <c r="F60" s="3">
        <v>45821</v>
      </c>
      <c r="G60" s="4">
        <v>3.78</v>
      </c>
      <c r="H60" s="4">
        <v>0.56699999999999995</v>
      </c>
      <c r="I60" s="4">
        <v>3.2130000000000001</v>
      </c>
      <c r="J60" s="5">
        <f t="shared" si="0"/>
        <v>2.9861999999999993</v>
      </c>
      <c r="K60" s="5">
        <f>Table1[[#This Row],[القيمة المطلوبة]]</f>
        <v>2.9861999999999993</v>
      </c>
      <c r="L60" s="5">
        <f t="shared" si="1"/>
        <v>0</v>
      </c>
      <c r="M60" s="5"/>
      <c r="N60" s="5"/>
    </row>
    <row r="61" spans="1:14" ht="14.4" customHeight="1" x14ac:dyDescent="0.3">
      <c r="A61" s="2">
        <v>61</v>
      </c>
      <c r="B61" s="2">
        <v>1988585</v>
      </c>
      <c r="C61" s="2" t="s">
        <v>75</v>
      </c>
      <c r="D61" s="2">
        <v>86812222</v>
      </c>
      <c r="E61" s="2" t="s">
        <v>15</v>
      </c>
      <c r="F61" s="3">
        <v>45822</v>
      </c>
      <c r="G61" s="4">
        <v>15.64</v>
      </c>
      <c r="H61" s="4">
        <v>2.3460000000000001</v>
      </c>
      <c r="I61" s="4">
        <v>13.294</v>
      </c>
      <c r="J61" s="5">
        <f t="shared" si="0"/>
        <v>12.355599999999999</v>
      </c>
      <c r="K61" s="5">
        <f>Table1[[#This Row],[القيمة المطلوبة]]</f>
        <v>12.355599999999999</v>
      </c>
      <c r="L61" s="5">
        <f t="shared" si="1"/>
        <v>0</v>
      </c>
      <c r="M61" s="5"/>
      <c r="N61" s="5"/>
    </row>
    <row r="62" spans="1:14" ht="14.4" customHeight="1" x14ac:dyDescent="0.3">
      <c r="A62" s="2">
        <v>60</v>
      </c>
      <c r="B62" s="2">
        <v>1988586</v>
      </c>
      <c r="C62" s="2" t="s">
        <v>74</v>
      </c>
      <c r="D62" s="2">
        <v>86812175</v>
      </c>
      <c r="E62" s="2" t="s">
        <v>15</v>
      </c>
      <c r="F62" s="3">
        <v>45822</v>
      </c>
      <c r="G62" s="4">
        <v>21.95</v>
      </c>
      <c r="H62" s="4">
        <v>3.2919999999999998</v>
      </c>
      <c r="I62" s="4">
        <v>18.658000000000001</v>
      </c>
      <c r="J62" s="5">
        <f t="shared" si="0"/>
        <v>17.341000000000001</v>
      </c>
      <c r="K62" s="5">
        <f>Table1[[#This Row],[القيمة المطلوبة]]</f>
        <v>17.341000000000001</v>
      </c>
      <c r="L62" s="5">
        <f t="shared" si="1"/>
        <v>0</v>
      </c>
      <c r="M62" s="5"/>
      <c r="N62" s="5"/>
    </row>
    <row r="63" spans="1:14" ht="14.4" customHeight="1" x14ac:dyDescent="0.3">
      <c r="A63" s="2">
        <v>62</v>
      </c>
      <c r="B63" s="2">
        <v>1988583</v>
      </c>
      <c r="C63" s="2" t="s">
        <v>73</v>
      </c>
      <c r="D63" s="2">
        <v>86810944</v>
      </c>
      <c r="E63" s="2" t="s">
        <v>19</v>
      </c>
      <c r="F63" s="3">
        <v>45822</v>
      </c>
      <c r="G63" s="4">
        <v>57.04</v>
      </c>
      <c r="H63" s="4">
        <v>8.5559999999999992</v>
      </c>
      <c r="I63" s="4">
        <v>48.484000000000002</v>
      </c>
      <c r="J63" s="5">
        <f t="shared" si="0"/>
        <v>45.061599999999999</v>
      </c>
      <c r="K63" s="5">
        <f>Table1[[#This Row],[القيمة المطلوبة]]</f>
        <v>45.061599999999999</v>
      </c>
      <c r="L63" s="5">
        <f t="shared" si="1"/>
        <v>0</v>
      </c>
      <c r="M63" s="5"/>
      <c r="N63" s="5"/>
    </row>
    <row r="64" spans="1:14" ht="14.4" customHeight="1" x14ac:dyDescent="0.3">
      <c r="A64" s="2">
        <v>63</v>
      </c>
      <c r="B64" s="2">
        <v>1849233</v>
      </c>
      <c r="C64" s="2" t="s">
        <v>77</v>
      </c>
      <c r="D64" s="2">
        <v>86863529</v>
      </c>
      <c r="E64" s="2" t="s">
        <v>19</v>
      </c>
      <c r="F64" s="3">
        <v>45823</v>
      </c>
      <c r="G64" s="4">
        <v>12.74</v>
      </c>
      <c r="H64" s="4">
        <v>2.548</v>
      </c>
      <c r="I64" s="4">
        <v>10.192</v>
      </c>
      <c r="J64" s="5">
        <f t="shared" si="0"/>
        <v>9.4276</v>
      </c>
      <c r="K64" s="5">
        <f>Table1[[#This Row],[القيمة المطلوبة]]</f>
        <v>9.4276</v>
      </c>
      <c r="L64" s="5">
        <f t="shared" si="1"/>
        <v>0</v>
      </c>
      <c r="M64" s="5"/>
      <c r="N64" s="5"/>
    </row>
    <row r="65" spans="1:14" ht="14.4" customHeight="1" x14ac:dyDescent="0.3">
      <c r="A65" s="2">
        <v>64</v>
      </c>
      <c r="B65" s="2">
        <v>1988681</v>
      </c>
      <c r="C65" s="2" t="s">
        <v>76</v>
      </c>
      <c r="D65" s="2">
        <v>86812588</v>
      </c>
      <c r="E65" s="2" t="s">
        <v>15</v>
      </c>
      <c r="F65" s="3">
        <v>45823</v>
      </c>
      <c r="G65" s="4">
        <v>66.14</v>
      </c>
      <c r="H65" s="4">
        <v>9.9209999999999994</v>
      </c>
      <c r="I65" s="4">
        <v>56.219000000000001</v>
      </c>
      <c r="J65" s="5">
        <f t="shared" si="0"/>
        <v>52.250599999999999</v>
      </c>
      <c r="K65" s="5">
        <f>Table1[[#This Row],[القيمة المطلوبة]]</f>
        <v>52.250599999999999</v>
      </c>
      <c r="L65" s="5">
        <f t="shared" si="1"/>
        <v>0</v>
      </c>
      <c r="M65" s="5"/>
      <c r="N65" s="5"/>
    </row>
    <row r="66" spans="1:14" ht="14.4" customHeight="1" x14ac:dyDescent="0.3">
      <c r="A66" s="2">
        <v>67</v>
      </c>
      <c r="B66" s="2">
        <v>1959485</v>
      </c>
      <c r="C66" s="2" t="s">
        <v>81</v>
      </c>
      <c r="D66" s="2">
        <v>85341769</v>
      </c>
      <c r="E66" s="2" t="s">
        <v>19</v>
      </c>
      <c r="F66" s="3">
        <v>45824</v>
      </c>
      <c r="G66" s="4">
        <v>12.2</v>
      </c>
      <c r="H66" s="4">
        <v>2.44</v>
      </c>
      <c r="I66" s="4">
        <v>9.76</v>
      </c>
      <c r="J66" s="5">
        <f t="shared" ref="J66:J129" si="2">G66*0.94-H66</f>
        <v>9.0279999999999987</v>
      </c>
      <c r="K66" s="5">
        <f>Table1[[#This Row],[القيمة المطلوبة]]</f>
        <v>9.0279999999999987</v>
      </c>
      <c r="L66" s="5">
        <f t="shared" ref="L66:L129" si="3">J66-K66</f>
        <v>0</v>
      </c>
      <c r="M66" s="5"/>
      <c r="N66" s="5"/>
    </row>
    <row r="67" spans="1:14" ht="14.4" customHeight="1" x14ac:dyDescent="0.3">
      <c r="A67" s="2">
        <v>69</v>
      </c>
      <c r="B67" s="2">
        <v>1876003</v>
      </c>
      <c r="C67" s="2" t="s">
        <v>45</v>
      </c>
      <c r="D67" s="2">
        <v>55580284</v>
      </c>
      <c r="E67" s="2" t="s">
        <v>19</v>
      </c>
      <c r="F67" s="3">
        <v>45824</v>
      </c>
      <c r="G67" s="4">
        <v>17.579999999999998</v>
      </c>
      <c r="H67" s="4">
        <v>3.516</v>
      </c>
      <c r="I67" s="4">
        <v>14.064</v>
      </c>
      <c r="J67" s="5">
        <f t="shared" si="2"/>
        <v>13.009199999999998</v>
      </c>
      <c r="K67" s="5">
        <f>Table1[[#This Row],[القيمة المطلوبة]]</f>
        <v>13.009199999999998</v>
      </c>
      <c r="L67" s="5">
        <f t="shared" si="3"/>
        <v>0</v>
      </c>
      <c r="M67" s="5"/>
      <c r="N67" s="5"/>
    </row>
    <row r="68" spans="1:14" ht="14.4" customHeight="1" x14ac:dyDescent="0.3">
      <c r="A68" s="2">
        <v>70</v>
      </c>
      <c r="B68" s="2">
        <v>793305</v>
      </c>
      <c r="C68" s="2" t="s">
        <v>26</v>
      </c>
      <c r="D68" s="2">
        <v>865414825</v>
      </c>
      <c r="E68" s="2" t="s">
        <v>19</v>
      </c>
      <c r="F68" s="3">
        <v>45824</v>
      </c>
      <c r="G68" s="4">
        <v>18.7</v>
      </c>
      <c r="H68" s="4">
        <v>1.87</v>
      </c>
      <c r="I68" s="4">
        <v>16.829999999999998</v>
      </c>
      <c r="J68" s="5">
        <f t="shared" si="2"/>
        <v>15.707999999999998</v>
      </c>
      <c r="K68" s="5">
        <f>Table1[[#This Row],[القيمة المطلوبة]]</f>
        <v>15.707999999999998</v>
      </c>
      <c r="L68" s="5">
        <f t="shared" si="3"/>
        <v>0</v>
      </c>
      <c r="M68" s="5"/>
      <c r="N68" s="5"/>
    </row>
    <row r="69" spans="1:14" ht="14.4" customHeight="1" x14ac:dyDescent="0.3">
      <c r="A69" s="2">
        <v>68</v>
      </c>
      <c r="B69" s="2">
        <v>1876004</v>
      </c>
      <c r="C69" s="2" t="s">
        <v>80</v>
      </c>
      <c r="D69" s="2">
        <v>55580281</v>
      </c>
      <c r="E69" s="2" t="s">
        <v>15</v>
      </c>
      <c r="F69" s="3">
        <v>45824</v>
      </c>
      <c r="G69" s="4">
        <v>27.34</v>
      </c>
      <c r="H69" s="4">
        <v>5.468</v>
      </c>
      <c r="I69" s="4">
        <v>21.872</v>
      </c>
      <c r="J69" s="5">
        <f t="shared" si="2"/>
        <v>20.231599999999997</v>
      </c>
      <c r="K69" s="5">
        <f>Table1[[#This Row],[القيمة المطلوبة]]</f>
        <v>20.231599999999997</v>
      </c>
      <c r="L69" s="5">
        <f t="shared" si="3"/>
        <v>0</v>
      </c>
      <c r="M69" s="5"/>
      <c r="N69" s="5"/>
    </row>
    <row r="70" spans="1:14" ht="14.4" customHeight="1" x14ac:dyDescent="0.3">
      <c r="A70" s="2">
        <v>66</v>
      </c>
      <c r="B70" s="2">
        <v>1988697</v>
      </c>
      <c r="C70" s="2" t="s">
        <v>79</v>
      </c>
      <c r="D70" s="2">
        <v>86811024</v>
      </c>
      <c r="E70" s="2" t="s">
        <v>19</v>
      </c>
      <c r="F70" s="3">
        <v>45824</v>
      </c>
      <c r="G70" s="4">
        <v>50.87</v>
      </c>
      <c r="H70" s="4">
        <v>7.63</v>
      </c>
      <c r="I70" s="4">
        <v>43.24</v>
      </c>
      <c r="J70" s="5">
        <f t="shared" si="2"/>
        <v>40.187799999999996</v>
      </c>
      <c r="K70" s="5">
        <f>Table1[[#This Row],[القيمة المطلوبة]]</f>
        <v>40.187799999999996</v>
      </c>
      <c r="L70" s="5">
        <f t="shared" si="3"/>
        <v>0</v>
      </c>
      <c r="M70" s="5"/>
      <c r="N70" s="5"/>
    </row>
    <row r="71" spans="1:14" ht="14.4" customHeight="1" x14ac:dyDescent="0.3">
      <c r="A71" s="2">
        <v>65</v>
      </c>
      <c r="B71" s="2">
        <v>1988699</v>
      </c>
      <c r="C71" s="2" t="s">
        <v>78</v>
      </c>
      <c r="D71" s="2">
        <v>86812309</v>
      </c>
      <c r="E71" s="2" t="s">
        <v>15</v>
      </c>
      <c r="F71" s="3">
        <v>45824</v>
      </c>
      <c r="G71" s="4">
        <v>58.38</v>
      </c>
      <c r="H71" s="4">
        <v>8.7569999999999997</v>
      </c>
      <c r="I71" s="4">
        <v>49.622999999999998</v>
      </c>
      <c r="J71" s="5">
        <f t="shared" si="2"/>
        <v>46.120200000000004</v>
      </c>
      <c r="K71" s="5">
        <f>Table1[[#This Row],[القيمة المطلوبة]]</f>
        <v>46.120200000000004</v>
      </c>
      <c r="L71" s="5">
        <f t="shared" si="3"/>
        <v>0</v>
      </c>
      <c r="M71" s="5"/>
      <c r="N71" s="5"/>
    </row>
    <row r="72" spans="1:14" ht="14.4" customHeight="1" x14ac:dyDescent="0.3">
      <c r="A72" s="2">
        <v>71</v>
      </c>
      <c r="B72" s="2">
        <v>1966428</v>
      </c>
      <c r="C72" s="2" t="s">
        <v>83</v>
      </c>
      <c r="D72" s="2">
        <v>85425995</v>
      </c>
      <c r="E72" s="2" t="s">
        <v>19</v>
      </c>
      <c r="F72" s="3">
        <v>45825</v>
      </c>
      <c r="G72" s="4">
        <v>18.04</v>
      </c>
      <c r="H72" s="4">
        <v>3.6080000000000001</v>
      </c>
      <c r="I72" s="4">
        <v>14.432</v>
      </c>
      <c r="J72" s="5">
        <f t="shared" si="2"/>
        <v>13.349599999999999</v>
      </c>
      <c r="K72" s="5">
        <f>Table1[[#This Row],[القيمة المطلوبة]]</f>
        <v>13.349599999999999</v>
      </c>
      <c r="L72" s="5">
        <f t="shared" si="3"/>
        <v>0</v>
      </c>
      <c r="M72" s="5"/>
      <c r="N72" s="5"/>
    </row>
    <row r="73" spans="1:14" ht="14.4" customHeight="1" x14ac:dyDescent="0.3">
      <c r="A73" s="2">
        <v>72</v>
      </c>
      <c r="B73" s="2">
        <v>794145</v>
      </c>
      <c r="C73" s="2" t="s">
        <v>84</v>
      </c>
      <c r="D73" s="2">
        <v>61838393</v>
      </c>
      <c r="E73" s="2" t="s">
        <v>15</v>
      </c>
      <c r="F73" s="3">
        <v>45825</v>
      </c>
      <c r="G73" s="4">
        <v>26.47</v>
      </c>
      <c r="H73" s="4">
        <v>2.6469999999999998</v>
      </c>
      <c r="I73" s="4">
        <v>23.823</v>
      </c>
      <c r="J73" s="5">
        <f t="shared" si="2"/>
        <v>22.2348</v>
      </c>
      <c r="K73" s="5">
        <f>Table1[[#This Row],[القيمة المطلوبة]]</f>
        <v>22.2348</v>
      </c>
      <c r="L73" s="5">
        <f t="shared" si="3"/>
        <v>0</v>
      </c>
      <c r="M73" s="5"/>
      <c r="N73" s="5"/>
    </row>
    <row r="74" spans="1:14" ht="14.4" customHeight="1" x14ac:dyDescent="0.3">
      <c r="A74" s="2">
        <v>73</v>
      </c>
      <c r="B74" s="2">
        <v>794142</v>
      </c>
      <c r="C74" s="2" t="s">
        <v>82</v>
      </c>
      <c r="D74" s="2">
        <v>61838396</v>
      </c>
      <c r="E74" s="2" t="s">
        <v>15</v>
      </c>
      <c r="F74" s="3">
        <v>45825</v>
      </c>
      <c r="G74" s="4">
        <v>45.46</v>
      </c>
      <c r="H74" s="4">
        <v>4.5460000000000003</v>
      </c>
      <c r="I74" s="4">
        <v>40.914000000000001</v>
      </c>
      <c r="J74" s="5">
        <f t="shared" si="2"/>
        <v>38.186399999999999</v>
      </c>
      <c r="K74" s="5">
        <f>Table1[[#This Row],[القيمة المطلوبة]]</f>
        <v>38.186399999999999</v>
      </c>
      <c r="L74" s="5">
        <f t="shared" si="3"/>
        <v>0</v>
      </c>
      <c r="M74" s="5"/>
      <c r="N74" s="5"/>
    </row>
    <row r="75" spans="1:14" ht="14.4" customHeight="1" x14ac:dyDescent="0.3">
      <c r="A75" s="2">
        <v>74</v>
      </c>
      <c r="B75" s="2">
        <v>1967011</v>
      </c>
      <c r="C75" s="2" t="s">
        <v>86</v>
      </c>
      <c r="D75" s="2">
        <v>85447954</v>
      </c>
      <c r="E75" s="2" t="s">
        <v>19</v>
      </c>
      <c r="F75" s="3">
        <v>45826</v>
      </c>
      <c r="G75" s="4">
        <v>27.28</v>
      </c>
      <c r="H75" s="4">
        <v>5.4560000000000004</v>
      </c>
      <c r="I75" s="4">
        <v>21.824000000000002</v>
      </c>
      <c r="J75" s="5">
        <f t="shared" si="2"/>
        <v>20.187200000000001</v>
      </c>
      <c r="K75" s="5">
        <f>Table1[[#This Row],[القيمة المطلوبة]]</f>
        <v>20.187200000000001</v>
      </c>
      <c r="L75" s="5">
        <f t="shared" si="3"/>
        <v>0</v>
      </c>
      <c r="M75" s="5"/>
      <c r="N75" s="5"/>
    </row>
    <row r="76" spans="1:14" ht="14.4" customHeight="1" x14ac:dyDescent="0.3">
      <c r="A76" s="2">
        <v>75</v>
      </c>
      <c r="B76" s="2">
        <v>1967012</v>
      </c>
      <c r="C76" s="2" t="s">
        <v>85</v>
      </c>
      <c r="D76" s="2">
        <v>85431314</v>
      </c>
      <c r="E76" s="2" t="s">
        <v>15</v>
      </c>
      <c r="F76" s="3">
        <v>45826</v>
      </c>
      <c r="G76" s="4">
        <v>53.86</v>
      </c>
      <c r="H76" s="4">
        <v>10.772</v>
      </c>
      <c r="I76" s="4">
        <v>43.088000000000001</v>
      </c>
      <c r="J76" s="5">
        <f t="shared" si="2"/>
        <v>39.856400000000001</v>
      </c>
      <c r="K76" s="5">
        <f>Table1[[#This Row],[القيمة المطلوبة]]</f>
        <v>39.856400000000001</v>
      </c>
      <c r="L76" s="5">
        <f t="shared" si="3"/>
        <v>0</v>
      </c>
      <c r="M76" s="5"/>
      <c r="N76" s="5"/>
    </row>
    <row r="77" spans="1:14" ht="14.4" customHeight="1" x14ac:dyDescent="0.3">
      <c r="A77" s="2">
        <v>76</v>
      </c>
      <c r="B77" s="2">
        <v>1988651</v>
      </c>
      <c r="C77" s="2" t="s">
        <v>87</v>
      </c>
      <c r="D77" s="2">
        <v>86812335</v>
      </c>
      <c r="E77" s="2" t="s">
        <v>15</v>
      </c>
      <c r="F77" s="3">
        <v>45829</v>
      </c>
      <c r="G77" s="4">
        <v>20.61</v>
      </c>
      <c r="H77" s="4">
        <v>3.0910000000000002</v>
      </c>
      <c r="I77" s="4">
        <v>17.518999999999998</v>
      </c>
      <c r="J77" s="5">
        <f t="shared" si="2"/>
        <v>16.282399999999996</v>
      </c>
      <c r="K77" s="5">
        <f>Table1[[#This Row],[القيمة المطلوبة]]</f>
        <v>16.282399999999996</v>
      </c>
      <c r="L77" s="5">
        <f t="shared" si="3"/>
        <v>0</v>
      </c>
      <c r="M77" s="5"/>
      <c r="N77" s="5"/>
    </row>
    <row r="78" spans="1:14" ht="14.4" customHeight="1" x14ac:dyDescent="0.3">
      <c r="A78" s="2">
        <v>78</v>
      </c>
      <c r="B78" s="2">
        <v>1988690</v>
      </c>
      <c r="C78" s="2" t="s">
        <v>90</v>
      </c>
      <c r="D78" s="2">
        <v>86812105</v>
      </c>
      <c r="E78" s="2" t="s">
        <v>15</v>
      </c>
      <c r="F78" s="3">
        <v>45830</v>
      </c>
      <c r="G78" s="4">
        <v>21.1</v>
      </c>
      <c r="H78" s="4">
        <v>3.165</v>
      </c>
      <c r="I78" s="4">
        <v>17.934999999999999</v>
      </c>
      <c r="J78" s="5">
        <f t="shared" si="2"/>
        <v>16.669</v>
      </c>
      <c r="K78" s="5">
        <f>Table1[[#This Row],[القيمة المطلوبة]]</f>
        <v>16.669</v>
      </c>
      <c r="L78" s="5">
        <f t="shared" si="3"/>
        <v>0</v>
      </c>
      <c r="M78" s="5"/>
      <c r="N78" s="5"/>
    </row>
    <row r="79" spans="1:14" ht="14.4" customHeight="1" x14ac:dyDescent="0.3">
      <c r="A79" s="2">
        <v>79</v>
      </c>
      <c r="B79" s="2">
        <v>1988836</v>
      </c>
      <c r="C79" s="2" t="s">
        <v>88</v>
      </c>
      <c r="D79" s="2">
        <v>86815103</v>
      </c>
      <c r="E79" s="2" t="s">
        <v>19</v>
      </c>
      <c r="F79" s="3">
        <v>45830</v>
      </c>
      <c r="G79" s="4">
        <v>25.88</v>
      </c>
      <c r="H79" s="4">
        <v>0</v>
      </c>
      <c r="I79" s="4">
        <v>25.88</v>
      </c>
      <c r="J79" s="5">
        <f t="shared" si="2"/>
        <v>24.327199999999998</v>
      </c>
      <c r="K79" s="5">
        <f>Table1[[#This Row],[القيمة المطلوبة]]</f>
        <v>24.327199999999998</v>
      </c>
      <c r="L79" s="5">
        <f t="shared" si="3"/>
        <v>0</v>
      </c>
      <c r="M79" s="5"/>
      <c r="N79" s="5"/>
    </row>
    <row r="80" spans="1:14" ht="14.4" customHeight="1" x14ac:dyDescent="0.3">
      <c r="A80" s="2">
        <v>77</v>
      </c>
      <c r="B80" s="2">
        <v>1988686</v>
      </c>
      <c r="C80" s="2" t="s">
        <v>89</v>
      </c>
      <c r="D80" s="2">
        <v>86811005</v>
      </c>
      <c r="E80" s="2" t="s">
        <v>19</v>
      </c>
      <c r="F80" s="3">
        <v>45830</v>
      </c>
      <c r="G80" s="4">
        <v>31.9</v>
      </c>
      <c r="H80" s="4">
        <v>4.7850000000000001</v>
      </c>
      <c r="I80" s="4">
        <v>27.114999999999998</v>
      </c>
      <c r="J80" s="5">
        <f t="shared" si="2"/>
        <v>25.200999999999997</v>
      </c>
      <c r="K80" s="5">
        <f>Table1[[#This Row],[القيمة المطلوبة]]</f>
        <v>25.200999999999997</v>
      </c>
      <c r="L80" s="5">
        <f t="shared" si="3"/>
        <v>0</v>
      </c>
      <c r="M80" s="5"/>
      <c r="N80" s="5"/>
    </row>
    <row r="81" spans="1:14" ht="14.4" customHeight="1" x14ac:dyDescent="0.3">
      <c r="A81" s="2">
        <v>80</v>
      </c>
      <c r="B81" s="2">
        <v>1966926</v>
      </c>
      <c r="C81" s="2" t="s">
        <v>65</v>
      </c>
      <c r="D81" s="2">
        <v>85427442</v>
      </c>
      <c r="E81" s="2" t="s">
        <v>19</v>
      </c>
      <c r="F81" s="3">
        <v>45831</v>
      </c>
      <c r="G81" s="4">
        <v>46.2</v>
      </c>
      <c r="H81" s="4">
        <v>9.24</v>
      </c>
      <c r="I81" s="4">
        <v>36.96</v>
      </c>
      <c r="J81" s="5">
        <f t="shared" si="2"/>
        <v>34.187999999999995</v>
      </c>
      <c r="K81" s="5">
        <f>Table1[[#This Row],[القيمة المطلوبة]]</f>
        <v>34.187999999999995</v>
      </c>
      <c r="L81" s="5">
        <f t="shared" si="3"/>
        <v>0</v>
      </c>
      <c r="M81" s="5"/>
      <c r="N81" s="5"/>
    </row>
    <row r="82" spans="1:14" ht="14.4" customHeight="1" x14ac:dyDescent="0.3">
      <c r="A82" s="2">
        <v>82</v>
      </c>
      <c r="B82" s="2">
        <v>1988577</v>
      </c>
      <c r="C82" s="2" t="s">
        <v>92</v>
      </c>
      <c r="D82" s="2">
        <v>86810885</v>
      </c>
      <c r="E82" s="2" t="s">
        <v>19</v>
      </c>
      <c r="F82" s="3">
        <v>45833</v>
      </c>
      <c r="G82" s="4">
        <v>16.47</v>
      </c>
      <c r="H82" s="4">
        <v>2.4700000000000002</v>
      </c>
      <c r="I82" s="4">
        <v>14</v>
      </c>
      <c r="J82" s="5">
        <f t="shared" si="2"/>
        <v>13.011799999999997</v>
      </c>
      <c r="K82" s="5">
        <f>Table1[[#This Row],[القيمة المطلوبة]]</f>
        <v>13.011799999999997</v>
      </c>
      <c r="L82" s="5">
        <f t="shared" si="3"/>
        <v>0</v>
      </c>
      <c r="M82" s="5"/>
      <c r="N82" s="5"/>
    </row>
    <row r="83" spans="1:14" ht="14.4" customHeight="1" x14ac:dyDescent="0.3">
      <c r="A83" s="2">
        <v>81</v>
      </c>
      <c r="B83" s="2">
        <v>1840199</v>
      </c>
      <c r="C83" s="2" t="s">
        <v>91</v>
      </c>
      <c r="D83" s="2">
        <v>86714881</v>
      </c>
      <c r="E83" s="2" t="s">
        <v>19</v>
      </c>
      <c r="F83" s="3">
        <v>45833</v>
      </c>
      <c r="G83" s="4">
        <v>54.46</v>
      </c>
      <c r="H83" s="4">
        <v>8.1690000000000005</v>
      </c>
      <c r="I83" s="4">
        <v>46.290999999999997</v>
      </c>
      <c r="J83" s="5">
        <f t="shared" si="2"/>
        <v>43.023399999999995</v>
      </c>
      <c r="K83" s="5">
        <f>Table1[[#This Row],[القيمة المطلوبة]]</f>
        <v>43.023399999999995</v>
      </c>
      <c r="L83" s="5">
        <f t="shared" si="3"/>
        <v>0</v>
      </c>
      <c r="M83" s="5"/>
      <c r="N83" s="5"/>
    </row>
    <row r="84" spans="1:14" ht="14.4" customHeight="1" x14ac:dyDescent="0.3">
      <c r="A84" s="2">
        <v>84</v>
      </c>
      <c r="B84" s="2">
        <v>1988659</v>
      </c>
      <c r="C84" s="2" t="s">
        <v>94</v>
      </c>
      <c r="D84" s="2">
        <v>868812036</v>
      </c>
      <c r="E84" s="2" t="s">
        <v>15</v>
      </c>
      <c r="F84" s="3">
        <v>45834</v>
      </c>
      <c r="G84" s="4">
        <v>10.68</v>
      </c>
      <c r="H84" s="4">
        <v>1.6020000000000001</v>
      </c>
      <c r="I84" s="4">
        <v>9.0779999999999994</v>
      </c>
      <c r="J84" s="5">
        <f t="shared" si="2"/>
        <v>8.4371999999999989</v>
      </c>
      <c r="K84" s="5">
        <f>Table1[[#This Row],[القيمة المطلوبة]]</f>
        <v>8.4371999999999989</v>
      </c>
      <c r="L84" s="5">
        <f t="shared" si="3"/>
        <v>0</v>
      </c>
      <c r="M84" s="5"/>
      <c r="N84" s="5"/>
    </row>
    <row r="85" spans="1:14" ht="14.4" customHeight="1" x14ac:dyDescent="0.3">
      <c r="A85" s="2">
        <v>83</v>
      </c>
      <c r="B85" s="2">
        <v>1544599</v>
      </c>
      <c r="C85" s="2" t="s">
        <v>93</v>
      </c>
      <c r="D85" s="2">
        <v>85295760</v>
      </c>
      <c r="E85" s="2" t="s">
        <v>19</v>
      </c>
      <c r="F85" s="3">
        <v>45834</v>
      </c>
      <c r="G85" s="4">
        <v>48.86</v>
      </c>
      <c r="H85" s="4">
        <v>12.215</v>
      </c>
      <c r="I85" s="4">
        <v>36.645000000000003</v>
      </c>
      <c r="J85" s="5">
        <f t="shared" si="2"/>
        <v>33.713399999999993</v>
      </c>
      <c r="K85" s="5">
        <f>Table1[[#This Row],[القيمة المطلوبة]]</f>
        <v>33.713399999999993</v>
      </c>
      <c r="L85" s="5">
        <f t="shared" si="3"/>
        <v>0</v>
      </c>
      <c r="M85" s="5"/>
      <c r="N85" s="5"/>
    </row>
    <row r="86" spans="1:14" ht="14.4" customHeight="1" x14ac:dyDescent="0.3">
      <c r="A86" s="2">
        <v>85</v>
      </c>
      <c r="B86" s="2">
        <v>1876003</v>
      </c>
      <c r="C86" s="2" t="s">
        <v>45</v>
      </c>
      <c r="D86" s="2">
        <v>55580283</v>
      </c>
      <c r="E86" s="2" t="s">
        <v>19</v>
      </c>
      <c r="F86" s="3">
        <v>45836</v>
      </c>
      <c r="G86" s="4">
        <v>33.090000000000003</v>
      </c>
      <c r="H86" s="4">
        <v>6.6180000000000003</v>
      </c>
      <c r="I86" s="4">
        <v>26.472000000000001</v>
      </c>
      <c r="J86" s="5">
        <f t="shared" si="2"/>
        <v>24.486600000000003</v>
      </c>
      <c r="K86" s="5">
        <f>Table1[[#This Row],[القيمة المطلوبة]]</f>
        <v>24.486600000000003</v>
      </c>
      <c r="L86" s="5">
        <f t="shared" si="3"/>
        <v>0</v>
      </c>
      <c r="M86" s="5"/>
      <c r="N86" s="5"/>
    </row>
    <row r="87" spans="1:14" ht="14.4" customHeight="1" x14ac:dyDescent="0.3">
      <c r="A87" s="2">
        <v>87</v>
      </c>
      <c r="B87" s="2">
        <v>1988661</v>
      </c>
      <c r="C87" s="2" t="s">
        <v>96</v>
      </c>
      <c r="D87" s="2">
        <v>86812209</v>
      </c>
      <c r="E87" s="2" t="s">
        <v>15</v>
      </c>
      <c r="F87" s="3">
        <v>45837</v>
      </c>
      <c r="G87" s="4">
        <v>15.13</v>
      </c>
      <c r="H87" s="4">
        <v>2.2690000000000001</v>
      </c>
      <c r="I87" s="4">
        <v>12.861000000000001</v>
      </c>
      <c r="J87" s="5">
        <f t="shared" si="2"/>
        <v>11.953199999999999</v>
      </c>
      <c r="K87" s="5">
        <f>Table1[[#This Row],[القيمة المطلوبة]]</f>
        <v>11.953199999999999</v>
      </c>
      <c r="L87" s="5">
        <f t="shared" si="3"/>
        <v>0</v>
      </c>
      <c r="M87" s="5"/>
      <c r="N87" s="5"/>
    </row>
    <row r="88" spans="1:14" ht="14.4" customHeight="1" x14ac:dyDescent="0.3">
      <c r="A88" s="2">
        <v>89</v>
      </c>
      <c r="B88" s="2">
        <v>2003009</v>
      </c>
      <c r="C88" s="2" t="s">
        <v>97</v>
      </c>
      <c r="D88" s="2" t="s">
        <v>98</v>
      </c>
      <c r="E88" s="2" t="s">
        <v>19</v>
      </c>
      <c r="F88" s="3">
        <v>45837</v>
      </c>
      <c r="G88" s="4">
        <v>14.09</v>
      </c>
      <c r="H88" s="4">
        <v>0</v>
      </c>
      <c r="I88" s="4">
        <v>14.09</v>
      </c>
      <c r="J88" s="5">
        <f t="shared" si="2"/>
        <v>13.244599999999998</v>
      </c>
      <c r="K88" s="5">
        <f>Table1[[#This Row],[القيمة المطلوبة]]</f>
        <v>13.244599999999998</v>
      </c>
      <c r="L88" s="5">
        <f t="shared" si="3"/>
        <v>0</v>
      </c>
      <c r="M88" s="5"/>
      <c r="N88" s="5"/>
    </row>
    <row r="89" spans="1:14" ht="14.4" customHeight="1" x14ac:dyDescent="0.3">
      <c r="A89" s="2">
        <v>88</v>
      </c>
      <c r="B89" s="2">
        <v>2003009</v>
      </c>
      <c r="C89" s="2" t="s">
        <v>97</v>
      </c>
      <c r="D89" s="2">
        <v>87435903</v>
      </c>
      <c r="E89" s="2" t="s">
        <v>19</v>
      </c>
      <c r="F89" s="3">
        <v>45837</v>
      </c>
      <c r="G89" s="4">
        <v>16.62</v>
      </c>
      <c r="H89" s="4">
        <v>0</v>
      </c>
      <c r="I89" s="4">
        <v>16.62</v>
      </c>
      <c r="J89" s="5">
        <f t="shared" si="2"/>
        <v>15.6228</v>
      </c>
      <c r="K89" s="5">
        <f>Table1[[#This Row],[القيمة المطلوبة]]</f>
        <v>15.6228</v>
      </c>
      <c r="L89" s="5">
        <f t="shared" si="3"/>
        <v>0</v>
      </c>
      <c r="M89" s="5"/>
      <c r="N89" s="5"/>
    </row>
    <row r="90" spans="1:14" ht="14.4" customHeight="1" x14ac:dyDescent="0.3">
      <c r="A90" s="2">
        <v>86</v>
      </c>
      <c r="B90" s="2">
        <v>1809629</v>
      </c>
      <c r="C90" s="2" t="s">
        <v>95</v>
      </c>
      <c r="D90" s="2">
        <v>55256202</v>
      </c>
      <c r="E90" s="2" t="s">
        <v>19</v>
      </c>
      <c r="F90" s="3">
        <v>45837</v>
      </c>
      <c r="G90" s="4">
        <v>46.56</v>
      </c>
      <c r="H90" s="4">
        <v>9.3119999999999994</v>
      </c>
      <c r="I90" s="4">
        <v>37.247999999999998</v>
      </c>
      <c r="J90" s="5">
        <f t="shared" si="2"/>
        <v>34.4544</v>
      </c>
      <c r="K90" s="5">
        <f>Table1[[#This Row],[القيمة المطلوبة]]</f>
        <v>34.4544</v>
      </c>
      <c r="L90" s="5">
        <f t="shared" si="3"/>
        <v>0</v>
      </c>
      <c r="M90" s="5"/>
      <c r="N90" s="5"/>
    </row>
    <row r="91" spans="1:14" ht="14.4" customHeight="1" x14ac:dyDescent="0.3">
      <c r="A91" s="2">
        <v>92</v>
      </c>
      <c r="B91" s="2">
        <v>1833948</v>
      </c>
      <c r="C91" s="2" t="s">
        <v>102</v>
      </c>
      <c r="D91" s="2">
        <v>85423177</v>
      </c>
      <c r="E91" s="2" t="s">
        <v>15</v>
      </c>
      <c r="F91" s="3">
        <v>45838</v>
      </c>
      <c r="G91" s="4">
        <v>12.62</v>
      </c>
      <c r="H91" s="4">
        <v>2.524</v>
      </c>
      <c r="I91" s="4">
        <v>10.096</v>
      </c>
      <c r="J91" s="5">
        <f t="shared" si="2"/>
        <v>9.3387999999999991</v>
      </c>
      <c r="K91" s="5">
        <f>Table1[[#This Row],[القيمة المطلوبة]]</f>
        <v>9.3387999999999991</v>
      </c>
      <c r="L91" s="5">
        <f t="shared" si="3"/>
        <v>0</v>
      </c>
      <c r="M91" s="5"/>
      <c r="N91" s="5"/>
    </row>
    <row r="92" spans="1:14" ht="14.4" customHeight="1" x14ac:dyDescent="0.3">
      <c r="A92" s="2">
        <v>91</v>
      </c>
      <c r="B92" s="2">
        <v>1988567</v>
      </c>
      <c r="C92" s="2" t="s">
        <v>40</v>
      </c>
      <c r="D92" s="2">
        <v>86813914</v>
      </c>
      <c r="E92" s="2" t="s">
        <v>15</v>
      </c>
      <c r="F92" s="3">
        <v>45838</v>
      </c>
      <c r="G92" s="4">
        <v>18.73</v>
      </c>
      <c r="H92" s="4">
        <v>2.8090000000000002</v>
      </c>
      <c r="I92" s="4">
        <v>15.920999999999999</v>
      </c>
      <c r="J92" s="5">
        <f t="shared" si="2"/>
        <v>14.797199999999997</v>
      </c>
      <c r="K92" s="5">
        <f>Table1[[#This Row],[القيمة المطلوبة]]</f>
        <v>14.797199999999997</v>
      </c>
      <c r="L92" s="5">
        <f t="shared" si="3"/>
        <v>0</v>
      </c>
      <c r="M92" s="5"/>
      <c r="N92" s="5"/>
    </row>
    <row r="93" spans="1:14" ht="14.4" customHeight="1" x14ac:dyDescent="0.3">
      <c r="A93" s="2">
        <v>94</v>
      </c>
      <c r="B93" s="2">
        <v>1988580</v>
      </c>
      <c r="C93" s="2" t="s">
        <v>101</v>
      </c>
      <c r="D93" s="2">
        <v>86812157</v>
      </c>
      <c r="E93" s="2" t="s">
        <v>15</v>
      </c>
      <c r="F93" s="3">
        <v>45838</v>
      </c>
      <c r="G93" s="4">
        <v>26.21</v>
      </c>
      <c r="H93" s="4">
        <v>3.931</v>
      </c>
      <c r="I93" s="4">
        <v>22.279</v>
      </c>
      <c r="J93" s="5">
        <f t="shared" si="2"/>
        <v>20.706399999999999</v>
      </c>
      <c r="K93" s="5">
        <f>Table1[[#This Row],[القيمة المطلوبة]]</f>
        <v>20.706399999999999</v>
      </c>
      <c r="L93" s="5">
        <f t="shared" si="3"/>
        <v>0</v>
      </c>
      <c r="M93" s="5"/>
      <c r="N93" s="5"/>
    </row>
    <row r="94" spans="1:14" ht="14.4" customHeight="1" x14ac:dyDescent="0.3">
      <c r="A94" s="2">
        <v>93</v>
      </c>
      <c r="B94" s="2">
        <v>1988581</v>
      </c>
      <c r="C94" s="2" t="s">
        <v>100</v>
      </c>
      <c r="D94" s="2">
        <v>86812271</v>
      </c>
      <c r="E94" s="2" t="s">
        <v>15</v>
      </c>
      <c r="F94" s="3">
        <v>45838</v>
      </c>
      <c r="G94" s="4">
        <v>27.99</v>
      </c>
      <c r="H94" s="4">
        <v>4.1980000000000004</v>
      </c>
      <c r="I94" s="4">
        <v>23.792000000000002</v>
      </c>
      <c r="J94" s="5">
        <f t="shared" si="2"/>
        <v>22.112599999999997</v>
      </c>
      <c r="K94" s="5">
        <f>Table1[[#This Row],[القيمة المطلوبة]]</f>
        <v>22.112599999999997</v>
      </c>
      <c r="L94" s="5">
        <f t="shared" si="3"/>
        <v>0</v>
      </c>
      <c r="M94" s="5"/>
      <c r="N94" s="5"/>
    </row>
    <row r="95" spans="1:14" ht="14.4" customHeight="1" x14ac:dyDescent="0.3">
      <c r="A95" s="2">
        <v>90</v>
      </c>
      <c r="B95" s="2">
        <v>1988566</v>
      </c>
      <c r="C95" s="2" t="s">
        <v>99</v>
      </c>
      <c r="D95" s="2">
        <v>86811026</v>
      </c>
      <c r="E95" s="2" t="s">
        <v>19</v>
      </c>
      <c r="F95" s="3">
        <v>45838</v>
      </c>
      <c r="G95" s="4">
        <v>50.2</v>
      </c>
      <c r="H95" s="4">
        <v>7.53</v>
      </c>
      <c r="I95" s="4">
        <v>42.67</v>
      </c>
      <c r="J95" s="5">
        <f t="shared" si="2"/>
        <v>39.658000000000001</v>
      </c>
      <c r="K95" s="5">
        <f>Table1[[#This Row],[القيمة المطلوبة]]</f>
        <v>39.658000000000001</v>
      </c>
      <c r="L95" s="5">
        <f t="shared" si="3"/>
        <v>0</v>
      </c>
      <c r="M95" s="5"/>
      <c r="N95" s="5"/>
    </row>
    <row r="96" spans="1:14" ht="14.4" customHeight="1" x14ac:dyDescent="0.3">
      <c r="A96" s="2">
        <v>95</v>
      </c>
      <c r="B96" s="2">
        <v>1988669</v>
      </c>
      <c r="C96" s="2" t="s">
        <v>103</v>
      </c>
      <c r="D96" s="2">
        <v>86810912</v>
      </c>
      <c r="E96" s="2" t="s">
        <v>19</v>
      </c>
      <c r="F96" s="3">
        <v>45839</v>
      </c>
      <c r="G96" s="4">
        <v>20.97</v>
      </c>
      <c r="H96" s="4">
        <v>3.145</v>
      </c>
      <c r="I96" s="4">
        <v>17.824999999999999</v>
      </c>
      <c r="J96" s="5">
        <f t="shared" si="2"/>
        <v>16.566799999999997</v>
      </c>
      <c r="K96" s="5">
        <f>Table1[[#This Row],[القيمة المطلوبة]]</f>
        <v>16.566799999999997</v>
      </c>
      <c r="L96" s="5">
        <f t="shared" si="3"/>
        <v>0</v>
      </c>
      <c r="M96" s="5"/>
      <c r="N96" s="5"/>
    </row>
    <row r="97" spans="1:14" ht="14.4" customHeight="1" x14ac:dyDescent="0.3">
      <c r="A97" s="2">
        <v>96</v>
      </c>
      <c r="B97" s="2">
        <v>1988568</v>
      </c>
      <c r="C97" s="2" t="s">
        <v>104</v>
      </c>
      <c r="D97" s="2">
        <v>86812313</v>
      </c>
      <c r="E97" s="2" t="s">
        <v>19</v>
      </c>
      <c r="F97" s="3">
        <v>45840</v>
      </c>
      <c r="G97" s="4">
        <v>6.67</v>
      </c>
      <c r="H97" s="4">
        <v>1</v>
      </c>
      <c r="I97" s="4">
        <v>5.67</v>
      </c>
      <c r="J97" s="5">
        <f t="shared" si="2"/>
        <v>5.2697999999999992</v>
      </c>
      <c r="K97" s="5">
        <f>Table1[[#This Row],[القيمة المطلوبة]]</f>
        <v>5.2697999999999992</v>
      </c>
      <c r="L97" s="5">
        <f t="shared" si="3"/>
        <v>0</v>
      </c>
      <c r="M97" s="5"/>
      <c r="N97" s="5"/>
    </row>
    <row r="98" spans="1:14" ht="14.4" customHeight="1" x14ac:dyDescent="0.3">
      <c r="A98" s="2">
        <v>97</v>
      </c>
      <c r="B98" s="2">
        <v>794220</v>
      </c>
      <c r="C98" s="2" t="s">
        <v>105</v>
      </c>
      <c r="D98" s="2">
        <v>86414827</v>
      </c>
      <c r="E98" s="2" t="s">
        <v>15</v>
      </c>
      <c r="F98" s="3">
        <v>45843</v>
      </c>
      <c r="G98" s="4">
        <v>19.920000000000002</v>
      </c>
      <c r="H98" s="4">
        <v>1.992</v>
      </c>
      <c r="I98" s="4">
        <v>17.928000000000001</v>
      </c>
      <c r="J98" s="5">
        <f t="shared" si="2"/>
        <v>16.732800000000001</v>
      </c>
      <c r="K98" s="5">
        <f>Table1[[#This Row],[القيمة المطلوبة]]</f>
        <v>16.732800000000001</v>
      </c>
      <c r="L98" s="5">
        <f t="shared" si="3"/>
        <v>0</v>
      </c>
      <c r="M98" s="5"/>
      <c r="N98" s="5"/>
    </row>
    <row r="99" spans="1:14" ht="14.4" customHeight="1" x14ac:dyDescent="0.3">
      <c r="A99" s="2">
        <v>100</v>
      </c>
      <c r="B99" s="2">
        <v>1990713</v>
      </c>
      <c r="C99" s="2" t="s">
        <v>108</v>
      </c>
      <c r="D99" s="2">
        <v>86812527</v>
      </c>
      <c r="E99" s="2" t="s">
        <v>15</v>
      </c>
      <c r="F99" s="3">
        <v>45844</v>
      </c>
      <c r="G99" s="4">
        <v>14.14</v>
      </c>
      <c r="H99" s="4">
        <v>2.121</v>
      </c>
      <c r="I99" s="4">
        <v>12.019</v>
      </c>
      <c r="J99" s="5">
        <f t="shared" si="2"/>
        <v>11.170599999999999</v>
      </c>
      <c r="K99" s="5">
        <f>Table1[[#This Row],[القيمة المطلوبة]]</f>
        <v>11.170599999999999</v>
      </c>
      <c r="L99" s="5">
        <f t="shared" si="3"/>
        <v>0</v>
      </c>
      <c r="M99" s="5"/>
      <c r="N99" s="5"/>
    </row>
    <row r="100" spans="1:14" ht="14.4" customHeight="1" x14ac:dyDescent="0.3">
      <c r="A100" s="2">
        <v>101</v>
      </c>
      <c r="B100" s="2">
        <v>1988641</v>
      </c>
      <c r="C100" s="2" t="s">
        <v>107</v>
      </c>
      <c r="D100" s="2">
        <v>86812010</v>
      </c>
      <c r="E100" s="2" t="s">
        <v>15</v>
      </c>
      <c r="F100" s="3">
        <v>45844</v>
      </c>
      <c r="G100" s="4">
        <v>23.27</v>
      </c>
      <c r="H100" s="4">
        <v>3.49</v>
      </c>
      <c r="I100" s="4">
        <v>19.78</v>
      </c>
      <c r="J100" s="5">
        <f t="shared" si="2"/>
        <v>18.383800000000001</v>
      </c>
      <c r="K100" s="5">
        <f>Table1[[#This Row],[القيمة المطلوبة]]</f>
        <v>18.383800000000001</v>
      </c>
      <c r="L100" s="5">
        <f t="shared" si="3"/>
        <v>0</v>
      </c>
      <c r="M100" s="5"/>
      <c r="N100" s="5"/>
    </row>
    <row r="101" spans="1:14" ht="14.4" customHeight="1" x14ac:dyDescent="0.3">
      <c r="A101" s="2">
        <v>99</v>
      </c>
      <c r="B101" s="2">
        <v>1967012</v>
      </c>
      <c r="C101" s="2" t="s">
        <v>85</v>
      </c>
      <c r="D101" s="2">
        <v>85434101</v>
      </c>
      <c r="E101" s="2" t="s">
        <v>15</v>
      </c>
      <c r="F101" s="3">
        <v>45844</v>
      </c>
      <c r="G101" s="4">
        <v>34.29</v>
      </c>
      <c r="H101" s="4">
        <v>6.8579999999999997</v>
      </c>
      <c r="I101" s="4">
        <v>27.431999999999999</v>
      </c>
      <c r="J101" s="5">
        <f t="shared" si="2"/>
        <v>25.374599999999997</v>
      </c>
      <c r="K101" s="5">
        <f>Table1[[#This Row],[القيمة المطلوبة]]</f>
        <v>25.374599999999997</v>
      </c>
      <c r="L101" s="5">
        <f t="shared" si="3"/>
        <v>0</v>
      </c>
      <c r="M101" s="5"/>
      <c r="N101" s="5"/>
    </row>
    <row r="102" spans="1:14" ht="14.4" customHeight="1" x14ac:dyDescent="0.3">
      <c r="A102" s="2">
        <v>98</v>
      </c>
      <c r="B102" s="2">
        <v>1988649</v>
      </c>
      <c r="C102" s="2" t="s">
        <v>106</v>
      </c>
      <c r="D102" s="2">
        <v>86810930</v>
      </c>
      <c r="E102" s="2" t="s">
        <v>19</v>
      </c>
      <c r="F102" s="3">
        <v>45844</v>
      </c>
      <c r="G102" s="4">
        <v>37.94</v>
      </c>
      <c r="H102" s="4">
        <v>5.6909999999999998</v>
      </c>
      <c r="I102" s="4">
        <v>32.249000000000002</v>
      </c>
      <c r="J102" s="5">
        <f t="shared" si="2"/>
        <v>29.972599999999996</v>
      </c>
      <c r="K102" s="5">
        <f>Table1[[#This Row],[القيمة المطلوبة]]</f>
        <v>29.972599999999996</v>
      </c>
      <c r="L102" s="5">
        <f t="shared" si="3"/>
        <v>0</v>
      </c>
      <c r="M102" s="5"/>
      <c r="N102" s="5"/>
    </row>
    <row r="103" spans="1:14" ht="14.4" customHeight="1" x14ac:dyDescent="0.3">
      <c r="A103" s="2">
        <v>102</v>
      </c>
      <c r="B103" s="2">
        <v>1902626</v>
      </c>
      <c r="C103" s="2" t="s">
        <v>109</v>
      </c>
      <c r="D103" s="2">
        <v>86116905</v>
      </c>
      <c r="E103" s="2" t="s">
        <v>15</v>
      </c>
      <c r="F103" s="3">
        <v>45846</v>
      </c>
      <c r="G103" s="4">
        <v>53.67</v>
      </c>
      <c r="H103" s="4">
        <v>10.734</v>
      </c>
      <c r="I103" s="4">
        <v>42.936</v>
      </c>
      <c r="J103" s="5">
        <f t="shared" si="2"/>
        <v>39.715799999999994</v>
      </c>
      <c r="K103" s="5">
        <f>Table1[[#This Row],[القيمة المطلوبة]]</f>
        <v>39.715799999999994</v>
      </c>
      <c r="L103" s="5">
        <f t="shared" si="3"/>
        <v>0</v>
      </c>
      <c r="M103" s="5"/>
      <c r="N103" s="5"/>
    </row>
    <row r="104" spans="1:14" ht="14.4" customHeight="1" x14ac:dyDescent="0.3">
      <c r="A104" s="2">
        <v>105</v>
      </c>
      <c r="B104" s="2">
        <v>1988566</v>
      </c>
      <c r="C104" s="2" t="s">
        <v>99</v>
      </c>
      <c r="D104" s="2">
        <v>86811027</v>
      </c>
      <c r="E104" s="2" t="s">
        <v>19</v>
      </c>
      <c r="F104" s="3">
        <v>45847</v>
      </c>
      <c r="G104" s="4">
        <v>4.4800000000000004</v>
      </c>
      <c r="H104" s="4">
        <v>0.67200000000000004</v>
      </c>
      <c r="I104" s="4">
        <v>3.8079999999999998</v>
      </c>
      <c r="J104" s="5">
        <f t="shared" si="2"/>
        <v>3.5391999999999997</v>
      </c>
      <c r="K104" s="5">
        <f>Table1[[#This Row],[القيمة المطلوبة]]</f>
        <v>3.5391999999999997</v>
      </c>
      <c r="L104" s="5">
        <f t="shared" si="3"/>
        <v>0</v>
      </c>
      <c r="M104" s="5"/>
      <c r="N104" s="5"/>
    </row>
    <row r="105" spans="1:14" ht="14.4" customHeight="1" x14ac:dyDescent="0.3">
      <c r="A105" s="2">
        <v>103</v>
      </c>
      <c r="B105" s="2">
        <v>1988631</v>
      </c>
      <c r="C105" s="2" t="s">
        <v>112</v>
      </c>
      <c r="D105" s="2">
        <v>86810979</v>
      </c>
      <c r="E105" s="2" t="s">
        <v>19</v>
      </c>
      <c r="F105" s="3">
        <v>45847</v>
      </c>
      <c r="G105" s="4">
        <v>24.57</v>
      </c>
      <c r="H105" s="4">
        <v>3.6850000000000001</v>
      </c>
      <c r="I105" s="4">
        <v>20.885000000000002</v>
      </c>
      <c r="J105" s="5">
        <f t="shared" si="2"/>
        <v>19.410800000000002</v>
      </c>
      <c r="K105" s="5">
        <f>Table1[[#This Row],[القيمة المطلوبة]]</f>
        <v>19.410800000000002</v>
      </c>
      <c r="L105" s="5">
        <f t="shared" si="3"/>
        <v>0</v>
      </c>
      <c r="M105" s="5"/>
      <c r="N105" s="5"/>
    </row>
    <row r="106" spans="1:14" ht="14.4" customHeight="1" x14ac:dyDescent="0.3">
      <c r="A106" s="2">
        <v>104</v>
      </c>
      <c r="B106" s="2">
        <v>1872961</v>
      </c>
      <c r="C106" s="2" t="s">
        <v>111</v>
      </c>
      <c r="D106" s="2">
        <v>55256491</v>
      </c>
      <c r="E106" s="2" t="s">
        <v>15</v>
      </c>
      <c r="F106" s="3">
        <v>45847</v>
      </c>
      <c r="G106" s="4">
        <v>39.26</v>
      </c>
      <c r="H106" s="4">
        <v>7.8520000000000003</v>
      </c>
      <c r="I106" s="4">
        <v>31.408000000000001</v>
      </c>
      <c r="J106" s="5">
        <f t="shared" si="2"/>
        <v>29.052399999999995</v>
      </c>
      <c r="K106" s="5">
        <f>Table1[[#This Row],[القيمة المطلوبة]]</f>
        <v>29.052399999999995</v>
      </c>
      <c r="L106" s="5">
        <f t="shared" si="3"/>
        <v>0</v>
      </c>
      <c r="M106" s="5"/>
      <c r="N106" s="5"/>
    </row>
    <row r="107" spans="1:14" ht="14.4" customHeight="1" x14ac:dyDescent="0.3">
      <c r="A107" s="2">
        <v>106</v>
      </c>
      <c r="B107" s="2">
        <v>1988644</v>
      </c>
      <c r="C107" s="2" t="s">
        <v>110</v>
      </c>
      <c r="D107" s="2">
        <v>86815076</v>
      </c>
      <c r="E107" s="2" t="s">
        <v>19</v>
      </c>
      <c r="F107" s="3">
        <v>45847</v>
      </c>
      <c r="G107" s="4">
        <v>57.65</v>
      </c>
      <c r="H107" s="4">
        <v>8.6470000000000002</v>
      </c>
      <c r="I107" s="4">
        <v>49.003</v>
      </c>
      <c r="J107" s="5">
        <f t="shared" si="2"/>
        <v>45.543999999999997</v>
      </c>
      <c r="K107" s="5">
        <f>Table1[[#This Row],[القيمة المطلوبة]]</f>
        <v>45.543999999999997</v>
      </c>
      <c r="L107" s="5">
        <f t="shared" si="3"/>
        <v>0</v>
      </c>
      <c r="M107" s="5"/>
      <c r="N107" s="5"/>
    </row>
    <row r="108" spans="1:14" ht="14.4" customHeight="1" x14ac:dyDescent="0.3">
      <c r="A108" s="2">
        <v>109</v>
      </c>
      <c r="B108" s="2">
        <v>1988582</v>
      </c>
      <c r="C108" s="2" t="s">
        <v>116</v>
      </c>
      <c r="D108" s="2">
        <v>86812061</v>
      </c>
      <c r="E108" s="2" t="s">
        <v>15</v>
      </c>
      <c r="F108" s="3">
        <v>45848</v>
      </c>
      <c r="G108" s="4">
        <v>30.83</v>
      </c>
      <c r="H108" s="4">
        <v>4.6239999999999997</v>
      </c>
      <c r="I108" s="4">
        <v>26.206</v>
      </c>
      <c r="J108" s="5">
        <f t="shared" si="2"/>
        <v>24.356199999999998</v>
      </c>
      <c r="K108" s="5">
        <f>Table1[[#This Row],[القيمة المطلوبة]]</f>
        <v>24.356199999999998</v>
      </c>
      <c r="L108" s="5">
        <f t="shared" si="3"/>
        <v>0</v>
      </c>
      <c r="M108" s="5"/>
      <c r="N108" s="5"/>
    </row>
    <row r="109" spans="1:14" ht="14.4" customHeight="1" x14ac:dyDescent="0.3">
      <c r="A109" s="2">
        <v>108</v>
      </c>
      <c r="B109" s="2">
        <v>1988577</v>
      </c>
      <c r="C109" s="2" t="s">
        <v>115</v>
      </c>
      <c r="D109" s="2">
        <v>86810886</v>
      </c>
      <c r="E109" s="2" t="s">
        <v>19</v>
      </c>
      <c r="F109" s="3">
        <v>45848</v>
      </c>
      <c r="G109" s="4">
        <v>35.04</v>
      </c>
      <c r="H109" s="4">
        <v>5.2560000000000002</v>
      </c>
      <c r="I109" s="4">
        <v>29.783999999999999</v>
      </c>
      <c r="J109" s="5">
        <f t="shared" si="2"/>
        <v>27.681599999999996</v>
      </c>
      <c r="K109" s="5">
        <f>Table1[[#This Row],[القيمة المطلوبة]]</f>
        <v>27.681599999999996</v>
      </c>
      <c r="L109" s="5">
        <f t="shared" si="3"/>
        <v>0</v>
      </c>
      <c r="M109" s="5"/>
      <c r="N109" s="5"/>
    </row>
    <row r="110" spans="1:14" ht="14.4" customHeight="1" x14ac:dyDescent="0.3">
      <c r="A110" s="2">
        <v>107</v>
      </c>
      <c r="B110" s="2">
        <v>1988578</v>
      </c>
      <c r="C110" s="2" t="s">
        <v>114</v>
      </c>
      <c r="D110" s="2">
        <v>86811804</v>
      </c>
      <c r="E110" s="2" t="s">
        <v>15</v>
      </c>
      <c r="F110" s="3">
        <v>45848</v>
      </c>
      <c r="G110" s="4">
        <v>36.79</v>
      </c>
      <c r="H110" s="4">
        <v>5.5179999999999998</v>
      </c>
      <c r="I110" s="4">
        <v>31.271999999999998</v>
      </c>
      <c r="J110" s="5">
        <f t="shared" si="2"/>
        <v>29.064599999999999</v>
      </c>
      <c r="K110" s="5">
        <f>Table1[[#This Row],[القيمة المطلوبة]]</f>
        <v>29.064599999999999</v>
      </c>
      <c r="L110" s="5">
        <f t="shared" si="3"/>
        <v>0</v>
      </c>
      <c r="M110" s="5"/>
      <c r="N110" s="5"/>
    </row>
    <row r="111" spans="1:14" ht="14.4" customHeight="1" x14ac:dyDescent="0.3">
      <c r="A111" s="2">
        <v>110</v>
      </c>
      <c r="B111" s="2">
        <v>1988703</v>
      </c>
      <c r="C111" s="2" t="s">
        <v>113</v>
      </c>
      <c r="D111" s="2">
        <v>86811790</v>
      </c>
      <c r="E111" s="2" t="s">
        <v>15</v>
      </c>
      <c r="F111" s="3">
        <v>45848</v>
      </c>
      <c r="G111" s="4">
        <v>47.17</v>
      </c>
      <c r="H111" s="4">
        <v>7.0750000000000002</v>
      </c>
      <c r="I111" s="4">
        <v>40.094999999999999</v>
      </c>
      <c r="J111" s="5">
        <f t="shared" si="2"/>
        <v>37.264799999999994</v>
      </c>
      <c r="K111" s="5">
        <f>Table1[[#This Row],[القيمة المطلوبة]]</f>
        <v>37.264799999999994</v>
      </c>
      <c r="L111" s="5">
        <f t="shared" si="3"/>
        <v>0</v>
      </c>
      <c r="M111" s="5"/>
      <c r="N111" s="5"/>
    </row>
    <row r="112" spans="1:14" ht="14.4" customHeight="1" x14ac:dyDescent="0.3">
      <c r="A112" s="2">
        <v>111</v>
      </c>
      <c r="B112" s="2">
        <v>1988581</v>
      </c>
      <c r="C112" s="2" t="s">
        <v>118</v>
      </c>
      <c r="D112" s="2">
        <v>86812272</v>
      </c>
      <c r="E112" s="2" t="s">
        <v>15</v>
      </c>
      <c r="F112" s="3">
        <v>45849</v>
      </c>
      <c r="G112" s="4">
        <v>19.64</v>
      </c>
      <c r="H112" s="4">
        <v>2.9460000000000002</v>
      </c>
      <c r="I112" s="4">
        <v>16.693999999999999</v>
      </c>
      <c r="J112" s="5">
        <f t="shared" si="2"/>
        <v>15.515600000000001</v>
      </c>
      <c r="K112" s="5">
        <f>Table1[[#This Row],[القيمة المطلوبة]]</f>
        <v>15.515600000000001</v>
      </c>
      <c r="L112" s="5">
        <f t="shared" si="3"/>
        <v>0</v>
      </c>
      <c r="M112" s="5"/>
      <c r="N112" s="5"/>
    </row>
    <row r="113" spans="1:14" ht="14.4" customHeight="1" x14ac:dyDescent="0.3">
      <c r="A113" s="2">
        <v>114</v>
      </c>
      <c r="B113" s="2">
        <v>1988579</v>
      </c>
      <c r="C113" s="2" t="s">
        <v>119</v>
      </c>
      <c r="D113" s="2">
        <v>86812013</v>
      </c>
      <c r="E113" s="2" t="s">
        <v>19</v>
      </c>
      <c r="F113" s="3">
        <v>45849</v>
      </c>
      <c r="G113" s="4">
        <v>19.64</v>
      </c>
      <c r="H113" s="4">
        <v>2.9460000000000002</v>
      </c>
      <c r="I113" s="4">
        <v>16.693999999999999</v>
      </c>
      <c r="J113" s="5">
        <f t="shared" si="2"/>
        <v>15.515600000000001</v>
      </c>
      <c r="K113" s="5">
        <f>Table1[[#This Row],[القيمة المطلوبة]]</f>
        <v>15.515600000000001</v>
      </c>
      <c r="L113" s="5">
        <f t="shared" si="3"/>
        <v>0</v>
      </c>
      <c r="M113" s="5"/>
      <c r="N113" s="5"/>
    </row>
    <row r="114" spans="1:14" ht="14.4" customHeight="1" x14ac:dyDescent="0.3">
      <c r="A114" s="2">
        <v>112</v>
      </c>
      <c r="B114" s="2">
        <v>1988580</v>
      </c>
      <c r="C114" s="2" t="s">
        <v>117</v>
      </c>
      <c r="D114" s="2">
        <v>86812158</v>
      </c>
      <c r="E114" s="2" t="s">
        <v>15</v>
      </c>
      <c r="F114" s="3">
        <v>45849</v>
      </c>
      <c r="G114" s="4">
        <v>36.119999999999997</v>
      </c>
      <c r="H114" s="4">
        <v>5.4180000000000001</v>
      </c>
      <c r="I114" s="4">
        <v>30.702000000000002</v>
      </c>
      <c r="J114" s="5">
        <f t="shared" si="2"/>
        <v>28.534799999999997</v>
      </c>
      <c r="K114" s="5">
        <f>Table1[[#This Row],[القيمة المطلوبة]]</f>
        <v>28.534799999999997</v>
      </c>
      <c r="L114" s="5">
        <f t="shared" si="3"/>
        <v>0</v>
      </c>
      <c r="M114" s="5"/>
      <c r="N114" s="5"/>
    </row>
    <row r="115" spans="1:14" ht="14.4" customHeight="1" x14ac:dyDescent="0.3">
      <c r="A115" s="2">
        <v>113</v>
      </c>
      <c r="B115" s="2">
        <v>1948511</v>
      </c>
      <c r="C115" s="2" t="s">
        <v>47</v>
      </c>
      <c r="D115" s="2">
        <v>55705880</v>
      </c>
      <c r="E115" s="2" t="s">
        <v>15</v>
      </c>
      <c r="F115" s="3">
        <v>45849</v>
      </c>
      <c r="G115" s="4">
        <v>55.84</v>
      </c>
      <c r="H115" s="4">
        <v>11.167999999999999</v>
      </c>
      <c r="I115" s="4">
        <v>44.671999999999997</v>
      </c>
      <c r="J115" s="5">
        <f t="shared" si="2"/>
        <v>41.321600000000004</v>
      </c>
      <c r="K115" s="5">
        <f>Table1[[#This Row],[القيمة المطلوبة]]</f>
        <v>41.321600000000004</v>
      </c>
      <c r="L115" s="5">
        <f t="shared" si="3"/>
        <v>0</v>
      </c>
      <c r="M115" s="5"/>
      <c r="N115" s="5"/>
    </row>
    <row r="116" spans="1:14" ht="14.4" customHeight="1" x14ac:dyDescent="0.3">
      <c r="A116" s="2">
        <v>115</v>
      </c>
      <c r="B116" s="2">
        <v>1988584</v>
      </c>
      <c r="C116" s="2" t="s">
        <v>120</v>
      </c>
      <c r="D116" s="2">
        <v>86811797</v>
      </c>
      <c r="E116" s="2" t="s">
        <v>15</v>
      </c>
      <c r="F116" s="3">
        <v>45850</v>
      </c>
      <c r="G116" s="4">
        <v>50.54</v>
      </c>
      <c r="H116" s="4">
        <v>7.5810000000000004</v>
      </c>
      <c r="I116" s="4">
        <v>42.959000000000003</v>
      </c>
      <c r="J116" s="5">
        <f t="shared" si="2"/>
        <v>39.926599999999993</v>
      </c>
      <c r="K116" s="5">
        <f>Table1[[#This Row],[القيمة المطلوبة]]</f>
        <v>39.926599999999993</v>
      </c>
      <c r="L116" s="5">
        <f t="shared" si="3"/>
        <v>0</v>
      </c>
      <c r="M116" s="5"/>
      <c r="N116" s="5"/>
    </row>
    <row r="117" spans="1:14" ht="14.4" customHeight="1" x14ac:dyDescent="0.3">
      <c r="A117" s="2">
        <v>117</v>
      </c>
      <c r="B117" s="2">
        <v>1988746</v>
      </c>
      <c r="C117" s="2" t="s">
        <v>124</v>
      </c>
      <c r="D117" s="2" t="s">
        <v>125</v>
      </c>
      <c r="E117" s="2" t="s">
        <v>19</v>
      </c>
      <c r="F117" s="3">
        <v>45851</v>
      </c>
      <c r="G117" s="4">
        <v>3.44</v>
      </c>
      <c r="H117" s="4">
        <v>0.51600000000000001</v>
      </c>
      <c r="I117" s="4">
        <v>2.9239999999999999</v>
      </c>
      <c r="J117" s="5">
        <f t="shared" si="2"/>
        <v>2.7175999999999996</v>
      </c>
      <c r="K117" s="5">
        <f>Table1[[#This Row],[القيمة المطلوبة]]</f>
        <v>2.7175999999999996</v>
      </c>
      <c r="L117" s="5">
        <f t="shared" si="3"/>
        <v>0</v>
      </c>
      <c r="M117" s="5"/>
      <c r="N117" s="5"/>
    </row>
    <row r="118" spans="1:14" ht="14.4" customHeight="1" x14ac:dyDescent="0.3">
      <c r="A118" s="2">
        <v>116</v>
      </c>
      <c r="B118" s="2">
        <v>1988746</v>
      </c>
      <c r="C118" s="2" t="s">
        <v>123</v>
      </c>
      <c r="D118" s="2">
        <v>86810954</v>
      </c>
      <c r="E118" s="2" t="s">
        <v>19</v>
      </c>
      <c r="F118" s="3">
        <v>45851</v>
      </c>
      <c r="G118" s="4">
        <v>34.1</v>
      </c>
      <c r="H118" s="4">
        <v>5.1150000000000002</v>
      </c>
      <c r="I118" s="4">
        <v>28.984999999999999</v>
      </c>
      <c r="J118" s="5">
        <f t="shared" si="2"/>
        <v>26.939</v>
      </c>
      <c r="K118" s="5">
        <f>Table1[[#This Row],[القيمة المطلوبة]]</f>
        <v>26.939</v>
      </c>
      <c r="L118" s="5">
        <f t="shared" si="3"/>
        <v>0</v>
      </c>
      <c r="M118" s="5"/>
      <c r="N118" s="5"/>
    </row>
    <row r="119" spans="1:14" ht="14.4" customHeight="1" x14ac:dyDescent="0.3">
      <c r="A119" s="2">
        <v>119</v>
      </c>
      <c r="B119" s="2">
        <v>1988680</v>
      </c>
      <c r="C119" s="2" t="s">
        <v>122</v>
      </c>
      <c r="D119" s="2">
        <v>86811018</v>
      </c>
      <c r="E119" s="2" t="s">
        <v>19</v>
      </c>
      <c r="F119" s="3">
        <v>45851</v>
      </c>
      <c r="G119" s="4">
        <v>36.14</v>
      </c>
      <c r="H119" s="4">
        <v>5.4210000000000003</v>
      </c>
      <c r="I119" s="4">
        <v>30.719000000000001</v>
      </c>
      <c r="J119" s="5">
        <f t="shared" si="2"/>
        <v>28.550599999999996</v>
      </c>
      <c r="K119" s="5">
        <f>Table1[[#This Row],[القيمة المطلوبة]]</f>
        <v>28.550599999999996</v>
      </c>
      <c r="L119" s="5">
        <f t="shared" si="3"/>
        <v>0</v>
      </c>
      <c r="M119" s="5"/>
      <c r="N119" s="5"/>
    </row>
    <row r="120" spans="1:14" ht="14.4" customHeight="1" x14ac:dyDescent="0.3">
      <c r="A120" s="2">
        <v>118</v>
      </c>
      <c r="B120" s="2">
        <v>1988681</v>
      </c>
      <c r="C120" s="2" t="s">
        <v>121</v>
      </c>
      <c r="D120" s="2">
        <v>86812589</v>
      </c>
      <c r="E120" s="2" t="s">
        <v>15</v>
      </c>
      <c r="F120" s="3">
        <v>45851</v>
      </c>
      <c r="G120" s="4">
        <v>51.89</v>
      </c>
      <c r="H120" s="4">
        <v>7.7830000000000004</v>
      </c>
      <c r="I120" s="4">
        <v>44.106999999999999</v>
      </c>
      <c r="J120" s="5">
        <f t="shared" si="2"/>
        <v>40.993599999999994</v>
      </c>
      <c r="K120" s="5">
        <f>Table1[[#This Row],[القيمة المطلوبة]]</f>
        <v>40.993599999999994</v>
      </c>
      <c r="L120" s="5">
        <f t="shared" si="3"/>
        <v>0</v>
      </c>
      <c r="M120" s="5"/>
      <c r="N120" s="5"/>
    </row>
    <row r="121" spans="1:14" ht="14.4" customHeight="1" x14ac:dyDescent="0.3">
      <c r="A121" s="2">
        <v>125</v>
      </c>
      <c r="B121" s="2">
        <v>1966861</v>
      </c>
      <c r="C121" s="2" t="s">
        <v>126</v>
      </c>
      <c r="D121" s="2">
        <v>85430877</v>
      </c>
      <c r="E121" s="2" t="s">
        <v>15</v>
      </c>
      <c r="F121" s="3">
        <v>45852</v>
      </c>
      <c r="G121" s="4">
        <v>6.53</v>
      </c>
      <c r="H121" s="4">
        <v>1.306</v>
      </c>
      <c r="I121" s="4">
        <v>5.2240000000000002</v>
      </c>
      <c r="J121" s="5">
        <f t="shared" si="2"/>
        <v>4.8322000000000003</v>
      </c>
      <c r="K121" s="5">
        <f>Table1[[#This Row],[القيمة المطلوبة]]</f>
        <v>4.8322000000000003</v>
      </c>
      <c r="L121" s="5">
        <f t="shared" si="3"/>
        <v>0</v>
      </c>
      <c r="M121" s="5"/>
      <c r="N121" s="5"/>
    </row>
    <row r="122" spans="1:14" ht="14.4" customHeight="1" x14ac:dyDescent="0.3">
      <c r="A122" s="2">
        <v>121</v>
      </c>
      <c r="B122" s="2">
        <v>1966860</v>
      </c>
      <c r="C122" s="2" t="s">
        <v>27</v>
      </c>
      <c r="D122" s="2">
        <v>85430884</v>
      </c>
      <c r="E122" s="2" t="s">
        <v>15</v>
      </c>
      <c r="F122" s="3">
        <v>45852</v>
      </c>
      <c r="G122" s="4">
        <v>34.590000000000003</v>
      </c>
      <c r="H122" s="4">
        <v>6.9180000000000001</v>
      </c>
      <c r="I122" s="4">
        <v>27.672000000000001</v>
      </c>
      <c r="J122" s="5">
        <f t="shared" si="2"/>
        <v>25.596600000000002</v>
      </c>
      <c r="K122" s="5">
        <f>Table1[[#This Row],[القيمة المطلوبة]]</f>
        <v>25.596600000000002</v>
      </c>
      <c r="L122" s="5">
        <f t="shared" si="3"/>
        <v>0</v>
      </c>
      <c r="M122" s="5"/>
      <c r="N122" s="5"/>
    </row>
    <row r="123" spans="1:14" ht="14.4" customHeight="1" x14ac:dyDescent="0.3">
      <c r="A123" s="2">
        <v>120</v>
      </c>
      <c r="B123" s="2">
        <v>1966860</v>
      </c>
      <c r="C123" s="2" t="s">
        <v>27</v>
      </c>
      <c r="D123" s="2">
        <v>85430883</v>
      </c>
      <c r="E123" s="2" t="s">
        <v>15</v>
      </c>
      <c r="F123" s="3">
        <v>45852</v>
      </c>
      <c r="G123" s="4">
        <v>38.04</v>
      </c>
      <c r="H123" s="4">
        <v>7.6079999999999997</v>
      </c>
      <c r="I123" s="4">
        <v>30.431999999999999</v>
      </c>
      <c r="J123" s="5">
        <f t="shared" si="2"/>
        <v>28.149599999999996</v>
      </c>
      <c r="K123" s="5">
        <f>Table1[[#This Row],[القيمة المطلوبة]]</f>
        <v>28.149599999999996</v>
      </c>
      <c r="L123" s="5">
        <f t="shared" si="3"/>
        <v>0</v>
      </c>
      <c r="M123" s="5"/>
      <c r="N123" s="5"/>
    </row>
    <row r="124" spans="1:14" ht="14.4" customHeight="1" x14ac:dyDescent="0.3">
      <c r="A124" s="2">
        <v>124</v>
      </c>
      <c r="B124" s="2">
        <v>1988687</v>
      </c>
      <c r="C124" s="2" t="s">
        <v>127</v>
      </c>
      <c r="D124" s="2">
        <v>86811799</v>
      </c>
      <c r="E124" s="2" t="s">
        <v>15</v>
      </c>
      <c r="F124" s="3">
        <v>45852</v>
      </c>
      <c r="G124" s="4">
        <v>44.81</v>
      </c>
      <c r="H124" s="4">
        <v>6.7210000000000001</v>
      </c>
      <c r="I124" s="4">
        <v>38.088999999999999</v>
      </c>
      <c r="J124" s="5">
        <f t="shared" si="2"/>
        <v>35.400400000000005</v>
      </c>
      <c r="K124" s="5">
        <f>Table1[[#This Row],[القيمة المطلوبة]]</f>
        <v>35.400400000000005</v>
      </c>
      <c r="L124" s="5">
        <f t="shared" si="3"/>
        <v>0</v>
      </c>
      <c r="M124" s="5"/>
      <c r="N124" s="5"/>
    </row>
    <row r="125" spans="1:14" ht="14.4" customHeight="1" x14ac:dyDescent="0.3">
      <c r="A125" s="2">
        <v>123</v>
      </c>
      <c r="B125" s="2">
        <v>1966859</v>
      </c>
      <c r="C125" s="2" t="s">
        <v>17</v>
      </c>
      <c r="D125" s="2">
        <v>85448141</v>
      </c>
      <c r="E125" s="2" t="s">
        <v>19</v>
      </c>
      <c r="F125" s="3">
        <v>45852</v>
      </c>
      <c r="G125" s="4">
        <v>56.51</v>
      </c>
      <c r="H125" s="4">
        <v>11.302</v>
      </c>
      <c r="I125" s="4">
        <v>45.207999999999998</v>
      </c>
      <c r="J125" s="5">
        <f t="shared" si="2"/>
        <v>41.817399999999992</v>
      </c>
      <c r="K125" s="5">
        <f>Table1[[#This Row],[القيمة المطلوبة]]</f>
        <v>41.817399999999992</v>
      </c>
      <c r="L125" s="5">
        <f t="shared" si="3"/>
        <v>0</v>
      </c>
      <c r="M125" s="5"/>
      <c r="N125" s="5"/>
    </row>
    <row r="126" spans="1:14" ht="14.4" customHeight="1" x14ac:dyDescent="0.3">
      <c r="A126" s="2">
        <v>122</v>
      </c>
      <c r="B126" s="2">
        <v>1966861</v>
      </c>
      <c r="C126" s="2" t="s">
        <v>126</v>
      </c>
      <c r="D126" s="2">
        <v>85427241</v>
      </c>
      <c r="E126" s="2" t="s">
        <v>15</v>
      </c>
      <c r="F126" s="3">
        <v>45852</v>
      </c>
      <c r="G126" s="4">
        <v>62.27</v>
      </c>
      <c r="H126" s="4">
        <v>12.454000000000001</v>
      </c>
      <c r="I126" s="4">
        <v>49.816000000000003</v>
      </c>
      <c r="J126" s="5">
        <f t="shared" si="2"/>
        <v>46.079799999999999</v>
      </c>
      <c r="K126" s="5">
        <f>Table1[[#This Row],[القيمة المطلوبة]]</f>
        <v>46.079799999999999</v>
      </c>
      <c r="L126" s="5">
        <f t="shared" si="3"/>
        <v>0</v>
      </c>
      <c r="M126" s="5"/>
      <c r="N126" s="5"/>
    </row>
    <row r="127" spans="1:14" ht="14.4" customHeight="1" x14ac:dyDescent="0.3">
      <c r="A127" s="2">
        <v>126</v>
      </c>
      <c r="B127" s="2">
        <v>86811906</v>
      </c>
      <c r="C127" s="2" t="s">
        <v>128</v>
      </c>
      <c r="D127" s="2">
        <v>86811906</v>
      </c>
      <c r="E127" s="2" t="s">
        <v>15</v>
      </c>
      <c r="F127" s="3">
        <v>45853</v>
      </c>
      <c r="G127" s="4">
        <v>21.8</v>
      </c>
      <c r="H127" s="4">
        <v>0</v>
      </c>
      <c r="I127" s="4">
        <v>21.8</v>
      </c>
      <c r="J127" s="5">
        <f t="shared" si="2"/>
        <v>20.492000000000001</v>
      </c>
      <c r="K127" s="5">
        <f>Table1[[#This Row],[القيمة المطلوبة]]</f>
        <v>20.492000000000001</v>
      </c>
      <c r="L127" s="5">
        <f t="shared" si="3"/>
        <v>0</v>
      </c>
      <c r="M127" s="5"/>
      <c r="N127" s="5"/>
    </row>
    <row r="128" spans="1:14" ht="14.4" customHeight="1" x14ac:dyDescent="0.3">
      <c r="A128" s="2">
        <v>127</v>
      </c>
      <c r="B128" s="2">
        <v>1939766</v>
      </c>
      <c r="C128" s="2" t="s">
        <v>129</v>
      </c>
      <c r="D128" s="2">
        <v>86515881</v>
      </c>
      <c r="E128" s="2" t="s">
        <v>19</v>
      </c>
      <c r="F128" s="3">
        <v>45855</v>
      </c>
      <c r="G128" s="4">
        <v>43.28</v>
      </c>
      <c r="H128" s="4">
        <v>12.984</v>
      </c>
      <c r="I128" s="4">
        <v>30.295999999999999</v>
      </c>
      <c r="J128" s="5">
        <f t="shared" si="2"/>
        <v>27.699199999999998</v>
      </c>
      <c r="K128" s="5">
        <f>Table1[[#This Row],[القيمة المطلوبة]]</f>
        <v>27.699199999999998</v>
      </c>
      <c r="L128" s="5">
        <f t="shared" si="3"/>
        <v>0</v>
      </c>
      <c r="M128" s="5"/>
      <c r="N128" s="5"/>
    </row>
    <row r="129" spans="1:14" ht="14.4" customHeight="1" x14ac:dyDescent="0.3">
      <c r="A129" s="2">
        <v>130</v>
      </c>
      <c r="B129" s="2">
        <v>1970946</v>
      </c>
      <c r="C129" s="2" t="s">
        <v>132</v>
      </c>
      <c r="D129" s="2">
        <v>85831875</v>
      </c>
      <c r="E129" s="2" t="s">
        <v>19</v>
      </c>
      <c r="F129" s="3">
        <v>45857</v>
      </c>
      <c r="G129" s="4">
        <v>23.21</v>
      </c>
      <c r="H129" s="4">
        <v>2.3210000000000002</v>
      </c>
      <c r="I129" s="4">
        <v>20.888999999999999</v>
      </c>
      <c r="J129" s="5">
        <f t="shared" si="2"/>
        <v>19.496399999999998</v>
      </c>
      <c r="K129" s="5">
        <f>Table1[[#This Row],[القيمة المطلوبة]]</f>
        <v>19.496399999999998</v>
      </c>
      <c r="L129" s="5">
        <f t="shared" si="3"/>
        <v>0</v>
      </c>
      <c r="M129" s="5"/>
      <c r="N129" s="5"/>
    </row>
    <row r="130" spans="1:14" ht="14.4" customHeight="1" x14ac:dyDescent="0.3">
      <c r="A130" s="2">
        <v>128</v>
      </c>
      <c r="B130" s="2">
        <v>1474537</v>
      </c>
      <c r="C130" s="2" t="s">
        <v>130</v>
      </c>
      <c r="D130" s="2">
        <v>86337622</v>
      </c>
      <c r="E130" s="2" t="s">
        <v>19</v>
      </c>
      <c r="F130" s="3">
        <v>45857</v>
      </c>
      <c r="G130" s="4">
        <v>46.93</v>
      </c>
      <c r="H130" s="4">
        <v>9.3859999999999992</v>
      </c>
      <c r="I130" s="4">
        <v>37.543999999999997</v>
      </c>
      <c r="J130" s="5">
        <f t="shared" ref="J130:J193" si="4">G130*0.94-H130</f>
        <v>34.728200000000001</v>
      </c>
      <c r="K130" s="5">
        <f>Table1[[#This Row],[القيمة المطلوبة]]</f>
        <v>34.728200000000001</v>
      </c>
      <c r="L130" s="5">
        <f t="shared" ref="L130:L193" si="5">J130-K130</f>
        <v>0</v>
      </c>
      <c r="M130" s="5"/>
      <c r="N130" s="5"/>
    </row>
    <row r="131" spans="1:14" ht="14.4" customHeight="1" x14ac:dyDescent="0.3">
      <c r="A131" s="2">
        <v>129</v>
      </c>
      <c r="B131" s="2">
        <v>1809422</v>
      </c>
      <c r="C131" s="2" t="s">
        <v>131</v>
      </c>
      <c r="D131" s="2">
        <v>86337625</v>
      </c>
      <c r="E131" s="2" t="s">
        <v>19</v>
      </c>
      <c r="F131" s="3">
        <v>45857</v>
      </c>
      <c r="G131" s="4">
        <v>46.93</v>
      </c>
      <c r="H131" s="4">
        <v>9.3859999999999992</v>
      </c>
      <c r="I131" s="4">
        <v>37.543999999999997</v>
      </c>
      <c r="J131" s="5">
        <f t="shared" si="4"/>
        <v>34.728200000000001</v>
      </c>
      <c r="K131" s="5">
        <f>Table1[[#This Row],[القيمة المطلوبة]]</f>
        <v>34.728200000000001</v>
      </c>
      <c r="L131" s="5">
        <f t="shared" si="5"/>
        <v>0</v>
      </c>
      <c r="M131" s="5"/>
      <c r="N131" s="5"/>
    </row>
    <row r="132" spans="1:14" ht="14.4" customHeight="1" x14ac:dyDescent="0.3">
      <c r="A132" s="2">
        <v>131</v>
      </c>
      <c r="B132" s="2">
        <v>1911162</v>
      </c>
      <c r="C132" s="2" t="s">
        <v>133</v>
      </c>
      <c r="D132" s="2">
        <v>86514488</v>
      </c>
      <c r="E132" s="2" t="s">
        <v>19</v>
      </c>
      <c r="F132" s="3">
        <v>45858</v>
      </c>
      <c r="G132" s="4">
        <v>36.79</v>
      </c>
      <c r="H132" s="4">
        <v>5.5179999999999998</v>
      </c>
      <c r="I132" s="4">
        <v>31.271999999999998</v>
      </c>
      <c r="J132" s="5">
        <f t="shared" si="4"/>
        <v>29.064599999999999</v>
      </c>
      <c r="K132" s="5">
        <f>Table1[[#This Row],[القيمة المطلوبة]]</f>
        <v>29.064599999999999</v>
      </c>
      <c r="L132" s="5">
        <f t="shared" si="5"/>
        <v>0</v>
      </c>
      <c r="M132" s="5"/>
      <c r="N132" s="5"/>
    </row>
    <row r="133" spans="1:14" ht="14.4" customHeight="1" x14ac:dyDescent="0.3">
      <c r="A133" s="2">
        <v>133</v>
      </c>
      <c r="B133" s="2">
        <v>1966818</v>
      </c>
      <c r="C133" s="2" t="s">
        <v>46</v>
      </c>
      <c r="D133" s="2">
        <v>85430766</v>
      </c>
      <c r="E133" s="2" t="s">
        <v>19</v>
      </c>
      <c r="F133" s="3">
        <v>45859</v>
      </c>
      <c r="G133" s="4">
        <v>52.55</v>
      </c>
      <c r="H133" s="4">
        <v>10.51</v>
      </c>
      <c r="I133" s="4">
        <v>42.04</v>
      </c>
      <c r="J133" s="5">
        <f t="shared" si="4"/>
        <v>38.886999999999993</v>
      </c>
      <c r="K133" s="5">
        <f>Table1[[#This Row],[القيمة المطلوبة]]</f>
        <v>38.886999999999993</v>
      </c>
      <c r="L133" s="5">
        <f t="shared" si="5"/>
        <v>0</v>
      </c>
      <c r="M133" s="5"/>
      <c r="N133" s="5"/>
    </row>
    <row r="134" spans="1:14" ht="14.4" customHeight="1" x14ac:dyDescent="0.3">
      <c r="A134" s="2">
        <v>132</v>
      </c>
      <c r="B134" s="2">
        <v>1747078</v>
      </c>
      <c r="C134" s="2" t="s">
        <v>58</v>
      </c>
      <c r="D134" s="2">
        <v>87478922</v>
      </c>
      <c r="E134" s="2" t="s">
        <v>19</v>
      </c>
      <c r="F134" s="3">
        <v>45859</v>
      </c>
      <c r="G134" s="4">
        <v>53.67</v>
      </c>
      <c r="H134" s="4">
        <v>8.0500000000000007</v>
      </c>
      <c r="I134" s="4">
        <v>45.62</v>
      </c>
      <c r="J134" s="5">
        <f t="shared" si="4"/>
        <v>42.399799999999999</v>
      </c>
      <c r="K134" s="5">
        <f>Table1[[#This Row],[القيمة المطلوبة]]</f>
        <v>42.399799999999999</v>
      </c>
      <c r="L134" s="5">
        <f t="shared" si="5"/>
        <v>0</v>
      </c>
      <c r="M134" s="5"/>
      <c r="N134" s="5"/>
    </row>
    <row r="135" spans="1:14" ht="14.4" customHeight="1" x14ac:dyDescent="0.3">
      <c r="A135" s="2">
        <v>136</v>
      </c>
      <c r="B135" s="2">
        <v>1990710</v>
      </c>
      <c r="C135" s="2" t="s">
        <v>135</v>
      </c>
      <c r="D135" s="2">
        <v>86812370</v>
      </c>
      <c r="E135" s="2" t="s">
        <v>15</v>
      </c>
      <c r="F135" s="3">
        <v>45861</v>
      </c>
      <c r="G135" s="4">
        <v>9.09</v>
      </c>
      <c r="H135" s="4">
        <v>1.363</v>
      </c>
      <c r="I135" s="4">
        <v>7.7270000000000003</v>
      </c>
      <c r="J135" s="5">
        <f t="shared" si="4"/>
        <v>7.1815999999999995</v>
      </c>
      <c r="K135" s="5">
        <f>Table1[[#This Row],[القيمة المطلوبة]]</f>
        <v>7.1815999999999995</v>
      </c>
      <c r="L135" s="5">
        <f t="shared" si="5"/>
        <v>0</v>
      </c>
      <c r="M135" s="5"/>
      <c r="N135" s="5"/>
    </row>
    <row r="136" spans="1:14" ht="14.4" customHeight="1" x14ac:dyDescent="0.3">
      <c r="A136" s="2">
        <v>134</v>
      </c>
      <c r="B136" s="2">
        <v>1988713</v>
      </c>
      <c r="C136" s="2" t="s">
        <v>33</v>
      </c>
      <c r="D136" s="2">
        <v>86815128</v>
      </c>
      <c r="E136" s="2" t="s">
        <v>19</v>
      </c>
      <c r="F136" s="3">
        <v>45861</v>
      </c>
      <c r="G136" s="4">
        <v>10.26</v>
      </c>
      <c r="H136" s="4">
        <v>1.5389999999999999</v>
      </c>
      <c r="I136" s="4">
        <v>8.7210000000000001</v>
      </c>
      <c r="J136" s="5">
        <f t="shared" si="4"/>
        <v>8.1053999999999995</v>
      </c>
      <c r="K136" s="5">
        <f>Table1[[#This Row],[القيمة المطلوبة]]</f>
        <v>8.1053999999999995</v>
      </c>
      <c r="L136" s="5">
        <f t="shared" si="5"/>
        <v>0</v>
      </c>
      <c r="M136" s="5"/>
      <c r="N136" s="5"/>
    </row>
    <row r="137" spans="1:14" ht="14.4" customHeight="1" x14ac:dyDescent="0.3">
      <c r="A137" s="2">
        <v>135</v>
      </c>
      <c r="B137" s="2">
        <v>1988561</v>
      </c>
      <c r="C137" s="2" t="s">
        <v>134</v>
      </c>
      <c r="D137" s="2">
        <v>86812051</v>
      </c>
      <c r="E137" s="2" t="s">
        <v>15</v>
      </c>
      <c r="F137" s="3">
        <v>45861</v>
      </c>
      <c r="G137" s="4">
        <v>14.94</v>
      </c>
      <c r="H137" s="4">
        <v>2.2410000000000001</v>
      </c>
      <c r="I137" s="4">
        <v>12.699</v>
      </c>
      <c r="J137" s="5">
        <f t="shared" si="4"/>
        <v>11.802599999999998</v>
      </c>
      <c r="K137" s="5">
        <f>Table1[[#This Row],[القيمة المطلوبة]]</f>
        <v>11.802599999999998</v>
      </c>
      <c r="L137" s="5">
        <f t="shared" si="5"/>
        <v>0</v>
      </c>
      <c r="M137" s="5"/>
      <c r="N137" s="5"/>
    </row>
    <row r="138" spans="1:14" ht="14.4" customHeight="1" x14ac:dyDescent="0.3">
      <c r="A138" s="2">
        <v>137</v>
      </c>
      <c r="B138" s="2">
        <v>1969111</v>
      </c>
      <c r="C138" s="2" t="s">
        <v>136</v>
      </c>
      <c r="D138" s="2">
        <v>85867422</v>
      </c>
      <c r="E138" s="2" t="s">
        <v>15</v>
      </c>
      <c r="F138" s="3">
        <v>45863</v>
      </c>
      <c r="G138" s="4">
        <v>32.409999999999997</v>
      </c>
      <c r="H138" s="4">
        <v>3.2410000000000001</v>
      </c>
      <c r="I138" s="4">
        <v>29.169</v>
      </c>
      <c r="J138" s="5">
        <f t="shared" si="4"/>
        <v>27.224399999999996</v>
      </c>
      <c r="K138" s="5">
        <f>Table1[[#This Row],[القيمة المطلوبة]]</f>
        <v>27.224399999999996</v>
      </c>
      <c r="L138" s="5">
        <f t="shared" si="5"/>
        <v>0</v>
      </c>
      <c r="M138" s="5"/>
      <c r="N138" s="5"/>
    </row>
    <row r="139" spans="1:14" ht="14.4" customHeight="1" x14ac:dyDescent="0.3">
      <c r="A139" s="2">
        <v>138</v>
      </c>
      <c r="B139" s="2">
        <v>794217</v>
      </c>
      <c r="C139" s="2" t="s">
        <v>137</v>
      </c>
      <c r="D139" s="2">
        <v>86414690</v>
      </c>
      <c r="E139" s="2" t="s">
        <v>15</v>
      </c>
      <c r="F139" s="3">
        <v>45864</v>
      </c>
      <c r="G139" s="4">
        <v>49.86</v>
      </c>
      <c r="H139" s="4">
        <v>4.9859999999999998</v>
      </c>
      <c r="I139" s="4">
        <v>44.874000000000002</v>
      </c>
      <c r="J139" s="5">
        <f t="shared" si="4"/>
        <v>41.882399999999997</v>
      </c>
      <c r="K139" s="5">
        <f>Table1[[#This Row],[القيمة المطلوبة]]</f>
        <v>41.882399999999997</v>
      </c>
      <c r="L139" s="5">
        <f t="shared" si="5"/>
        <v>0</v>
      </c>
      <c r="M139" s="5"/>
      <c r="N139" s="5"/>
    </row>
    <row r="140" spans="1:14" ht="14.4" customHeight="1" x14ac:dyDescent="0.3">
      <c r="A140" s="2">
        <v>139</v>
      </c>
      <c r="B140" s="2">
        <v>1833947</v>
      </c>
      <c r="C140" s="2" t="s">
        <v>59</v>
      </c>
      <c r="D140" s="2">
        <v>85423173</v>
      </c>
      <c r="E140" s="2" t="s">
        <v>19</v>
      </c>
      <c r="F140" s="3">
        <v>45865</v>
      </c>
      <c r="G140" s="4">
        <v>18.14</v>
      </c>
      <c r="H140" s="4">
        <v>3.6280000000000001</v>
      </c>
      <c r="I140" s="4">
        <v>14.512</v>
      </c>
      <c r="J140" s="5">
        <f t="shared" si="4"/>
        <v>13.4236</v>
      </c>
      <c r="K140" s="5">
        <f>Table1[[#This Row],[القيمة المطلوبة]]</f>
        <v>13.4236</v>
      </c>
      <c r="L140" s="5">
        <f t="shared" si="5"/>
        <v>0</v>
      </c>
      <c r="M140" s="5"/>
      <c r="N140" s="5"/>
    </row>
    <row r="141" spans="1:14" ht="14.4" customHeight="1" x14ac:dyDescent="0.3">
      <c r="A141" s="2">
        <v>140</v>
      </c>
      <c r="B141" s="2">
        <v>1833948</v>
      </c>
      <c r="C141" s="2" t="s">
        <v>102</v>
      </c>
      <c r="D141" s="2">
        <v>85423188</v>
      </c>
      <c r="E141" s="2" t="s">
        <v>15</v>
      </c>
      <c r="F141" s="3">
        <v>45865</v>
      </c>
      <c r="G141" s="4">
        <v>45.53</v>
      </c>
      <c r="H141" s="4">
        <v>9.1059999999999999</v>
      </c>
      <c r="I141" s="4">
        <v>36.423999999999999</v>
      </c>
      <c r="J141" s="5">
        <f t="shared" si="4"/>
        <v>33.6922</v>
      </c>
      <c r="K141" s="5">
        <f>Table1[[#This Row],[القيمة المطلوبة]]</f>
        <v>33.6922</v>
      </c>
      <c r="L141" s="5">
        <f t="shared" si="5"/>
        <v>0</v>
      </c>
      <c r="M141" s="5"/>
      <c r="N141" s="5"/>
    </row>
    <row r="142" spans="1:14" ht="14.4" customHeight="1" x14ac:dyDescent="0.3">
      <c r="A142" s="2">
        <v>141</v>
      </c>
      <c r="B142" s="2">
        <v>1966859</v>
      </c>
      <c r="C142" s="2" t="s">
        <v>17</v>
      </c>
      <c r="D142" s="2">
        <v>85448140</v>
      </c>
      <c r="E142" s="2" t="s">
        <v>19</v>
      </c>
      <c r="F142" s="3">
        <v>45866</v>
      </c>
      <c r="G142" s="4">
        <v>5.52</v>
      </c>
      <c r="H142" s="4">
        <v>1.1040000000000001</v>
      </c>
      <c r="I142" s="4">
        <v>4.4160000000000004</v>
      </c>
      <c r="J142" s="5">
        <f t="shared" si="4"/>
        <v>4.0847999999999995</v>
      </c>
      <c r="K142" s="5">
        <f>Table1[[#This Row],[القيمة المطلوبة]]</f>
        <v>4.0847999999999995</v>
      </c>
      <c r="L142" s="5">
        <f t="shared" si="5"/>
        <v>0</v>
      </c>
      <c r="M142" s="5"/>
      <c r="N142" s="5"/>
    </row>
    <row r="143" spans="1:14" ht="14.4" customHeight="1" x14ac:dyDescent="0.3">
      <c r="A143" s="2">
        <v>145</v>
      </c>
      <c r="B143" s="2">
        <v>1988552</v>
      </c>
      <c r="C143" s="2" t="s">
        <v>140</v>
      </c>
      <c r="D143" s="2">
        <v>86810936</v>
      </c>
      <c r="E143" s="2" t="s">
        <v>19</v>
      </c>
      <c r="F143" s="3">
        <v>45868</v>
      </c>
      <c r="G143" s="4">
        <v>15.78</v>
      </c>
      <c r="H143" s="4">
        <v>2.367</v>
      </c>
      <c r="I143" s="4">
        <v>13.413</v>
      </c>
      <c r="J143" s="5">
        <f t="shared" si="4"/>
        <v>12.466199999999997</v>
      </c>
      <c r="K143" s="5">
        <f>Table1[[#This Row],[القيمة المطلوبة]]</f>
        <v>12.466199999999997</v>
      </c>
      <c r="L143" s="5">
        <f t="shared" si="5"/>
        <v>0</v>
      </c>
      <c r="M143" s="5"/>
      <c r="N143" s="5"/>
    </row>
    <row r="144" spans="1:14" ht="14.4" customHeight="1" x14ac:dyDescent="0.3">
      <c r="A144" s="2">
        <v>146</v>
      </c>
      <c r="B144" s="2">
        <v>1988553</v>
      </c>
      <c r="C144" s="2" t="s">
        <v>139</v>
      </c>
      <c r="D144" s="2">
        <v>86811782</v>
      </c>
      <c r="E144" s="2" t="s">
        <v>19</v>
      </c>
      <c r="F144" s="3">
        <v>45868</v>
      </c>
      <c r="G144" s="4">
        <v>26.68</v>
      </c>
      <c r="H144" s="4">
        <v>4.0019999999999998</v>
      </c>
      <c r="I144" s="4">
        <v>22.678000000000001</v>
      </c>
      <c r="J144" s="5">
        <f t="shared" si="4"/>
        <v>21.077199999999998</v>
      </c>
      <c r="K144" s="5">
        <f>Table1[[#This Row],[القيمة المطلوبة]]</f>
        <v>21.077199999999998</v>
      </c>
      <c r="L144" s="5">
        <f t="shared" si="5"/>
        <v>0</v>
      </c>
      <c r="M144" s="5"/>
      <c r="N144" s="5"/>
    </row>
    <row r="145" spans="1:14" ht="14.4" customHeight="1" x14ac:dyDescent="0.3">
      <c r="A145" s="2">
        <v>144</v>
      </c>
      <c r="B145" s="2">
        <v>1809629</v>
      </c>
      <c r="C145" s="2" t="s">
        <v>95</v>
      </c>
      <c r="D145" s="2">
        <v>55256203</v>
      </c>
      <c r="E145" s="2" t="s">
        <v>19</v>
      </c>
      <c r="F145" s="3">
        <v>45868</v>
      </c>
      <c r="G145" s="4">
        <v>39.22</v>
      </c>
      <c r="H145" s="4">
        <v>7.8440000000000003</v>
      </c>
      <c r="I145" s="4">
        <v>31.376000000000001</v>
      </c>
      <c r="J145" s="5">
        <f t="shared" si="4"/>
        <v>29.022799999999997</v>
      </c>
      <c r="K145" s="5">
        <f>Table1[[#This Row],[القيمة المطلوبة]]</f>
        <v>29.022799999999997</v>
      </c>
      <c r="L145" s="5">
        <f t="shared" si="5"/>
        <v>0</v>
      </c>
      <c r="M145" s="5"/>
      <c r="N145" s="5"/>
    </row>
    <row r="146" spans="1:14" ht="14.4" customHeight="1" x14ac:dyDescent="0.3">
      <c r="A146" s="2">
        <v>142</v>
      </c>
      <c r="B146" s="2">
        <v>1988622</v>
      </c>
      <c r="C146" s="2" t="s">
        <v>70</v>
      </c>
      <c r="D146" s="2">
        <v>86812494</v>
      </c>
      <c r="E146" s="2" t="s">
        <v>15</v>
      </c>
      <c r="F146" s="3">
        <v>45868</v>
      </c>
      <c r="G146" s="4">
        <v>37.72</v>
      </c>
      <c r="H146" s="4">
        <v>5.6580000000000004</v>
      </c>
      <c r="I146" s="4">
        <v>32.061999999999998</v>
      </c>
      <c r="J146" s="5">
        <f t="shared" si="4"/>
        <v>29.798799999999993</v>
      </c>
      <c r="K146" s="5">
        <f>Table1[[#This Row],[القيمة المطلوبة]]</f>
        <v>29.798799999999993</v>
      </c>
      <c r="L146" s="5">
        <f t="shared" si="5"/>
        <v>0</v>
      </c>
      <c r="M146" s="5"/>
      <c r="N146" s="5"/>
    </row>
    <row r="147" spans="1:14" ht="14.4" customHeight="1" x14ac:dyDescent="0.3">
      <c r="A147" s="2">
        <v>143</v>
      </c>
      <c r="B147" s="2">
        <v>1988621</v>
      </c>
      <c r="C147" s="2" t="s">
        <v>138</v>
      </c>
      <c r="D147" s="2">
        <v>86811075</v>
      </c>
      <c r="E147" s="2" t="s">
        <v>19</v>
      </c>
      <c r="F147" s="3">
        <v>45868</v>
      </c>
      <c r="G147" s="4">
        <v>54.15</v>
      </c>
      <c r="H147" s="4">
        <v>8.1219999999999999</v>
      </c>
      <c r="I147" s="4">
        <v>46.027999999999999</v>
      </c>
      <c r="J147" s="5">
        <f t="shared" si="4"/>
        <v>42.778999999999996</v>
      </c>
      <c r="K147" s="5">
        <f>Table1[[#This Row],[القيمة المطلوبة]]</f>
        <v>42.778999999999996</v>
      </c>
      <c r="L147" s="5">
        <f t="shared" si="5"/>
        <v>0</v>
      </c>
      <c r="M147" s="5"/>
      <c r="N147" s="5"/>
    </row>
    <row r="148" spans="1:14" ht="14.4" customHeight="1" x14ac:dyDescent="0.3">
      <c r="A148" s="2">
        <v>148</v>
      </c>
      <c r="B148" s="2">
        <v>1902625</v>
      </c>
      <c r="C148" s="2" t="s">
        <v>141</v>
      </c>
      <c r="D148" s="2">
        <v>86116926</v>
      </c>
      <c r="E148" s="2" t="s">
        <v>19</v>
      </c>
      <c r="F148" s="3">
        <v>45869</v>
      </c>
      <c r="G148" s="4">
        <v>37.869999999999997</v>
      </c>
      <c r="H148" s="4">
        <v>7.5739999999999998</v>
      </c>
      <c r="I148" s="4">
        <v>30.295999999999999</v>
      </c>
      <c r="J148" s="5">
        <f t="shared" si="4"/>
        <v>28.023799999999994</v>
      </c>
      <c r="K148" s="5">
        <f>Table1[[#This Row],[القيمة المطلوبة]]</f>
        <v>28.023799999999994</v>
      </c>
      <c r="L148" s="5">
        <f t="shared" si="5"/>
        <v>0</v>
      </c>
      <c r="M148" s="5"/>
      <c r="N148" s="5"/>
    </row>
    <row r="149" spans="1:14" ht="14.4" customHeight="1" x14ac:dyDescent="0.3">
      <c r="A149" s="2">
        <v>147</v>
      </c>
      <c r="B149" s="2">
        <v>1988745</v>
      </c>
      <c r="C149" s="2" t="s">
        <v>142</v>
      </c>
      <c r="D149" s="2">
        <v>86815060</v>
      </c>
      <c r="E149" s="2" t="s">
        <v>19</v>
      </c>
      <c r="F149" s="3">
        <v>45869</v>
      </c>
      <c r="G149" s="4">
        <v>47.07</v>
      </c>
      <c r="H149" s="4">
        <v>7.06</v>
      </c>
      <c r="I149" s="4">
        <v>40.01</v>
      </c>
      <c r="J149" s="5">
        <f t="shared" si="4"/>
        <v>37.185799999999993</v>
      </c>
      <c r="K149" s="5">
        <f>Table1[[#This Row],[القيمة المطلوبة]]</f>
        <v>37.185799999999993</v>
      </c>
      <c r="L149" s="5">
        <f t="shared" si="5"/>
        <v>0</v>
      </c>
      <c r="M149" s="5"/>
      <c r="N149" s="5"/>
    </row>
    <row r="150" spans="1:14" ht="14.4" customHeight="1" x14ac:dyDescent="0.3">
      <c r="A150" s="2">
        <v>149</v>
      </c>
      <c r="B150" s="2">
        <v>1988697</v>
      </c>
      <c r="C150" s="2" t="s">
        <v>35</v>
      </c>
      <c r="D150" s="2">
        <v>86811106</v>
      </c>
      <c r="E150" s="2" t="s">
        <v>19</v>
      </c>
      <c r="F150" s="3">
        <v>45869</v>
      </c>
      <c r="G150" s="4">
        <v>61.53</v>
      </c>
      <c r="H150" s="4">
        <v>9.2289999999999992</v>
      </c>
      <c r="I150" s="4">
        <v>52.301000000000002</v>
      </c>
      <c r="J150" s="5">
        <f t="shared" si="4"/>
        <v>48.609200000000001</v>
      </c>
      <c r="K150" s="5">
        <f>Table1[[#This Row],[القيمة المطلوبة]]</f>
        <v>48.609200000000001</v>
      </c>
      <c r="L150" s="5">
        <f t="shared" si="5"/>
        <v>0</v>
      </c>
      <c r="M150" s="5"/>
      <c r="N150" s="5"/>
    </row>
    <row r="151" spans="1:14" ht="14.4" customHeight="1" x14ac:dyDescent="0.3">
      <c r="A151" s="2">
        <v>150</v>
      </c>
      <c r="B151" s="2">
        <v>1988678</v>
      </c>
      <c r="C151" s="2" t="s">
        <v>146</v>
      </c>
      <c r="D151" s="2">
        <v>86812302</v>
      </c>
      <c r="E151" s="2" t="s">
        <v>15</v>
      </c>
      <c r="F151" s="3">
        <v>45871</v>
      </c>
      <c r="G151" s="4">
        <v>13.15</v>
      </c>
      <c r="H151" s="4">
        <v>1.972</v>
      </c>
      <c r="I151" s="4">
        <v>11.178000000000001</v>
      </c>
      <c r="J151" s="5">
        <f t="shared" si="4"/>
        <v>10.388999999999999</v>
      </c>
      <c r="K151" s="5">
        <f>Table1[[#This Row],[القيمة المطلوبة]]</f>
        <v>10.388999999999999</v>
      </c>
      <c r="L151" s="5">
        <f t="shared" si="5"/>
        <v>0</v>
      </c>
      <c r="M151" s="5"/>
      <c r="N151" s="5"/>
    </row>
    <row r="152" spans="1:14" ht="14.4" customHeight="1" x14ac:dyDescent="0.3">
      <c r="A152" s="2">
        <v>151</v>
      </c>
      <c r="B152" s="2">
        <v>1988676</v>
      </c>
      <c r="C152" s="2" t="s">
        <v>145</v>
      </c>
      <c r="D152" s="2">
        <v>86811838</v>
      </c>
      <c r="E152" s="2" t="s">
        <v>15</v>
      </c>
      <c r="F152" s="3">
        <v>45871</v>
      </c>
      <c r="G152" s="4">
        <v>15.23</v>
      </c>
      <c r="H152" s="4">
        <v>2.2839999999999998</v>
      </c>
      <c r="I152" s="4">
        <v>12.946</v>
      </c>
      <c r="J152" s="5">
        <f t="shared" si="4"/>
        <v>12.0322</v>
      </c>
      <c r="K152" s="5">
        <f>Table1[[#This Row],[القيمة المطلوبة]]</f>
        <v>12.0322</v>
      </c>
      <c r="L152" s="5">
        <f t="shared" si="5"/>
        <v>0</v>
      </c>
      <c r="M152" s="5"/>
      <c r="N152" s="5"/>
    </row>
    <row r="153" spans="1:14" ht="14.4" customHeight="1" x14ac:dyDescent="0.3">
      <c r="A153" s="2">
        <v>153</v>
      </c>
      <c r="B153" s="2">
        <v>1988702</v>
      </c>
      <c r="C153" s="2" t="s">
        <v>144</v>
      </c>
      <c r="D153" s="2">
        <v>86810997</v>
      </c>
      <c r="E153" s="2" t="s">
        <v>19</v>
      </c>
      <c r="F153" s="3">
        <v>45871</v>
      </c>
      <c r="G153" s="4">
        <v>38.03</v>
      </c>
      <c r="H153" s="4">
        <v>5.7039999999999997</v>
      </c>
      <c r="I153" s="4">
        <v>32.326000000000001</v>
      </c>
      <c r="J153" s="5">
        <f t="shared" si="4"/>
        <v>30.044199999999996</v>
      </c>
      <c r="K153" s="5">
        <f>Table1[[#This Row],[القيمة المطلوبة]]</f>
        <v>30.044199999999996</v>
      </c>
      <c r="L153" s="5">
        <f t="shared" si="5"/>
        <v>0</v>
      </c>
      <c r="M153" s="5"/>
      <c r="N153" s="5"/>
    </row>
    <row r="154" spans="1:14" ht="14.4" customHeight="1" x14ac:dyDescent="0.3">
      <c r="A154" s="2">
        <v>152</v>
      </c>
      <c r="B154" s="2">
        <v>1902627</v>
      </c>
      <c r="C154" s="2" t="s">
        <v>143</v>
      </c>
      <c r="D154" s="2">
        <v>86116917</v>
      </c>
      <c r="E154" s="2" t="s">
        <v>15</v>
      </c>
      <c r="F154" s="3">
        <v>45871</v>
      </c>
      <c r="G154" s="4">
        <v>51.52</v>
      </c>
      <c r="H154" s="4">
        <v>10.304</v>
      </c>
      <c r="I154" s="4">
        <v>41.216000000000001</v>
      </c>
      <c r="J154" s="5">
        <f t="shared" si="4"/>
        <v>38.1248</v>
      </c>
      <c r="K154" s="5">
        <f>Table1[[#This Row],[القيمة المطلوبة]]</f>
        <v>38.1248</v>
      </c>
      <c r="L154" s="5">
        <f t="shared" si="5"/>
        <v>0</v>
      </c>
      <c r="M154" s="5"/>
      <c r="N154" s="5"/>
    </row>
    <row r="155" spans="1:14" ht="14.4" customHeight="1" x14ac:dyDescent="0.3">
      <c r="A155" s="2">
        <v>154</v>
      </c>
      <c r="B155" s="2">
        <v>1988707</v>
      </c>
      <c r="C155" s="2" t="s">
        <v>149</v>
      </c>
      <c r="D155" s="2">
        <v>86811014</v>
      </c>
      <c r="E155" s="2" t="s">
        <v>19</v>
      </c>
      <c r="F155" s="3">
        <v>45872</v>
      </c>
      <c r="G155" s="4">
        <v>8.8190000000000008</v>
      </c>
      <c r="H155" s="4">
        <v>1.323</v>
      </c>
      <c r="I155" s="4">
        <v>7.4960000000000004</v>
      </c>
      <c r="J155" s="5">
        <f t="shared" si="4"/>
        <v>6.9668600000000005</v>
      </c>
      <c r="K155" s="5">
        <f>Table1[[#This Row],[القيمة المطلوبة]]</f>
        <v>6.9668600000000005</v>
      </c>
      <c r="L155" s="5">
        <f t="shared" si="5"/>
        <v>0</v>
      </c>
      <c r="M155" s="5"/>
      <c r="N155" s="5"/>
    </row>
    <row r="156" spans="1:14" ht="14.4" customHeight="1" x14ac:dyDescent="0.3">
      <c r="A156" s="2">
        <v>155</v>
      </c>
      <c r="B156" s="2">
        <v>288545</v>
      </c>
      <c r="C156" s="2" t="s">
        <v>148</v>
      </c>
      <c r="D156" s="2">
        <v>86668760</v>
      </c>
      <c r="E156" s="2" t="s">
        <v>19</v>
      </c>
      <c r="F156" s="3">
        <v>45872</v>
      </c>
      <c r="G156" s="4">
        <v>28.94</v>
      </c>
      <c r="H156" s="4">
        <v>4.3410000000000002</v>
      </c>
      <c r="I156" s="4">
        <v>24.599</v>
      </c>
      <c r="J156" s="5">
        <f t="shared" si="4"/>
        <v>22.862599999999997</v>
      </c>
      <c r="K156" s="5">
        <f>Table1[[#This Row],[القيمة المطلوبة]]</f>
        <v>22.862599999999997</v>
      </c>
      <c r="L156" s="5">
        <f t="shared" si="5"/>
        <v>0</v>
      </c>
      <c r="M156" s="5"/>
      <c r="N156" s="5"/>
    </row>
    <row r="157" spans="1:14" ht="14.4" customHeight="1" x14ac:dyDescent="0.3">
      <c r="A157" s="2">
        <v>156</v>
      </c>
      <c r="B157" s="2">
        <v>2011665</v>
      </c>
      <c r="C157" s="2" t="s">
        <v>147</v>
      </c>
      <c r="D157" s="2">
        <v>88320884</v>
      </c>
      <c r="E157" s="2" t="s">
        <v>19</v>
      </c>
      <c r="F157" s="3">
        <v>45872</v>
      </c>
      <c r="G157" s="4">
        <v>59.23</v>
      </c>
      <c r="H157" s="4">
        <v>11.846</v>
      </c>
      <c r="I157" s="4">
        <v>47.384</v>
      </c>
      <c r="J157" s="5">
        <f t="shared" si="4"/>
        <v>43.830199999999991</v>
      </c>
      <c r="K157" s="5">
        <f>Table1[[#This Row],[القيمة المطلوبة]]</f>
        <v>43.830199999999991</v>
      </c>
      <c r="L157" s="5">
        <f t="shared" si="5"/>
        <v>0</v>
      </c>
      <c r="M157" s="5"/>
      <c r="N157" s="5"/>
    </row>
    <row r="158" spans="1:14" ht="14.4" customHeight="1" x14ac:dyDescent="0.3">
      <c r="A158" s="2">
        <v>157</v>
      </c>
      <c r="B158" s="2">
        <v>1988707</v>
      </c>
      <c r="C158" s="2" t="s">
        <v>150</v>
      </c>
      <c r="D158" s="2" t="s">
        <v>151</v>
      </c>
      <c r="E158" s="2" t="s">
        <v>19</v>
      </c>
      <c r="F158" s="3">
        <v>45873</v>
      </c>
      <c r="G158" s="4">
        <v>11.3</v>
      </c>
      <c r="H158" s="4">
        <v>2.2599999999999998</v>
      </c>
      <c r="I158" s="4">
        <v>9.0399999999999991</v>
      </c>
      <c r="J158" s="5">
        <f t="shared" si="4"/>
        <v>8.3620000000000001</v>
      </c>
      <c r="K158" s="5">
        <f>Table1[[#This Row],[القيمة المطلوبة]]</f>
        <v>8.3620000000000001</v>
      </c>
      <c r="L158" s="5">
        <f t="shared" si="5"/>
        <v>0</v>
      </c>
      <c r="M158" s="5"/>
      <c r="N158" s="5"/>
    </row>
    <row r="159" spans="1:14" ht="14.4" customHeight="1" x14ac:dyDescent="0.3">
      <c r="A159" s="2">
        <v>160</v>
      </c>
      <c r="B159" s="2">
        <v>1988669</v>
      </c>
      <c r="C159" s="2" t="s">
        <v>39</v>
      </c>
      <c r="D159" s="2">
        <v>86810913</v>
      </c>
      <c r="E159" s="2" t="s">
        <v>19</v>
      </c>
      <c r="F159" s="3">
        <v>45875</v>
      </c>
      <c r="G159" s="4">
        <v>30.54</v>
      </c>
      <c r="H159" s="4">
        <v>6.1079999999999997</v>
      </c>
      <c r="I159" s="4">
        <v>24.431999999999999</v>
      </c>
      <c r="J159" s="5">
        <f t="shared" si="4"/>
        <v>22.599599999999999</v>
      </c>
      <c r="K159" s="5">
        <f>Table1[[#This Row],[القيمة المطلوبة]]</f>
        <v>22.599599999999999</v>
      </c>
      <c r="L159" s="5">
        <f t="shared" si="5"/>
        <v>0</v>
      </c>
      <c r="M159" s="5"/>
      <c r="N159" s="5"/>
    </row>
    <row r="160" spans="1:14" ht="14.4" customHeight="1" x14ac:dyDescent="0.3">
      <c r="A160" s="2">
        <v>161</v>
      </c>
      <c r="B160" s="2">
        <v>1988670</v>
      </c>
      <c r="C160" s="2" t="s">
        <v>154</v>
      </c>
      <c r="D160" s="2">
        <v>86811751</v>
      </c>
      <c r="E160" s="2" t="s">
        <v>15</v>
      </c>
      <c r="F160" s="3">
        <v>45875</v>
      </c>
      <c r="G160" s="4">
        <v>30.56</v>
      </c>
      <c r="H160" s="4">
        <v>6.1120000000000001</v>
      </c>
      <c r="I160" s="4">
        <v>24.448</v>
      </c>
      <c r="J160" s="5">
        <f t="shared" si="4"/>
        <v>22.614399999999996</v>
      </c>
      <c r="K160" s="5">
        <f>Table1[[#This Row],[القيمة المطلوبة]]</f>
        <v>22.614399999999996</v>
      </c>
      <c r="L160" s="5">
        <f t="shared" si="5"/>
        <v>0</v>
      </c>
      <c r="M160" s="5"/>
      <c r="N160" s="5"/>
    </row>
    <row r="161" spans="1:14" ht="14.4" customHeight="1" x14ac:dyDescent="0.3">
      <c r="A161" s="2">
        <v>159</v>
      </c>
      <c r="B161" s="2">
        <v>2011610</v>
      </c>
      <c r="C161" s="2" t="s">
        <v>153</v>
      </c>
      <c r="D161" s="2">
        <v>88320802</v>
      </c>
      <c r="E161" s="2" t="s">
        <v>19</v>
      </c>
      <c r="F161" s="3">
        <v>45875</v>
      </c>
      <c r="G161" s="4">
        <v>43.17</v>
      </c>
      <c r="H161" s="4">
        <v>8.6340000000000003</v>
      </c>
      <c r="I161" s="4">
        <v>34.536000000000001</v>
      </c>
      <c r="J161" s="5">
        <f t="shared" si="4"/>
        <v>31.945799999999998</v>
      </c>
      <c r="K161" s="5">
        <f>Table1[[#This Row],[القيمة المطلوبة]]</f>
        <v>31.945799999999998</v>
      </c>
      <c r="L161" s="5">
        <f t="shared" si="5"/>
        <v>0</v>
      </c>
      <c r="M161" s="5"/>
      <c r="N161" s="5"/>
    </row>
    <row r="162" spans="1:14" ht="14.4" customHeight="1" x14ac:dyDescent="0.3">
      <c r="A162" s="2">
        <v>158</v>
      </c>
      <c r="B162" s="2">
        <v>2011608</v>
      </c>
      <c r="C162" s="2" t="s">
        <v>152</v>
      </c>
      <c r="D162" s="2">
        <v>88320798</v>
      </c>
      <c r="E162" s="2" t="s">
        <v>19</v>
      </c>
      <c r="F162" s="3">
        <v>45875</v>
      </c>
      <c r="G162" s="4">
        <v>48.71</v>
      </c>
      <c r="H162" s="4">
        <v>9.7420000000000009</v>
      </c>
      <c r="I162" s="4">
        <v>38.968000000000004</v>
      </c>
      <c r="J162" s="5">
        <f t="shared" si="4"/>
        <v>36.045400000000001</v>
      </c>
      <c r="K162" s="5">
        <f>Table1[[#This Row],[القيمة المطلوبة]]</f>
        <v>36.045400000000001</v>
      </c>
      <c r="L162" s="5">
        <f t="shared" si="5"/>
        <v>0</v>
      </c>
      <c r="M162" s="5"/>
      <c r="N162" s="5"/>
    </row>
    <row r="163" spans="1:14" ht="14.4" customHeight="1" x14ac:dyDescent="0.3">
      <c r="A163" s="2">
        <v>162</v>
      </c>
      <c r="B163" s="2">
        <v>1862234</v>
      </c>
      <c r="C163" s="2" t="s">
        <v>155</v>
      </c>
      <c r="D163" s="2">
        <v>87313732</v>
      </c>
      <c r="E163" s="2" t="s">
        <v>19</v>
      </c>
      <c r="F163" s="3">
        <v>45876</v>
      </c>
      <c r="G163" s="4">
        <v>19.62</v>
      </c>
      <c r="H163" s="4">
        <v>0</v>
      </c>
      <c r="I163" s="4">
        <v>19.62</v>
      </c>
      <c r="J163" s="5">
        <f t="shared" si="4"/>
        <v>18.442799999999998</v>
      </c>
      <c r="K163" s="5">
        <f>Table1[[#This Row],[القيمة المطلوبة]]</f>
        <v>18.442799999999998</v>
      </c>
      <c r="L163" s="5">
        <f t="shared" si="5"/>
        <v>0</v>
      </c>
      <c r="M163" s="5"/>
      <c r="N163" s="5"/>
    </row>
    <row r="164" spans="1:14" ht="14.4" customHeight="1" x14ac:dyDescent="0.3">
      <c r="A164" s="2">
        <v>163</v>
      </c>
      <c r="B164" s="2">
        <v>2011686</v>
      </c>
      <c r="C164" s="2" t="s">
        <v>156</v>
      </c>
      <c r="D164" s="2">
        <v>88320926</v>
      </c>
      <c r="E164" s="2" t="s">
        <v>19</v>
      </c>
      <c r="F164" s="3">
        <v>45878</v>
      </c>
      <c r="G164" s="4">
        <v>44.98</v>
      </c>
      <c r="H164" s="4">
        <v>8.9960000000000004</v>
      </c>
      <c r="I164" s="4">
        <v>35.984000000000002</v>
      </c>
      <c r="J164" s="5">
        <f t="shared" si="4"/>
        <v>33.285199999999989</v>
      </c>
      <c r="K164" s="5">
        <f>Table1[[#This Row],[القيمة المطلوبة]]</f>
        <v>33.285199999999989</v>
      </c>
      <c r="L164" s="5">
        <f t="shared" si="5"/>
        <v>0</v>
      </c>
      <c r="M164" s="5"/>
      <c r="N164" s="5"/>
    </row>
    <row r="165" spans="1:14" ht="14.4" customHeight="1" x14ac:dyDescent="0.3">
      <c r="A165" s="2">
        <v>164</v>
      </c>
      <c r="B165" s="2">
        <v>1988713</v>
      </c>
      <c r="C165" s="2" t="s">
        <v>33</v>
      </c>
      <c r="D165" s="2">
        <v>86815182</v>
      </c>
      <c r="E165" s="2" t="s">
        <v>19</v>
      </c>
      <c r="F165" s="3">
        <v>45879</v>
      </c>
      <c r="G165" s="4">
        <v>30.4</v>
      </c>
      <c r="H165" s="4">
        <v>4.5599999999999996</v>
      </c>
      <c r="I165" s="4">
        <v>25.84</v>
      </c>
      <c r="J165" s="5">
        <f t="shared" si="4"/>
        <v>24.015999999999998</v>
      </c>
      <c r="K165" s="5">
        <f>Table1[[#This Row],[القيمة المطلوبة]]</f>
        <v>24.015999999999998</v>
      </c>
      <c r="L165" s="5">
        <f t="shared" si="5"/>
        <v>0</v>
      </c>
      <c r="M165" s="5"/>
      <c r="N165" s="5"/>
    </row>
    <row r="166" spans="1:14" ht="14.4" customHeight="1" x14ac:dyDescent="0.3">
      <c r="A166" s="2">
        <v>166</v>
      </c>
      <c r="B166" s="2">
        <v>1966429</v>
      </c>
      <c r="C166" s="2" t="s">
        <v>158</v>
      </c>
      <c r="D166" s="2">
        <v>85426004</v>
      </c>
      <c r="E166" s="2" t="s">
        <v>15</v>
      </c>
      <c r="F166" s="3">
        <v>45879</v>
      </c>
      <c r="G166" s="4">
        <v>38.130000000000003</v>
      </c>
      <c r="H166" s="4">
        <v>7.6260000000000003</v>
      </c>
      <c r="I166" s="4">
        <v>30.504000000000001</v>
      </c>
      <c r="J166" s="5">
        <f t="shared" si="4"/>
        <v>28.216199999999997</v>
      </c>
      <c r="K166" s="5">
        <f>Table1[[#This Row],[القيمة المطلوبة]]</f>
        <v>28.216199999999997</v>
      </c>
      <c r="L166" s="5">
        <f t="shared" si="5"/>
        <v>0</v>
      </c>
      <c r="M166" s="5"/>
      <c r="N166" s="5"/>
    </row>
    <row r="167" spans="1:14" ht="14.4" customHeight="1" x14ac:dyDescent="0.3">
      <c r="A167" s="2">
        <v>165</v>
      </c>
      <c r="B167" s="2">
        <v>1966428</v>
      </c>
      <c r="C167" s="2" t="s">
        <v>157</v>
      </c>
      <c r="D167" s="2">
        <v>85425996</v>
      </c>
      <c r="E167" s="2" t="s">
        <v>19</v>
      </c>
      <c r="F167" s="3">
        <v>45879</v>
      </c>
      <c r="G167" s="4">
        <v>38.590000000000003</v>
      </c>
      <c r="H167" s="4">
        <v>7.718</v>
      </c>
      <c r="I167" s="4">
        <v>30.872</v>
      </c>
      <c r="J167" s="5">
        <f t="shared" si="4"/>
        <v>28.5566</v>
      </c>
      <c r="K167" s="5">
        <f>Table1[[#This Row],[القيمة المطلوبة]]</f>
        <v>28.5566</v>
      </c>
      <c r="L167" s="5">
        <f t="shared" si="5"/>
        <v>0</v>
      </c>
      <c r="M167" s="5"/>
      <c r="N167" s="5"/>
    </row>
    <row r="168" spans="1:14" ht="14.4" customHeight="1" x14ac:dyDescent="0.3">
      <c r="A168" s="2">
        <v>167</v>
      </c>
      <c r="B168" s="2">
        <v>86812286</v>
      </c>
      <c r="C168" s="2" t="s">
        <v>159</v>
      </c>
      <c r="D168" s="2">
        <v>86812286</v>
      </c>
      <c r="E168" s="2" t="s">
        <v>15</v>
      </c>
      <c r="F168" s="3">
        <v>45879</v>
      </c>
      <c r="G168" s="4">
        <v>43.6</v>
      </c>
      <c r="H168" s="4">
        <v>6.54</v>
      </c>
      <c r="I168" s="4">
        <v>37.06</v>
      </c>
      <c r="J168" s="5">
        <f t="shared" si="4"/>
        <v>34.444000000000003</v>
      </c>
      <c r="K168" s="5">
        <f>Table1[[#This Row],[القيمة المطلوبة]]</f>
        <v>34.444000000000003</v>
      </c>
      <c r="L168" s="5">
        <f t="shared" si="5"/>
        <v>0</v>
      </c>
      <c r="M168" s="5"/>
      <c r="N168" s="5"/>
    </row>
    <row r="169" spans="1:14" ht="14.4" customHeight="1" x14ac:dyDescent="0.3">
      <c r="A169" s="2">
        <v>169</v>
      </c>
      <c r="B169" s="2">
        <v>1402628</v>
      </c>
      <c r="C169" s="2" t="s">
        <v>161</v>
      </c>
      <c r="D169" s="2">
        <v>86680983</v>
      </c>
      <c r="E169" s="2" t="s">
        <v>15</v>
      </c>
      <c r="F169" s="3">
        <v>45881</v>
      </c>
      <c r="G169" s="4">
        <v>35.1</v>
      </c>
      <c r="H169" s="4">
        <v>5.2649999999999997</v>
      </c>
      <c r="I169" s="4">
        <v>29.835000000000001</v>
      </c>
      <c r="J169" s="5">
        <f t="shared" si="4"/>
        <v>27.728999999999999</v>
      </c>
      <c r="K169" s="5">
        <f>Table1[[#This Row],[القيمة المطلوبة]]</f>
        <v>27.728999999999999</v>
      </c>
      <c r="L169" s="5">
        <f t="shared" si="5"/>
        <v>0</v>
      </c>
      <c r="M169" s="5"/>
      <c r="N169" s="5"/>
    </row>
    <row r="170" spans="1:14" ht="14.4" customHeight="1" x14ac:dyDescent="0.3">
      <c r="A170" s="2">
        <v>168</v>
      </c>
      <c r="B170" s="2">
        <v>553111</v>
      </c>
      <c r="C170" s="2" t="s">
        <v>160</v>
      </c>
      <c r="D170" s="2">
        <v>86668902</v>
      </c>
      <c r="E170" s="2" t="s">
        <v>19</v>
      </c>
      <c r="F170" s="3">
        <v>45881</v>
      </c>
      <c r="G170" s="4">
        <v>37.729999999999997</v>
      </c>
      <c r="H170" s="4">
        <v>5.6589999999999998</v>
      </c>
      <c r="I170" s="4">
        <v>32.070999999999998</v>
      </c>
      <c r="J170" s="5">
        <f t="shared" si="4"/>
        <v>29.807199999999995</v>
      </c>
      <c r="K170" s="5">
        <f>Table1[[#This Row],[القيمة المطلوبة]]</f>
        <v>29.807199999999995</v>
      </c>
      <c r="L170" s="5">
        <f t="shared" si="5"/>
        <v>0</v>
      </c>
      <c r="M170" s="5"/>
      <c r="N170" s="5"/>
    </row>
    <row r="171" spans="1:14" ht="14.4" customHeight="1" x14ac:dyDescent="0.3">
      <c r="A171" s="2">
        <v>170</v>
      </c>
      <c r="B171" s="2">
        <v>1990710</v>
      </c>
      <c r="C171" s="2" t="s">
        <v>64</v>
      </c>
      <c r="D171" s="2">
        <v>868123710</v>
      </c>
      <c r="E171" s="2" t="s">
        <v>15</v>
      </c>
      <c r="F171" s="3">
        <v>45882</v>
      </c>
      <c r="G171" s="4">
        <v>1.1399999999999999</v>
      </c>
      <c r="H171" s="4">
        <v>0.17100000000000001</v>
      </c>
      <c r="I171" s="4">
        <v>0.96899999999999997</v>
      </c>
      <c r="J171" s="5">
        <f t="shared" si="4"/>
        <v>0.90059999999999985</v>
      </c>
      <c r="K171" s="5">
        <f>Table1[[#This Row],[القيمة المطلوبة]]</f>
        <v>0.90059999999999985</v>
      </c>
      <c r="L171" s="5">
        <f t="shared" si="5"/>
        <v>0</v>
      </c>
      <c r="M171" s="5"/>
      <c r="N171" s="5"/>
    </row>
    <row r="172" spans="1:14" ht="14.4" customHeight="1" x14ac:dyDescent="0.3">
      <c r="A172" s="2">
        <v>172</v>
      </c>
      <c r="B172" s="2">
        <v>1990710</v>
      </c>
      <c r="C172" s="2" t="s">
        <v>135</v>
      </c>
      <c r="D172" s="2">
        <v>86812371</v>
      </c>
      <c r="E172" s="2" t="s">
        <v>15</v>
      </c>
      <c r="F172" s="3">
        <v>45883</v>
      </c>
      <c r="G172" s="4">
        <v>8.75</v>
      </c>
      <c r="H172" s="4">
        <v>1.3120000000000001</v>
      </c>
      <c r="I172" s="4">
        <v>7.4379999999999997</v>
      </c>
      <c r="J172" s="5">
        <f t="shared" si="4"/>
        <v>6.9129999999999994</v>
      </c>
      <c r="K172" s="5">
        <f>Table1[[#This Row],[القيمة المطلوبة]]</f>
        <v>6.9129999999999994</v>
      </c>
      <c r="L172" s="5">
        <f t="shared" si="5"/>
        <v>0</v>
      </c>
      <c r="M172" s="5"/>
      <c r="N172" s="5"/>
    </row>
    <row r="173" spans="1:14" ht="14.4" customHeight="1" x14ac:dyDescent="0.3">
      <c r="A173" s="2">
        <v>171</v>
      </c>
      <c r="B173" s="2">
        <v>1988649</v>
      </c>
      <c r="C173" s="2" t="s">
        <v>106</v>
      </c>
      <c r="D173" s="2">
        <v>86810931</v>
      </c>
      <c r="E173" s="2" t="s">
        <v>19</v>
      </c>
      <c r="F173" s="3">
        <v>45883</v>
      </c>
      <c r="G173" s="4">
        <v>12.42</v>
      </c>
      <c r="H173" s="4">
        <v>1.863</v>
      </c>
      <c r="I173" s="4">
        <v>10.557</v>
      </c>
      <c r="J173" s="5">
        <f t="shared" si="4"/>
        <v>9.8117999999999999</v>
      </c>
      <c r="K173" s="5">
        <f>Table1[[#This Row],[القيمة المطلوبة]]</f>
        <v>9.8117999999999999</v>
      </c>
      <c r="L173" s="5">
        <f t="shared" si="5"/>
        <v>0</v>
      </c>
      <c r="M173" s="5"/>
      <c r="N173" s="5"/>
    </row>
    <row r="174" spans="1:14" ht="14.4" customHeight="1" x14ac:dyDescent="0.3">
      <c r="A174" s="2">
        <v>175</v>
      </c>
      <c r="B174" s="2">
        <v>1966861</v>
      </c>
      <c r="C174" s="2" t="s">
        <v>164</v>
      </c>
      <c r="D174" s="2">
        <v>85430878</v>
      </c>
      <c r="E174" s="2" t="s">
        <v>15</v>
      </c>
      <c r="F174" s="3">
        <v>45883</v>
      </c>
      <c r="G174" s="4">
        <v>58.84</v>
      </c>
      <c r="H174" s="4">
        <v>11.768000000000001</v>
      </c>
      <c r="I174" s="4">
        <v>47.072000000000003</v>
      </c>
      <c r="J174" s="5">
        <f t="shared" si="4"/>
        <v>43.541600000000003</v>
      </c>
      <c r="K174" s="5">
        <f>Table1[[#This Row],[القيمة المطلوبة]]</f>
        <v>43.541600000000003</v>
      </c>
      <c r="L174" s="5">
        <f t="shared" si="5"/>
        <v>0</v>
      </c>
      <c r="M174" s="5"/>
      <c r="N174" s="5"/>
    </row>
    <row r="175" spans="1:14" ht="14.4" customHeight="1" x14ac:dyDescent="0.3">
      <c r="A175" s="2">
        <v>173</v>
      </c>
      <c r="B175" s="2">
        <v>2011682</v>
      </c>
      <c r="C175" s="2" t="s">
        <v>163</v>
      </c>
      <c r="D175" s="2">
        <v>88320919</v>
      </c>
      <c r="E175" s="2" t="s">
        <v>19</v>
      </c>
      <c r="F175" s="3">
        <v>45883</v>
      </c>
      <c r="G175" s="4">
        <v>59.08</v>
      </c>
      <c r="H175" s="4">
        <v>11.816000000000001</v>
      </c>
      <c r="I175" s="4">
        <v>47.264000000000003</v>
      </c>
      <c r="J175" s="5">
        <f t="shared" si="4"/>
        <v>43.719199999999994</v>
      </c>
      <c r="K175" s="5">
        <f>Table1[[#This Row],[القيمة المطلوبة]]</f>
        <v>43.719199999999994</v>
      </c>
      <c r="L175" s="5">
        <f t="shared" si="5"/>
        <v>0</v>
      </c>
      <c r="M175" s="5"/>
      <c r="N175" s="5"/>
    </row>
    <row r="176" spans="1:14" ht="14.4" customHeight="1" x14ac:dyDescent="0.3">
      <c r="A176" s="2">
        <v>174</v>
      </c>
      <c r="B176" s="2">
        <v>1966860</v>
      </c>
      <c r="C176" s="2" t="s">
        <v>162</v>
      </c>
      <c r="D176" s="2">
        <v>85430885</v>
      </c>
      <c r="E176" s="2" t="s">
        <v>15</v>
      </c>
      <c r="F176" s="3">
        <v>45883</v>
      </c>
      <c r="G176" s="4">
        <v>67.33</v>
      </c>
      <c r="H176" s="4">
        <v>13.465999999999999</v>
      </c>
      <c r="I176" s="4">
        <v>53.863999999999997</v>
      </c>
      <c r="J176" s="5">
        <f t="shared" si="4"/>
        <v>49.82419999999999</v>
      </c>
      <c r="K176" s="5">
        <f>Table1[[#This Row],[القيمة المطلوبة]]</f>
        <v>49.82419999999999</v>
      </c>
      <c r="L176" s="5">
        <f t="shared" si="5"/>
        <v>0</v>
      </c>
      <c r="M176" s="5"/>
      <c r="N176" s="5"/>
    </row>
    <row r="177" spans="1:14" ht="14.4" customHeight="1" x14ac:dyDescent="0.3">
      <c r="A177" s="2">
        <v>177</v>
      </c>
      <c r="B177" s="2">
        <v>1862236</v>
      </c>
      <c r="C177" s="2" t="s">
        <v>166</v>
      </c>
      <c r="D177" s="2">
        <v>87312736</v>
      </c>
      <c r="E177" s="2" t="s">
        <v>15</v>
      </c>
      <c r="F177" s="3">
        <v>45885</v>
      </c>
      <c r="G177" s="4">
        <v>9.7100000000000009</v>
      </c>
      <c r="H177" s="4">
        <v>0</v>
      </c>
      <c r="I177" s="4">
        <v>9.7100000000000009</v>
      </c>
      <c r="J177" s="5">
        <f t="shared" si="4"/>
        <v>9.1273999999999997</v>
      </c>
      <c r="K177" s="5">
        <f>Table1[[#This Row],[القيمة المطلوبة]]</f>
        <v>9.1273999999999997</v>
      </c>
      <c r="L177" s="5">
        <f t="shared" si="5"/>
        <v>0</v>
      </c>
      <c r="M177" s="5"/>
      <c r="N177" s="5"/>
    </row>
    <row r="178" spans="1:14" ht="14.4" customHeight="1" x14ac:dyDescent="0.3">
      <c r="A178" s="2">
        <v>176</v>
      </c>
      <c r="B178" s="2">
        <v>1862234</v>
      </c>
      <c r="C178" s="2" t="s">
        <v>165</v>
      </c>
      <c r="D178" s="2">
        <v>87312733</v>
      </c>
      <c r="E178" s="2" t="s">
        <v>19</v>
      </c>
      <c r="F178" s="3">
        <v>45885</v>
      </c>
      <c r="G178" s="4">
        <v>44.69</v>
      </c>
      <c r="H178" s="4">
        <v>0</v>
      </c>
      <c r="I178" s="4">
        <v>44.69</v>
      </c>
      <c r="J178" s="5">
        <f t="shared" si="4"/>
        <v>42.008599999999994</v>
      </c>
      <c r="K178" s="5">
        <f>Table1[[#This Row],[القيمة المطلوبة]]</f>
        <v>42.008599999999994</v>
      </c>
      <c r="L178" s="5">
        <f t="shared" si="5"/>
        <v>0</v>
      </c>
      <c r="M178" s="5"/>
      <c r="N178" s="5"/>
    </row>
    <row r="179" spans="1:14" ht="14.4" customHeight="1" x14ac:dyDescent="0.3">
      <c r="A179" s="2">
        <v>179</v>
      </c>
      <c r="B179" s="2">
        <v>1966860</v>
      </c>
      <c r="C179" s="2" t="s">
        <v>164</v>
      </c>
      <c r="D179" s="2">
        <v>85430878</v>
      </c>
      <c r="E179" s="2" t="s">
        <v>15</v>
      </c>
      <c r="F179" s="3">
        <v>45885</v>
      </c>
      <c r="G179" s="4">
        <v>58.84</v>
      </c>
      <c r="H179" s="4">
        <v>11.768000000000001</v>
      </c>
      <c r="I179" s="4">
        <v>47.072000000000003</v>
      </c>
      <c r="J179" s="5">
        <f t="shared" si="4"/>
        <v>43.541600000000003</v>
      </c>
      <c r="K179" s="5">
        <f>Table1[[#This Row],[القيمة المطلوبة]]</f>
        <v>43.541600000000003</v>
      </c>
      <c r="L179" s="5">
        <f t="shared" si="5"/>
        <v>0</v>
      </c>
      <c r="M179" s="5"/>
      <c r="N179" s="5"/>
    </row>
    <row r="180" spans="1:14" ht="14.4" customHeight="1" x14ac:dyDescent="0.3">
      <c r="A180" s="2">
        <v>180</v>
      </c>
      <c r="B180" s="2">
        <v>1991703</v>
      </c>
      <c r="C180" s="2" t="s">
        <v>167</v>
      </c>
      <c r="D180" s="2">
        <v>86811045</v>
      </c>
      <c r="E180" s="2" t="s">
        <v>19</v>
      </c>
      <c r="F180" s="3">
        <v>45886</v>
      </c>
      <c r="G180" s="4">
        <v>16.649999999999999</v>
      </c>
      <c r="H180" s="4">
        <v>2.4969999999999999</v>
      </c>
      <c r="I180" s="4">
        <v>14.153</v>
      </c>
      <c r="J180" s="5">
        <f t="shared" si="4"/>
        <v>13.153999999999998</v>
      </c>
      <c r="K180" s="5">
        <f>Table1[[#This Row],[القيمة المطلوبة]]</f>
        <v>13.153999999999998</v>
      </c>
      <c r="L180" s="5">
        <f t="shared" si="5"/>
        <v>0</v>
      </c>
      <c r="M180" s="5"/>
      <c r="N180" s="5"/>
    </row>
    <row r="181" spans="1:14" ht="14.4" customHeight="1" x14ac:dyDescent="0.3">
      <c r="A181" s="2">
        <v>184</v>
      </c>
      <c r="B181" s="2">
        <v>1988677</v>
      </c>
      <c r="C181" s="2" t="s">
        <v>172</v>
      </c>
      <c r="D181" s="2">
        <v>86812126</v>
      </c>
      <c r="E181" s="2" t="s">
        <v>15</v>
      </c>
      <c r="F181" s="3">
        <v>45887</v>
      </c>
      <c r="G181" s="4">
        <v>4.47</v>
      </c>
      <c r="H181" s="4">
        <v>0.67</v>
      </c>
      <c r="I181" s="4">
        <v>3.8</v>
      </c>
      <c r="J181" s="5">
        <f t="shared" si="4"/>
        <v>3.5317999999999996</v>
      </c>
      <c r="K181" s="5">
        <f>Table1[[#This Row],[القيمة المطلوبة]]</f>
        <v>3.5317999999999996</v>
      </c>
      <c r="L181" s="5">
        <f t="shared" si="5"/>
        <v>0</v>
      </c>
      <c r="M181" s="5"/>
      <c r="N181" s="5"/>
    </row>
    <row r="182" spans="1:14" ht="14.4" customHeight="1" x14ac:dyDescent="0.3">
      <c r="A182" s="2">
        <v>182</v>
      </c>
      <c r="B182" s="2">
        <v>1988576</v>
      </c>
      <c r="C182" s="2" t="s">
        <v>171</v>
      </c>
      <c r="D182" s="2">
        <v>86812261</v>
      </c>
      <c r="E182" s="2" t="s">
        <v>19</v>
      </c>
      <c r="F182" s="3">
        <v>45887</v>
      </c>
      <c r="G182" s="4">
        <v>38.97</v>
      </c>
      <c r="H182" s="4">
        <v>5.8449999999999998</v>
      </c>
      <c r="I182" s="4">
        <v>33.125</v>
      </c>
      <c r="J182" s="5">
        <f t="shared" si="4"/>
        <v>30.786799999999999</v>
      </c>
      <c r="K182" s="5">
        <f>Table1[[#This Row],[القيمة المطلوبة]]</f>
        <v>30.786799999999999</v>
      </c>
      <c r="L182" s="5">
        <f t="shared" si="5"/>
        <v>0</v>
      </c>
      <c r="M182" s="5"/>
      <c r="N182" s="5"/>
    </row>
    <row r="183" spans="1:14" ht="14.4" customHeight="1" x14ac:dyDescent="0.3">
      <c r="A183" s="2">
        <v>183</v>
      </c>
      <c r="B183" s="2">
        <v>1988573</v>
      </c>
      <c r="C183" s="2" t="s">
        <v>170</v>
      </c>
      <c r="D183" s="2">
        <v>86810892</v>
      </c>
      <c r="E183" s="2" t="s">
        <v>19</v>
      </c>
      <c r="F183" s="3">
        <v>45887</v>
      </c>
      <c r="G183" s="4">
        <v>46.24</v>
      </c>
      <c r="H183" s="4">
        <v>6.9359999999999999</v>
      </c>
      <c r="I183" s="4">
        <v>39.304000000000002</v>
      </c>
      <c r="J183" s="5">
        <f t="shared" si="4"/>
        <v>36.529600000000002</v>
      </c>
      <c r="K183" s="5">
        <f>Table1[[#This Row],[القيمة المطلوبة]]</f>
        <v>36.529600000000002</v>
      </c>
      <c r="L183" s="5">
        <f t="shared" si="5"/>
        <v>0</v>
      </c>
      <c r="M183" s="5"/>
      <c r="N183" s="5"/>
    </row>
    <row r="184" spans="1:14" ht="14.4" customHeight="1" x14ac:dyDescent="0.3">
      <c r="A184" s="2">
        <v>185</v>
      </c>
      <c r="B184" s="2">
        <v>2011703</v>
      </c>
      <c r="C184" s="2" t="s">
        <v>169</v>
      </c>
      <c r="D184" s="2">
        <v>88320952</v>
      </c>
      <c r="E184" s="2" t="s">
        <v>19</v>
      </c>
      <c r="F184" s="3">
        <v>45887</v>
      </c>
      <c r="G184" s="4">
        <v>61.43</v>
      </c>
      <c r="H184" s="4">
        <v>12.286</v>
      </c>
      <c r="I184" s="4">
        <v>49.143999999999998</v>
      </c>
      <c r="J184" s="5">
        <f t="shared" si="4"/>
        <v>45.458199999999998</v>
      </c>
      <c r="K184" s="5">
        <f>Table1[[#This Row],[القيمة المطلوبة]]</f>
        <v>45.458199999999998</v>
      </c>
      <c r="L184" s="5">
        <f t="shared" si="5"/>
        <v>0</v>
      </c>
      <c r="M184" s="5"/>
      <c r="N184" s="5"/>
    </row>
    <row r="185" spans="1:14" ht="14.4" customHeight="1" x14ac:dyDescent="0.3">
      <c r="A185" s="2">
        <v>181</v>
      </c>
      <c r="B185" s="2">
        <v>2011677</v>
      </c>
      <c r="C185" s="2" t="s">
        <v>168</v>
      </c>
      <c r="D185" s="2">
        <v>88320908</v>
      </c>
      <c r="E185" s="2" t="s">
        <v>19</v>
      </c>
      <c r="F185" s="3">
        <v>45887</v>
      </c>
      <c r="G185" s="4">
        <v>67.5</v>
      </c>
      <c r="H185" s="4">
        <v>13.5</v>
      </c>
      <c r="I185" s="4">
        <v>54</v>
      </c>
      <c r="J185" s="5">
        <f t="shared" si="4"/>
        <v>49.949999999999996</v>
      </c>
      <c r="K185" s="5">
        <f>Table1[[#This Row],[القيمة المطلوبة]]</f>
        <v>49.949999999999996</v>
      </c>
      <c r="L185" s="5">
        <f t="shared" si="5"/>
        <v>0</v>
      </c>
      <c r="M185" s="5"/>
      <c r="N185" s="5"/>
    </row>
    <row r="186" spans="1:14" ht="14.4" customHeight="1" x14ac:dyDescent="0.3">
      <c r="A186" s="2">
        <v>186</v>
      </c>
      <c r="B186" s="2">
        <v>1988713</v>
      </c>
      <c r="C186" s="2" t="s">
        <v>33</v>
      </c>
      <c r="D186" s="2">
        <v>86815183</v>
      </c>
      <c r="E186" s="2" t="s">
        <v>19</v>
      </c>
      <c r="F186" s="3">
        <v>45888</v>
      </c>
      <c r="G186" s="4">
        <v>40.07</v>
      </c>
      <c r="H186" s="4">
        <v>6.01</v>
      </c>
      <c r="I186" s="4">
        <v>34.06</v>
      </c>
      <c r="J186" s="5">
        <f t="shared" si="4"/>
        <v>31.655799999999999</v>
      </c>
      <c r="K186" s="5">
        <f>Table1[[#This Row],[القيمة المطلوبة]]</f>
        <v>31.655799999999999</v>
      </c>
      <c r="L186" s="5">
        <f t="shared" si="5"/>
        <v>0</v>
      </c>
      <c r="M186" s="5"/>
      <c r="N186" s="5"/>
    </row>
    <row r="187" spans="1:14" ht="14.4" customHeight="1" x14ac:dyDescent="0.3">
      <c r="A187" s="2">
        <v>187</v>
      </c>
      <c r="B187" s="2">
        <v>2011735</v>
      </c>
      <c r="C187" s="2" t="s">
        <v>173</v>
      </c>
      <c r="D187" s="2">
        <v>88322555</v>
      </c>
      <c r="E187" s="2" t="s">
        <v>15</v>
      </c>
      <c r="F187" s="3">
        <v>45889</v>
      </c>
      <c r="G187" s="4">
        <v>43.3</v>
      </c>
      <c r="H187" s="4">
        <v>8.66</v>
      </c>
      <c r="I187" s="4">
        <v>34.64</v>
      </c>
      <c r="J187" s="5">
        <f t="shared" si="4"/>
        <v>32.042000000000002</v>
      </c>
      <c r="K187" s="5">
        <f>Table1[[#This Row],[القيمة المطلوبة]]</f>
        <v>32.042000000000002</v>
      </c>
      <c r="L187" s="5">
        <f t="shared" si="5"/>
        <v>0</v>
      </c>
      <c r="M187" s="5"/>
      <c r="N187" s="5"/>
    </row>
    <row r="188" spans="1:14" ht="14.4" customHeight="1" x14ac:dyDescent="0.3">
      <c r="A188" s="2">
        <v>188</v>
      </c>
      <c r="B188" s="2">
        <v>1939766</v>
      </c>
      <c r="C188" s="2" t="s">
        <v>129</v>
      </c>
      <c r="D188" s="2">
        <v>88463216</v>
      </c>
      <c r="E188" s="2" t="s">
        <v>19</v>
      </c>
      <c r="F188" s="3">
        <v>45890</v>
      </c>
      <c r="G188" s="4">
        <v>16.170000000000002</v>
      </c>
      <c r="H188" s="4">
        <v>4.851</v>
      </c>
      <c r="I188" s="4">
        <v>11.319000000000001</v>
      </c>
      <c r="J188" s="5">
        <f t="shared" si="4"/>
        <v>10.348800000000001</v>
      </c>
      <c r="K188" s="5">
        <f>Table1[[#This Row],[القيمة المطلوبة]]</f>
        <v>10.348800000000001</v>
      </c>
      <c r="L188" s="5">
        <f t="shared" si="5"/>
        <v>0</v>
      </c>
      <c r="M188" s="5"/>
      <c r="N188" s="5"/>
    </row>
    <row r="189" spans="1:14" ht="14.4" customHeight="1" x14ac:dyDescent="0.3">
      <c r="A189" s="2">
        <v>189</v>
      </c>
      <c r="B189" s="2">
        <v>2011706</v>
      </c>
      <c r="C189" s="2" t="s">
        <v>174</v>
      </c>
      <c r="D189" s="2">
        <v>88320958</v>
      </c>
      <c r="E189" s="2" t="s">
        <v>15</v>
      </c>
      <c r="F189" s="3">
        <v>45892</v>
      </c>
      <c r="G189" s="4">
        <v>16.559999999999999</v>
      </c>
      <c r="H189" s="4">
        <v>3.3119999999999998</v>
      </c>
      <c r="I189" s="4">
        <v>13.247999999999999</v>
      </c>
      <c r="J189" s="5">
        <f t="shared" si="4"/>
        <v>12.254399999999999</v>
      </c>
      <c r="K189" s="5">
        <f>Table1[[#This Row],[القيمة المطلوبة]]</f>
        <v>12.254399999999999</v>
      </c>
      <c r="L189" s="5">
        <f t="shared" si="5"/>
        <v>0</v>
      </c>
      <c r="M189" s="5"/>
      <c r="N189" s="5"/>
    </row>
    <row r="190" spans="1:14" ht="14.4" customHeight="1" x14ac:dyDescent="0.3">
      <c r="A190" s="2">
        <v>191</v>
      </c>
      <c r="B190" s="2">
        <v>1988667</v>
      </c>
      <c r="C190" s="2" t="s">
        <v>177</v>
      </c>
      <c r="D190" s="2">
        <v>86812201</v>
      </c>
      <c r="E190" s="2" t="s">
        <v>15</v>
      </c>
      <c r="F190" s="3">
        <v>45893</v>
      </c>
      <c r="G190" s="4">
        <v>29.27</v>
      </c>
      <c r="H190" s="4">
        <v>4.3899999999999997</v>
      </c>
      <c r="I190" s="4">
        <v>24.88</v>
      </c>
      <c r="J190" s="5">
        <f t="shared" si="4"/>
        <v>23.123799999999999</v>
      </c>
      <c r="K190" s="5">
        <f>Table1[[#This Row],[القيمة المطلوبة]]</f>
        <v>23.123799999999999</v>
      </c>
      <c r="L190" s="5">
        <f t="shared" si="5"/>
        <v>0</v>
      </c>
      <c r="M190" s="5"/>
      <c r="N190" s="5"/>
    </row>
    <row r="191" spans="1:14" ht="14.4" customHeight="1" x14ac:dyDescent="0.3">
      <c r="A191" s="2">
        <v>192</v>
      </c>
      <c r="B191" s="2">
        <v>1988665</v>
      </c>
      <c r="C191" s="2" t="s">
        <v>176</v>
      </c>
      <c r="D191" s="2">
        <v>86811736</v>
      </c>
      <c r="E191" s="2" t="s">
        <v>15</v>
      </c>
      <c r="F191" s="3">
        <v>45893</v>
      </c>
      <c r="G191" s="4">
        <v>47.36</v>
      </c>
      <c r="H191" s="4">
        <v>7.1040000000000001</v>
      </c>
      <c r="I191" s="4">
        <v>40.256</v>
      </c>
      <c r="J191" s="5">
        <f t="shared" si="4"/>
        <v>37.414400000000001</v>
      </c>
      <c r="K191" s="5">
        <f>Table1[[#This Row],[القيمة المطلوبة]]</f>
        <v>37.414400000000001</v>
      </c>
      <c r="L191" s="5">
        <f t="shared" si="5"/>
        <v>0</v>
      </c>
      <c r="M191" s="5"/>
      <c r="N191" s="5"/>
    </row>
    <row r="192" spans="1:14" ht="14.4" customHeight="1" x14ac:dyDescent="0.3">
      <c r="A192" s="2">
        <v>190</v>
      </c>
      <c r="B192" s="2">
        <v>1966427</v>
      </c>
      <c r="C192" s="2" t="s">
        <v>175</v>
      </c>
      <c r="D192" s="2">
        <v>85429641</v>
      </c>
      <c r="E192" s="2" t="s">
        <v>19</v>
      </c>
      <c r="F192" s="3">
        <v>45893</v>
      </c>
      <c r="G192" s="4">
        <v>56.03</v>
      </c>
      <c r="H192" s="4">
        <v>11.206</v>
      </c>
      <c r="I192" s="4">
        <v>44.823999999999998</v>
      </c>
      <c r="J192" s="5">
        <f t="shared" si="4"/>
        <v>41.462199999999996</v>
      </c>
      <c r="K192" s="5">
        <f>Table1[[#This Row],[القيمة المطلوبة]]</f>
        <v>41.462199999999996</v>
      </c>
      <c r="L192" s="5">
        <f t="shared" si="5"/>
        <v>0</v>
      </c>
      <c r="M192" s="5"/>
      <c r="N192" s="5"/>
    </row>
    <row r="193" spans="1:14" ht="14.4" customHeight="1" x14ac:dyDescent="0.3">
      <c r="A193" s="2">
        <v>193</v>
      </c>
      <c r="B193" s="2">
        <v>794217</v>
      </c>
      <c r="C193" s="2" t="s">
        <v>137</v>
      </c>
      <c r="D193" s="2">
        <v>86414699</v>
      </c>
      <c r="E193" s="2" t="s">
        <v>15</v>
      </c>
      <c r="F193" s="3">
        <v>45895</v>
      </c>
      <c r="G193" s="4">
        <v>45.34</v>
      </c>
      <c r="H193" s="4">
        <v>4.5339999999999998</v>
      </c>
      <c r="I193" s="4">
        <v>40.805999999999997</v>
      </c>
      <c r="J193" s="5">
        <f t="shared" si="4"/>
        <v>38.085599999999999</v>
      </c>
      <c r="K193" s="5">
        <f>Table1[[#This Row],[القيمة المطلوبة]]</f>
        <v>38.085599999999999</v>
      </c>
      <c r="L193" s="5">
        <f t="shared" si="5"/>
        <v>0</v>
      </c>
      <c r="M193" s="5"/>
      <c r="N193" s="5"/>
    </row>
    <row r="194" spans="1:14" ht="14.4" customHeight="1" x14ac:dyDescent="0.3">
      <c r="A194" s="2">
        <v>195</v>
      </c>
      <c r="B194" s="2">
        <v>1988664</v>
      </c>
      <c r="C194" s="2" t="s">
        <v>56</v>
      </c>
      <c r="D194" s="2">
        <v>86810969</v>
      </c>
      <c r="E194" s="2" t="s">
        <v>19</v>
      </c>
      <c r="F194" s="3">
        <v>45897</v>
      </c>
      <c r="G194" s="4">
        <v>7.65</v>
      </c>
      <c r="H194" s="4">
        <v>1.147</v>
      </c>
      <c r="I194" s="4">
        <v>6.5030000000000001</v>
      </c>
      <c r="J194" s="5">
        <f t="shared" ref="J194:J257" si="6">G194*0.94-H194</f>
        <v>6.0439999999999996</v>
      </c>
      <c r="K194" s="5">
        <f>Table1[[#This Row],[القيمة المطلوبة]]</f>
        <v>6.0439999999999996</v>
      </c>
      <c r="L194" s="5">
        <f t="shared" ref="L194:L257" si="7">J194-K194</f>
        <v>0</v>
      </c>
      <c r="M194" s="5"/>
      <c r="N194" s="5"/>
    </row>
    <row r="195" spans="1:14" ht="14.4" customHeight="1" x14ac:dyDescent="0.3">
      <c r="A195" s="2">
        <v>196</v>
      </c>
      <c r="B195" s="2">
        <v>2011601</v>
      </c>
      <c r="C195" s="2" t="s">
        <v>180</v>
      </c>
      <c r="D195" s="2">
        <v>88320784</v>
      </c>
      <c r="E195" s="2" t="s">
        <v>15</v>
      </c>
      <c r="F195" s="3">
        <v>45897</v>
      </c>
      <c r="G195" s="4">
        <v>21.84</v>
      </c>
      <c r="H195" s="4">
        <v>4.3680000000000003</v>
      </c>
      <c r="I195" s="4">
        <v>17.472000000000001</v>
      </c>
      <c r="J195" s="5">
        <f t="shared" si="6"/>
        <v>16.1616</v>
      </c>
      <c r="K195" s="5">
        <f>Table1[[#This Row],[القيمة المطلوبة]]</f>
        <v>16.1616</v>
      </c>
      <c r="L195" s="5">
        <f t="shared" si="7"/>
        <v>0</v>
      </c>
      <c r="M195" s="5"/>
      <c r="N195" s="5"/>
    </row>
    <row r="196" spans="1:14" ht="14.4" customHeight="1" x14ac:dyDescent="0.3">
      <c r="A196" s="2">
        <v>194</v>
      </c>
      <c r="B196" s="2">
        <v>2011599</v>
      </c>
      <c r="C196" s="2" t="s">
        <v>179</v>
      </c>
      <c r="D196" s="2">
        <v>88320780</v>
      </c>
      <c r="E196" s="2" t="s">
        <v>19</v>
      </c>
      <c r="F196" s="3">
        <v>45897</v>
      </c>
      <c r="G196" s="4">
        <v>30.28</v>
      </c>
      <c r="H196" s="4">
        <v>6.056</v>
      </c>
      <c r="I196" s="4">
        <v>24.224</v>
      </c>
      <c r="J196" s="5">
        <f t="shared" si="6"/>
        <v>22.4072</v>
      </c>
      <c r="K196" s="5">
        <f>Table1[[#This Row],[القيمة المطلوبة]]</f>
        <v>22.4072</v>
      </c>
      <c r="L196" s="5">
        <f t="shared" si="7"/>
        <v>0</v>
      </c>
      <c r="M196" s="5"/>
      <c r="N196" s="5"/>
    </row>
    <row r="197" spans="1:14" ht="14.4" customHeight="1" x14ac:dyDescent="0.3">
      <c r="A197" s="2">
        <v>197</v>
      </c>
      <c r="B197" s="2">
        <v>2011600</v>
      </c>
      <c r="C197" s="2" t="s">
        <v>178</v>
      </c>
      <c r="D197" s="2">
        <v>88320783</v>
      </c>
      <c r="E197" s="2" t="s">
        <v>19</v>
      </c>
      <c r="F197" s="3">
        <v>45897</v>
      </c>
      <c r="G197" s="4">
        <v>98.89</v>
      </c>
      <c r="H197" s="4">
        <v>19.777999999999999</v>
      </c>
      <c r="I197" s="4">
        <v>79.111999999999995</v>
      </c>
      <c r="J197" s="5">
        <f t="shared" si="6"/>
        <v>73.178599999999989</v>
      </c>
      <c r="K197" s="5">
        <f>Table1[[#This Row],[القيمة المطلوبة]]</f>
        <v>73.178599999999989</v>
      </c>
      <c r="L197" s="5">
        <f t="shared" si="7"/>
        <v>0</v>
      </c>
      <c r="M197" s="5"/>
      <c r="N197" s="5"/>
    </row>
    <row r="198" spans="1:14" ht="14.4" customHeight="1" x14ac:dyDescent="0.3">
      <c r="A198" s="2">
        <v>199</v>
      </c>
      <c r="B198" s="2">
        <v>1862235</v>
      </c>
      <c r="C198" s="2" t="s">
        <v>181</v>
      </c>
      <c r="D198" s="2">
        <v>87312741</v>
      </c>
      <c r="E198" s="2" t="s">
        <v>15</v>
      </c>
      <c r="F198" s="3">
        <v>45898</v>
      </c>
      <c r="G198" s="4">
        <v>5.52</v>
      </c>
      <c r="H198" s="4">
        <v>0</v>
      </c>
      <c r="I198" s="4">
        <v>5.52</v>
      </c>
      <c r="J198" s="5">
        <f t="shared" si="6"/>
        <v>5.1887999999999996</v>
      </c>
      <c r="K198" s="5">
        <f>Table1[[#This Row],[القيمة المطلوبة]]</f>
        <v>5.1887999999999996</v>
      </c>
      <c r="L198" s="5">
        <f t="shared" si="7"/>
        <v>0</v>
      </c>
      <c r="M198" s="5"/>
      <c r="N198" s="5"/>
    </row>
    <row r="199" spans="1:14" ht="14.4" customHeight="1" x14ac:dyDescent="0.3">
      <c r="A199" s="2">
        <v>198</v>
      </c>
      <c r="B199" s="2">
        <v>1862234</v>
      </c>
      <c r="C199" s="2" t="s">
        <v>155</v>
      </c>
      <c r="D199" s="2">
        <v>87312734</v>
      </c>
      <c r="E199" s="2" t="s">
        <v>19</v>
      </c>
      <c r="F199" s="3">
        <v>45898</v>
      </c>
      <c r="G199" s="4">
        <v>7.7</v>
      </c>
      <c r="H199" s="4">
        <v>0</v>
      </c>
      <c r="I199" s="4">
        <v>7.7</v>
      </c>
      <c r="J199" s="5">
        <f t="shared" si="6"/>
        <v>7.2379999999999995</v>
      </c>
      <c r="K199" s="5">
        <f>Table1[[#This Row],[القيمة المطلوبة]]</f>
        <v>7.2379999999999995</v>
      </c>
      <c r="L199" s="5">
        <f t="shared" si="7"/>
        <v>0</v>
      </c>
      <c r="M199" s="5"/>
      <c r="N199" s="5"/>
    </row>
    <row r="200" spans="1:14" ht="14.4" customHeight="1" x14ac:dyDescent="0.3">
      <c r="A200" s="2">
        <v>200</v>
      </c>
      <c r="B200" s="2">
        <v>1988702</v>
      </c>
      <c r="C200" s="2" t="s">
        <v>183</v>
      </c>
      <c r="D200" s="2">
        <v>86811108</v>
      </c>
      <c r="E200" s="2" t="s">
        <v>19</v>
      </c>
      <c r="F200" s="3">
        <v>45899</v>
      </c>
      <c r="G200" s="4">
        <v>42.29</v>
      </c>
      <c r="H200" s="4">
        <v>6.343</v>
      </c>
      <c r="I200" s="4">
        <v>35.947000000000003</v>
      </c>
      <c r="J200" s="5">
        <f t="shared" si="6"/>
        <v>33.409599999999998</v>
      </c>
      <c r="K200" s="5">
        <f>Table1[[#This Row],[القيمة المطلوبة]]</f>
        <v>33.409599999999998</v>
      </c>
      <c r="L200" s="5">
        <f t="shared" si="7"/>
        <v>0</v>
      </c>
      <c r="M200" s="5"/>
      <c r="N200" s="5"/>
    </row>
    <row r="201" spans="1:14" ht="14.4" customHeight="1" x14ac:dyDescent="0.3">
      <c r="A201" s="2">
        <v>201</v>
      </c>
      <c r="B201" s="2">
        <v>1988745</v>
      </c>
      <c r="C201" s="2" t="s">
        <v>182</v>
      </c>
      <c r="D201" s="2">
        <v>86815061</v>
      </c>
      <c r="E201" s="2" t="s">
        <v>19</v>
      </c>
      <c r="F201" s="3">
        <v>45899</v>
      </c>
      <c r="G201" s="4">
        <v>48.26</v>
      </c>
      <c r="H201" s="4">
        <v>7.2389999999999999</v>
      </c>
      <c r="I201" s="4">
        <v>41.021000000000001</v>
      </c>
      <c r="J201" s="5">
        <f t="shared" si="6"/>
        <v>38.125399999999999</v>
      </c>
      <c r="K201" s="5">
        <f>Table1[[#This Row],[القيمة المطلوبة]]</f>
        <v>38.125399999999999</v>
      </c>
      <c r="L201" s="5">
        <f t="shared" si="7"/>
        <v>0</v>
      </c>
      <c r="M201" s="5"/>
      <c r="N201" s="5"/>
    </row>
    <row r="202" spans="1:14" ht="14.4" customHeight="1" x14ac:dyDescent="0.3">
      <c r="A202" s="2">
        <v>203</v>
      </c>
      <c r="B202" s="2">
        <v>1988688</v>
      </c>
      <c r="C202" s="2" t="s">
        <v>186</v>
      </c>
      <c r="D202" s="2">
        <v>86812226</v>
      </c>
      <c r="E202" s="2" t="s">
        <v>15</v>
      </c>
      <c r="F202" s="3">
        <v>45900</v>
      </c>
      <c r="G202" s="4">
        <v>8</v>
      </c>
      <c r="H202" s="4">
        <v>1.2</v>
      </c>
      <c r="I202" s="4">
        <v>6.8</v>
      </c>
      <c r="J202" s="5">
        <f t="shared" si="6"/>
        <v>6.3199999999999994</v>
      </c>
      <c r="K202" s="5">
        <f>Table1[[#This Row],[القيمة المطلوبة]]</f>
        <v>6.3199999999999994</v>
      </c>
      <c r="L202" s="5">
        <f t="shared" si="7"/>
        <v>0</v>
      </c>
      <c r="M202" s="5"/>
      <c r="N202" s="5"/>
    </row>
    <row r="203" spans="1:14" ht="14.4" customHeight="1" x14ac:dyDescent="0.3">
      <c r="A203" s="2">
        <v>205</v>
      </c>
      <c r="B203" s="2">
        <v>2011609</v>
      </c>
      <c r="C203" s="2" t="s">
        <v>185</v>
      </c>
      <c r="D203" s="2">
        <v>88320800</v>
      </c>
      <c r="E203" s="2" t="s">
        <v>15</v>
      </c>
      <c r="F203" s="3">
        <v>45900</v>
      </c>
      <c r="G203" s="4">
        <v>27.99</v>
      </c>
      <c r="H203" s="4">
        <v>4.1980000000000004</v>
      </c>
      <c r="I203" s="4">
        <v>23.792000000000002</v>
      </c>
      <c r="J203" s="5">
        <f t="shared" si="6"/>
        <v>22.112599999999997</v>
      </c>
      <c r="K203" s="5">
        <f>Table1[[#This Row],[القيمة المطلوبة]]</f>
        <v>22.112599999999997</v>
      </c>
      <c r="L203" s="5">
        <f t="shared" si="7"/>
        <v>0</v>
      </c>
      <c r="M203" s="5"/>
      <c r="N203" s="5"/>
    </row>
    <row r="204" spans="1:14" ht="14.4" customHeight="1" x14ac:dyDescent="0.3">
      <c r="A204" s="2">
        <v>202</v>
      </c>
      <c r="B204" s="2">
        <v>1988686</v>
      </c>
      <c r="C204" s="2" t="s">
        <v>184</v>
      </c>
      <c r="D204" s="2">
        <v>86811006</v>
      </c>
      <c r="E204" s="2" t="s">
        <v>19</v>
      </c>
      <c r="F204" s="3">
        <v>45900</v>
      </c>
      <c r="G204" s="4">
        <v>42.29</v>
      </c>
      <c r="H204" s="4">
        <v>6.343</v>
      </c>
      <c r="I204" s="4">
        <v>35.947000000000003</v>
      </c>
      <c r="J204" s="5">
        <f t="shared" si="6"/>
        <v>33.409599999999998</v>
      </c>
      <c r="K204" s="5">
        <f>Table1[[#This Row],[القيمة المطلوبة]]</f>
        <v>33.409599999999998</v>
      </c>
      <c r="L204" s="5">
        <f t="shared" si="7"/>
        <v>0</v>
      </c>
      <c r="M204" s="5"/>
      <c r="N204" s="5"/>
    </row>
    <row r="205" spans="1:14" ht="14.4" customHeight="1" x14ac:dyDescent="0.3">
      <c r="A205" s="2">
        <v>204</v>
      </c>
      <c r="B205" s="2">
        <v>1969111</v>
      </c>
      <c r="C205" s="2" t="s">
        <v>136</v>
      </c>
      <c r="D205" s="2">
        <v>85869693</v>
      </c>
      <c r="E205" s="2" t="s">
        <v>19</v>
      </c>
      <c r="F205" s="3">
        <v>45900</v>
      </c>
      <c r="G205" s="4">
        <v>43.17</v>
      </c>
      <c r="H205" s="4">
        <v>4.3170000000000002</v>
      </c>
      <c r="I205" s="4">
        <v>38.853000000000002</v>
      </c>
      <c r="J205" s="5">
        <f t="shared" si="6"/>
        <v>36.262799999999999</v>
      </c>
      <c r="K205" s="5">
        <f>Table1[[#This Row],[القيمة المطلوبة]]</f>
        <v>36.262799999999999</v>
      </c>
      <c r="L205" s="5">
        <f t="shared" si="7"/>
        <v>0</v>
      </c>
      <c r="M205" s="5"/>
      <c r="N205" s="5"/>
    </row>
    <row r="206" spans="1:14" ht="14.4" customHeight="1" x14ac:dyDescent="0.3">
      <c r="A206" s="2">
        <v>211</v>
      </c>
      <c r="B206" s="2">
        <v>2011610</v>
      </c>
      <c r="C206" s="2" t="s">
        <v>153</v>
      </c>
      <c r="D206" s="2">
        <v>88320803</v>
      </c>
      <c r="E206" s="2" t="s">
        <v>19</v>
      </c>
      <c r="F206" s="3">
        <v>45901</v>
      </c>
      <c r="G206" s="4">
        <v>11.58</v>
      </c>
      <c r="H206" s="4">
        <v>2.3159999999999998</v>
      </c>
      <c r="I206" s="4">
        <v>9.2639999999999993</v>
      </c>
      <c r="J206" s="5">
        <f t="shared" si="6"/>
        <v>8.5691999999999986</v>
      </c>
      <c r="K206" s="5">
        <f>Table1[[#This Row],[القيمة المطلوبة]]</f>
        <v>8.5691999999999986</v>
      </c>
      <c r="L206" s="5">
        <f t="shared" si="7"/>
        <v>0</v>
      </c>
      <c r="M206" s="5"/>
      <c r="N206" s="5"/>
    </row>
    <row r="207" spans="1:14" ht="14.4" customHeight="1" x14ac:dyDescent="0.3">
      <c r="A207" s="2">
        <v>213</v>
      </c>
      <c r="B207" s="2">
        <v>2011661</v>
      </c>
      <c r="C207" s="2" t="s">
        <v>189</v>
      </c>
      <c r="D207" s="2">
        <v>88320876</v>
      </c>
      <c r="E207" s="2" t="s">
        <v>19</v>
      </c>
      <c r="F207" s="3">
        <v>45901</v>
      </c>
      <c r="G207" s="4">
        <v>34.31</v>
      </c>
      <c r="H207" s="4">
        <v>6.8620000000000001</v>
      </c>
      <c r="I207" s="4">
        <v>27.448</v>
      </c>
      <c r="J207" s="5">
        <f t="shared" si="6"/>
        <v>25.389400000000002</v>
      </c>
      <c r="K207" s="5">
        <f>Table1[[#This Row],[القيمة المطلوبة]]</f>
        <v>25.389400000000002</v>
      </c>
      <c r="L207" s="5">
        <f t="shared" si="7"/>
        <v>0</v>
      </c>
      <c r="M207" s="5"/>
      <c r="N207" s="5"/>
    </row>
    <row r="208" spans="1:14" ht="14.4" customHeight="1" x14ac:dyDescent="0.3">
      <c r="A208" s="2">
        <v>209</v>
      </c>
      <c r="B208" s="2">
        <v>2011695</v>
      </c>
      <c r="C208" s="2" t="s">
        <v>188</v>
      </c>
      <c r="D208" s="2">
        <v>88320940</v>
      </c>
      <c r="E208" s="2" t="s">
        <v>19</v>
      </c>
      <c r="F208" s="3">
        <v>45901</v>
      </c>
      <c r="G208" s="4">
        <v>36.33</v>
      </c>
      <c r="H208" s="4">
        <v>7.266</v>
      </c>
      <c r="I208" s="4">
        <v>29.064</v>
      </c>
      <c r="J208" s="5">
        <f t="shared" si="6"/>
        <v>26.8842</v>
      </c>
      <c r="K208" s="5">
        <f>Table1[[#This Row],[القيمة المطلوبة]]</f>
        <v>26.8842</v>
      </c>
      <c r="L208" s="5">
        <f t="shared" si="7"/>
        <v>0</v>
      </c>
      <c r="M208" s="5"/>
      <c r="N208" s="5"/>
    </row>
    <row r="209" spans="1:14" ht="14.4" customHeight="1" x14ac:dyDescent="0.3">
      <c r="A209" s="2">
        <v>212</v>
      </c>
      <c r="B209" s="2">
        <v>1988567</v>
      </c>
      <c r="C209" s="2" t="s">
        <v>40</v>
      </c>
      <c r="D209" s="2">
        <v>86813912</v>
      </c>
      <c r="E209" s="2" t="s">
        <v>15</v>
      </c>
      <c r="F209" s="3">
        <v>45901</v>
      </c>
      <c r="G209" s="4">
        <v>39.24</v>
      </c>
      <c r="H209" s="4">
        <v>5.8860000000000001</v>
      </c>
      <c r="I209" s="4">
        <v>33.353999999999999</v>
      </c>
      <c r="J209" s="5">
        <f t="shared" si="6"/>
        <v>30.999599999999997</v>
      </c>
      <c r="K209" s="5">
        <f>Table1[[#This Row],[القيمة المطلوبة]]</f>
        <v>30.999599999999997</v>
      </c>
      <c r="L209" s="5">
        <f t="shared" si="7"/>
        <v>0</v>
      </c>
      <c r="M209" s="5"/>
      <c r="N209" s="5"/>
    </row>
    <row r="210" spans="1:14" ht="14.4" customHeight="1" x14ac:dyDescent="0.3">
      <c r="A210" s="2">
        <v>206</v>
      </c>
      <c r="B210" s="2">
        <v>1747078</v>
      </c>
      <c r="C210" s="2" t="s">
        <v>58</v>
      </c>
      <c r="D210" s="2">
        <v>87478924</v>
      </c>
      <c r="E210" s="2" t="s">
        <v>15</v>
      </c>
      <c r="F210" s="3">
        <v>45901</v>
      </c>
      <c r="G210" s="4">
        <v>48.716999999999999</v>
      </c>
      <c r="H210" s="4">
        <v>7.3079999999999998</v>
      </c>
      <c r="I210" s="4">
        <v>41.408999999999999</v>
      </c>
      <c r="J210" s="5">
        <f t="shared" si="6"/>
        <v>38.485979999999998</v>
      </c>
      <c r="K210" s="5">
        <f>Table1[[#This Row],[القيمة المطلوبة]]</f>
        <v>38.485979999999998</v>
      </c>
      <c r="L210" s="5">
        <f t="shared" si="7"/>
        <v>0</v>
      </c>
      <c r="M210" s="5"/>
      <c r="N210" s="5"/>
    </row>
    <row r="211" spans="1:14" ht="14.4" customHeight="1" x14ac:dyDescent="0.3">
      <c r="A211" s="2">
        <v>207</v>
      </c>
      <c r="B211" s="2">
        <v>1966818</v>
      </c>
      <c r="C211" s="2" t="s">
        <v>187</v>
      </c>
      <c r="D211" s="2">
        <v>85430767</v>
      </c>
      <c r="E211" s="2" t="s">
        <v>19</v>
      </c>
      <c r="F211" s="3">
        <v>45901</v>
      </c>
      <c r="G211" s="4">
        <v>54.48</v>
      </c>
      <c r="H211" s="4">
        <v>10.896000000000001</v>
      </c>
      <c r="I211" s="4">
        <v>43.584000000000003</v>
      </c>
      <c r="J211" s="5">
        <f t="shared" si="6"/>
        <v>40.31519999999999</v>
      </c>
      <c r="K211" s="5">
        <f>Table1[[#This Row],[القيمة المطلوبة]]</f>
        <v>40.31519999999999</v>
      </c>
      <c r="L211" s="5">
        <f t="shared" si="7"/>
        <v>0</v>
      </c>
      <c r="M211" s="5"/>
      <c r="N211" s="5"/>
    </row>
    <row r="212" spans="1:14" ht="14.4" customHeight="1" x14ac:dyDescent="0.3">
      <c r="A212" s="2">
        <v>210</v>
      </c>
      <c r="B212" s="2">
        <v>2011703</v>
      </c>
      <c r="C212" s="2" t="s">
        <v>169</v>
      </c>
      <c r="D212" s="2">
        <v>88320953</v>
      </c>
      <c r="E212" s="2" t="s">
        <v>19</v>
      </c>
      <c r="F212" s="3">
        <v>45901</v>
      </c>
      <c r="G212" s="4">
        <v>60.33</v>
      </c>
      <c r="H212" s="4">
        <v>12.066000000000001</v>
      </c>
      <c r="I212" s="4">
        <v>48.264000000000003</v>
      </c>
      <c r="J212" s="5">
        <f t="shared" si="6"/>
        <v>44.644199999999991</v>
      </c>
      <c r="K212" s="5">
        <f>Table1[[#This Row],[القيمة المطلوبة]]</f>
        <v>44.644199999999991</v>
      </c>
      <c r="L212" s="5">
        <f t="shared" si="7"/>
        <v>0</v>
      </c>
      <c r="M212" s="5"/>
      <c r="N212" s="5"/>
    </row>
    <row r="213" spans="1:14" ht="14.4" customHeight="1" x14ac:dyDescent="0.3">
      <c r="A213" s="2">
        <v>208</v>
      </c>
      <c r="B213" s="2">
        <v>2011706</v>
      </c>
      <c r="C213" s="2" t="s">
        <v>174</v>
      </c>
      <c r="D213" s="2">
        <v>88320959</v>
      </c>
      <c r="E213" s="2" t="s">
        <v>15</v>
      </c>
      <c r="F213" s="3">
        <v>45901</v>
      </c>
      <c r="G213" s="4">
        <v>93.51</v>
      </c>
      <c r="H213" s="4">
        <v>18.702000000000002</v>
      </c>
      <c r="I213" s="4">
        <v>74.808000000000007</v>
      </c>
      <c r="J213" s="5">
        <f t="shared" si="6"/>
        <v>69.197400000000002</v>
      </c>
      <c r="K213" s="5">
        <f>Table1[[#This Row],[القيمة المطلوبة]]</f>
        <v>69.197400000000002</v>
      </c>
      <c r="L213" s="5">
        <f t="shared" si="7"/>
        <v>0</v>
      </c>
      <c r="M213" s="5"/>
      <c r="N213" s="5"/>
    </row>
    <row r="214" spans="1:14" ht="14.4" customHeight="1" x14ac:dyDescent="0.3">
      <c r="A214" s="2">
        <v>216</v>
      </c>
      <c r="B214" s="2">
        <v>2011684</v>
      </c>
      <c r="C214" s="2" t="s">
        <v>192</v>
      </c>
      <c r="D214" s="2">
        <v>88320922</v>
      </c>
      <c r="E214" s="2" t="s">
        <v>19</v>
      </c>
      <c r="F214" s="3">
        <v>45902</v>
      </c>
      <c r="G214" s="4">
        <v>15.89</v>
      </c>
      <c r="H214" s="4">
        <v>3.1779999999999999</v>
      </c>
      <c r="I214" s="4">
        <v>12.712</v>
      </c>
      <c r="J214" s="5">
        <f t="shared" si="6"/>
        <v>11.758600000000001</v>
      </c>
      <c r="K214" s="5">
        <f>Table1[[#This Row],[القيمة المطلوبة]]</f>
        <v>11.758600000000001</v>
      </c>
      <c r="L214" s="5">
        <f t="shared" si="7"/>
        <v>0</v>
      </c>
      <c r="M214" s="5"/>
      <c r="N214" s="5"/>
    </row>
    <row r="215" spans="1:14" ht="14.4" customHeight="1" x14ac:dyDescent="0.3">
      <c r="A215" s="2">
        <v>214</v>
      </c>
      <c r="B215" s="2">
        <v>1988564</v>
      </c>
      <c r="C215" s="2" t="s">
        <v>191</v>
      </c>
      <c r="D215" s="2">
        <v>86811947</v>
      </c>
      <c r="E215" s="2" t="s">
        <v>15</v>
      </c>
      <c r="F215" s="3">
        <v>45902</v>
      </c>
      <c r="G215" s="4">
        <v>30.67</v>
      </c>
      <c r="H215" s="4">
        <v>4.5999999999999996</v>
      </c>
      <c r="I215" s="4">
        <v>26.07</v>
      </c>
      <c r="J215" s="5">
        <f t="shared" si="6"/>
        <v>24.229799999999997</v>
      </c>
      <c r="K215" s="5">
        <f>Table1[[#This Row],[القيمة المطلوبة]]</f>
        <v>24.229799999999997</v>
      </c>
      <c r="L215" s="5">
        <f t="shared" si="7"/>
        <v>0</v>
      </c>
      <c r="M215" s="5"/>
      <c r="N215" s="5"/>
    </row>
    <row r="216" spans="1:14" ht="14.4" customHeight="1" x14ac:dyDescent="0.3">
      <c r="A216" s="2">
        <v>215</v>
      </c>
      <c r="B216" s="2">
        <v>2011712</v>
      </c>
      <c r="C216" s="2" t="s">
        <v>190</v>
      </c>
      <c r="D216" s="2">
        <v>88320960</v>
      </c>
      <c r="E216" s="2" t="s">
        <v>19</v>
      </c>
      <c r="F216" s="3">
        <v>45902</v>
      </c>
      <c r="G216" s="4">
        <v>39.049999999999997</v>
      </c>
      <c r="H216" s="4">
        <v>7.81</v>
      </c>
      <c r="I216" s="4">
        <v>31.24</v>
      </c>
      <c r="J216" s="5">
        <f t="shared" si="6"/>
        <v>28.896999999999995</v>
      </c>
      <c r="K216" s="5">
        <f>Table1[[#This Row],[القيمة المطلوبة]]</f>
        <v>28.896999999999995</v>
      </c>
      <c r="L216" s="5">
        <f t="shared" si="7"/>
        <v>0</v>
      </c>
      <c r="M216" s="5"/>
      <c r="N216" s="5"/>
    </row>
    <row r="217" spans="1:14" ht="14.4" customHeight="1" x14ac:dyDescent="0.3">
      <c r="A217" s="2">
        <v>220</v>
      </c>
      <c r="B217" s="2">
        <v>1988621</v>
      </c>
      <c r="C217" s="2" t="s">
        <v>69</v>
      </c>
      <c r="D217" s="2">
        <v>86811184</v>
      </c>
      <c r="E217" s="2" t="s">
        <v>19</v>
      </c>
      <c r="F217" s="3">
        <v>45903</v>
      </c>
      <c r="G217" s="4">
        <v>15.21</v>
      </c>
      <c r="H217" s="4">
        <v>2.2810000000000001</v>
      </c>
      <c r="I217" s="4">
        <v>12.929</v>
      </c>
      <c r="J217" s="5">
        <f t="shared" si="6"/>
        <v>12.016399999999999</v>
      </c>
      <c r="K217" s="5">
        <f>Table1[[#This Row],[القيمة المطلوبة]]</f>
        <v>12.016399999999999</v>
      </c>
      <c r="L217" s="5">
        <f t="shared" si="7"/>
        <v>0</v>
      </c>
      <c r="M217" s="5"/>
      <c r="N217" s="5"/>
    </row>
    <row r="218" spans="1:14" ht="14.4" customHeight="1" x14ac:dyDescent="0.3">
      <c r="A218" s="2">
        <v>219</v>
      </c>
      <c r="B218" s="2">
        <v>1988624</v>
      </c>
      <c r="C218" s="2" t="s">
        <v>195</v>
      </c>
      <c r="D218" s="2">
        <v>86812190</v>
      </c>
      <c r="E218" s="2" t="s">
        <v>15</v>
      </c>
      <c r="F218" s="3">
        <v>45903</v>
      </c>
      <c r="G218" s="4">
        <v>25.67</v>
      </c>
      <c r="H218" s="4">
        <v>3.85</v>
      </c>
      <c r="I218" s="4">
        <v>21.82</v>
      </c>
      <c r="J218" s="5">
        <f t="shared" si="6"/>
        <v>20.279799999999998</v>
      </c>
      <c r="K218" s="5">
        <f>Table1[[#This Row],[القيمة المطلوبة]]</f>
        <v>20.279799999999998</v>
      </c>
      <c r="L218" s="5">
        <f t="shared" si="7"/>
        <v>0</v>
      </c>
      <c r="M218" s="5"/>
      <c r="N218" s="5"/>
    </row>
    <row r="219" spans="1:14" ht="14.4" customHeight="1" x14ac:dyDescent="0.3">
      <c r="A219" s="2">
        <v>221</v>
      </c>
      <c r="B219" s="2">
        <v>1988700</v>
      </c>
      <c r="C219" s="2" t="s">
        <v>194</v>
      </c>
      <c r="D219" s="2">
        <v>86812243</v>
      </c>
      <c r="E219" s="2" t="s">
        <v>15</v>
      </c>
      <c r="F219" s="3">
        <v>45903</v>
      </c>
      <c r="G219" s="4">
        <v>37.909999999999997</v>
      </c>
      <c r="H219" s="4">
        <v>5.6859999999999999</v>
      </c>
      <c r="I219" s="4">
        <v>32.223999999999997</v>
      </c>
      <c r="J219" s="5">
        <f t="shared" si="6"/>
        <v>29.949399999999997</v>
      </c>
      <c r="K219" s="5">
        <f>Table1[[#This Row],[القيمة المطلوبة]]</f>
        <v>29.949399999999997</v>
      </c>
      <c r="L219" s="5">
        <f t="shared" si="7"/>
        <v>0</v>
      </c>
      <c r="M219" s="5"/>
      <c r="N219" s="5"/>
    </row>
    <row r="220" spans="1:14" ht="14.4" customHeight="1" x14ac:dyDescent="0.3">
      <c r="A220" s="2">
        <v>218</v>
      </c>
      <c r="B220" s="2">
        <v>1988622</v>
      </c>
      <c r="C220" s="2" t="s">
        <v>70</v>
      </c>
      <c r="D220" s="2">
        <v>86812495</v>
      </c>
      <c r="E220" s="2" t="s">
        <v>15</v>
      </c>
      <c r="F220" s="3">
        <v>45903</v>
      </c>
      <c r="G220" s="4">
        <v>40.44</v>
      </c>
      <c r="H220" s="4">
        <v>6.0659999999999998</v>
      </c>
      <c r="I220" s="4">
        <v>34.374000000000002</v>
      </c>
      <c r="J220" s="5">
        <f t="shared" si="6"/>
        <v>31.947599999999998</v>
      </c>
      <c r="K220" s="5">
        <f>Table1[[#This Row],[القيمة المطلوبة]]</f>
        <v>31.947599999999998</v>
      </c>
      <c r="L220" s="5">
        <f t="shared" si="7"/>
        <v>0</v>
      </c>
      <c r="M220" s="5"/>
      <c r="N220" s="5"/>
    </row>
    <row r="221" spans="1:14" ht="14.4" customHeight="1" x14ac:dyDescent="0.3">
      <c r="A221" s="2">
        <v>217</v>
      </c>
      <c r="B221" s="2">
        <v>1988690</v>
      </c>
      <c r="C221" s="2" t="s">
        <v>193</v>
      </c>
      <c r="D221" s="2">
        <v>86812106</v>
      </c>
      <c r="E221" s="2" t="s">
        <v>15</v>
      </c>
      <c r="F221" s="3">
        <v>45903</v>
      </c>
      <c r="G221" s="4">
        <v>42.19</v>
      </c>
      <c r="H221" s="4">
        <v>6.3280000000000003</v>
      </c>
      <c r="I221" s="4">
        <v>35.862000000000002</v>
      </c>
      <c r="J221" s="5">
        <f t="shared" si="6"/>
        <v>33.33059999999999</v>
      </c>
      <c r="K221" s="5">
        <f>Table1[[#This Row],[القيمة المطلوبة]]</f>
        <v>33.33059999999999</v>
      </c>
      <c r="L221" s="5">
        <f t="shared" si="7"/>
        <v>0</v>
      </c>
      <c r="M221" s="5"/>
      <c r="N221" s="5"/>
    </row>
    <row r="222" spans="1:14" ht="14.4" customHeight="1" x14ac:dyDescent="0.3">
      <c r="A222" s="2">
        <v>228</v>
      </c>
      <c r="B222" s="2">
        <v>1988634</v>
      </c>
      <c r="C222" s="2" t="s">
        <v>199</v>
      </c>
      <c r="D222" s="2">
        <v>86812361</v>
      </c>
      <c r="E222" s="2" t="s">
        <v>15</v>
      </c>
      <c r="F222" s="3">
        <v>45904</v>
      </c>
      <c r="G222" s="4">
        <v>16.440000000000001</v>
      </c>
      <c r="H222" s="4">
        <v>2.4660000000000002</v>
      </c>
      <c r="I222" s="4">
        <v>13.974</v>
      </c>
      <c r="J222" s="5">
        <f t="shared" si="6"/>
        <v>12.9876</v>
      </c>
      <c r="K222" s="5">
        <f>Table1[[#This Row],[القيمة المطلوبة]]</f>
        <v>12.9876</v>
      </c>
      <c r="L222" s="5">
        <f t="shared" si="7"/>
        <v>0</v>
      </c>
      <c r="M222" s="5"/>
      <c r="N222" s="5"/>
    </row>
    <row r="223" spans="1:14" ht="14.4" customHeight="1" x14ac:dyDescent="0.3">
      <c r="A223" s="2">
        <v>226</v>
      </c>
      <c r="B223" s="2">
        <v>1988823</v>
      </c>
      <c r="C223" s="2" t="s">
        <v>198</v>
      </c>
      <c r="D223" s="2">
        <v>86812255</v>
      </c>
      <c r="E223" s="2" t="s">
        <v>15</v>
      </c>
      <c r="F223" s="3">
        <v>45904</v>
      </c>
      <c r="G223" s="4">
        <v>18.57</v>
      </c>
      <c r="H223" s="4">
        <v>2.7850000000000001</v>
      </c>
      <c r="I223" s="4">
        <v>15.785</v>
      </c>
      <c r="J223" s="5">
        <f t="shared" si="6"/>
        <v>14.6708</v>
      </c>
      <c r="K223" s="5">
        <f>Table1[[#This Row],[القيمة المطلوبة]]</f>
        <v>14.6708</v>
      </c>
      <c r="L223" s="5">
        <f t="shared" si="7"/>
        <v>0</v>
      </c>
      <c r="M223" s="5"/>
      <c r="N223" s="5"/>
    </row>
    <row r="224" spans="1:14" ht="14.4" customHeight="1" x14ac:dyDescent="0.3">
      <c r="A224" s="2">
        <v>224</v>
      </c>
      <c r="B224" s="2">
        <v>1833948</v>
      </c>
      <c r="C224" s="2" t="s">
        <v>197</v>
      </c>
      <c r="D224" s="2">
        <v>85423178</v>
      </c>
      <c r="E224" s="2" t="s">
        <v>15</v>
      </c>
      <c r="F224" s="3">
        <v>45904</v>
      </c>
      <c r="G224" s="4">
        <v>40.44</v>
      </c>
      <c r="H224" s="4">
        <v>8.0879999999999992</v>
      </c>
      <c r="I224" s="4">
        <v>32.351999999999997</v>
      </c>
      <c r="J224" s="5">
        <f t="shared" si="6"/>
        <v>29.925599999999996</v>
      </c>
      <c r="K224" s="5">
        <f>Table1[[#This Row],[القيمة المطلوبة]]</f>
        <v>29.925599999999996</v>
      </c>
      <c r="L224" s="5">
        <f t="shared" si="7"/>
        <v>0</v>
      </c>
      <c r="M224" s="5"/>
      <c r="N224" s="5"/>
    </row>
    <row r="225" spans="1:14" ht="14.4" customHeight="1" x14ac:dyDescent="0.3">
      <c r="A225" s="2">
        <v>223</v>
      </c>
      <c r="B225" s="2">
        <v>1833947</v>
      </c>
      <c r="C225" s="2" t="s">
        <v>196</v>
      </c>
      <c r="D225" s="2">
        <v>85423174</v>
      </c>
      <c r="E225" s="2" t="s">
        <v>19</v>
      </c>
      <c r="F225" s="3">
        <v>45904</v>
      </c>
      <c r="G225" s="4">
        <v>40.729999999999997</v>
      </c>
      <c r="H225" s="4">
        <v>8.1460000000000008</v>
      </c>
      <c r="I225" s="4">
        <v>32.584000000000003</v>
      </c>
      <c r="J225" s="5">
        <f t="shared" si="6"/>
        <v>30.140199999999993</v>
      </c>
      <c r="K225" s="5">
        <f>Table1[[#This Row],[القيمة المطلوبة]]</f>
        <v>30.140199999999993</v>
      </c>
      <c r="L225" s="5">
        <f t="shared" si="7"/>
        <v>0</v>
      </c>
      <c r="M225" s="5"/>
      <c r="N225" s="5"/>
    </row>
    <row r="226" spans="1:14" ht="14.4" customHeight="1" x14ac:dyDescent="0.3">
      <c r="A226" s="2">
        <v>225</v>
      </c>
      <c r="B226" s="2">
        <v>1988751</v>
      </c>
      <c r="C226" s="2" t="s">
        <v>30</v>
      </c>
      <c r="D226" s="2">
        <v>86811124</v>
      </c>
      <c r="E226" s="2" t="s">
        <v>15</v>
      </c>
      <c r="F226" s="3">
        <v>45904</v>
      </c>
      <c r="G226" s="4">
        <v>39.68</v>
      </c>
      <c r="H226" s="4">
        <v>5.952</v>
      </c>
      <c r="I226" s="4">
        <v>33.728000000000002</v>
      </c>
      <c r="J226" s="5">
        <f t="shared" si="6"/>
        <v>31.347200000000001</v>
      </c>
      <c r="K226" s="5">
        <f>Table1[[#This Row],[القيمة المطلوبة]]</f>
        <v>31.347200000000001</v>
      </c>
      <c r="L226" s="5">
        <f t="shared" si="7"/>
        <v>0</v>
      </c>
      <c r="M226" s="5"/>
      <c r="N226" s="5"/>
    </row>
    <row r="227" spans="1:14" ht="14.4" customHeight="1" x14ac:dyDescent="0.3">
      <c r="A227" s="2">
        <v>222</v>
      </c>
      <c r="B227" s="2">
        <v>1902626</v>
      </c>
      <c r="C227" s="2" t="s">
        <v>109</v>
      </c>
      <c r="D227" s="2">
        <v>86116904</v>
      </c>
      <c r="E227" s="2" t="s">
        <v>15</v>
      </c>
      <c r="F227" s="3">
        <v>45904</v>
      </c>
      <c r="G227" s="4">
        <v>55.89</v>
      </c>
      <c r="H227" s="4">
        <v>11.178000000000001</v>
      </c>
      <c r="I227" s="4">
        <v>44.712000000000003</v>
      </c>
      <c r="J227" s="5">
        <f t="shared" si="6"/>
        <v>41.358599999999996</v>
      </c>
      <c r="K227" s="5">
        <f>Table1[[#This Row],[القيمة المطلوبة]]</f>
        <v>41.358599999999996</v>
      </c>
      <c r="L227" s="5">
        <f t="shared" si="7"/>
        <v>0</v>
      </c>
      <c r="M227" s="5"/>
      <c r="N227" s="5"/>
    </row>
    <row r="228" spans="1:14" ht="14.4" customHeight="1" x14ac:dyDescent="0.3">
      <c r="A228" s="2">
        <v>227</v>
      </c>
      <c r="B228" s="2">
        <v>1988796</v>
      </c>
      <c r="C228" s="2" t="s">
        <v>43</v>
      </c>
      <c r="D228" s="2">
        <v>86815203</v>
      </c>
      <c r="E228" s="2" t="s">
        <v>19</v>
      </c>
      <c r="F228" s="3">
        <v>45904</v>
      </c>
      <c r="G228" s="4">
        <v>54.2</v>
      </c>
      <c r="H228" s="4">
        <v>8.1300000000000008</v>
      </c>
      <c r="I228" s="4">
        <v>46.07</v>
      </c>
      <c r="J228" s="5">
        <f t="shared" si="6"/>
        <v>42.817999999999998</v>
      </c>
      <c r="K228" s="5">
        <f>Table1[[#This Row],[القيمة المطلوبة]]</f>
        <v>42.817999999999998</v>
      </c>
      <c r="L228" s="5">
        <f t="shared" si="7"/>
        <v>0</v>
      </c>
      <c r="M228" s="5"/>
      <c r="N228" s="5"/>
    </row>
    <row r="229" spans="1:14" ht="14.4" customHeight="1" x14ac:dyDescent="0.3">
      <c r="A229" s="2">
        <v>229</v>
      </c>
      <c r="B229" s="2">
        <v>19888586</v>
      </c>
      <c r="C229" s="2" t="s">
        <v>74</v>
      </c>
      <c r="D229" s="2">
        <v>86812176</v>
      </c>
      <c r="E229" s="2" t="s">
        <v>15</v>
      </c>
      <c r="F229" s="3">
        <v>45906</v>
      </c>
      <c r="G229" s="4">
        <v>32.18</v>
      </c>
      <c r="H229" s="4">
        <v>4.827</v>
      </c>
      <c r="I229" s="4">
        <v>27.353000000000002</v>
      </c>
      <c r="J229" s="5">
        <f t="shared" si="6"/>
        <v>25.422199999999997</v>
      </c>
      <c r="K229" s="5">
        <f>Table1[[#This Row],[القيمة المطلوبة]]</f>
        <v>25.422199999999997</v>
      </c>
      <c r="L229" s="5">
        <f t="shared" si="7"/>
        <v>0</v>
      </c>
      <c r="M229" s="5"/>
      <c r="N229" s="5"/>
    </row>
    <row r="230" spans="1:14" ht="14.4" customHeight="1" x14ac:dyDescent="0.3">
      <c r="A230" s="2">
        <v>231</v>
      </c>
      <c r="B230" s="2">
        <v>1988568</v>
      </c>
      <c r="C230" s="2" t="s">
        <v>104</v>
      </c>
      <c r="D230" s="2">
        <v>86812416</v>
      </c>
      <c r="E230" s="2" t="s">
        <v>15</v>
      </c>
      <c r="F230" s="3">
        <v>45907</v>
      </c>
      <c r="G230" s="4">
        <v>21.95</v>
      </c>
      <c r="H230" s="4">
        <v>3.2919999999999998</v>
      </c>
      <c r="I230" s="4">
        <v>18.658000000000001</v>
      </c>
      <c r="J230" s="5">
        <f t="shared" si="6"/>
        <v>17.341000000000001</v>
      </c>
      <c r="K230" s="5">
        <f>Table1[[#This Row],[القيمة المطلوبة]]</f>
        <v>17.341000000000001</v>
      </c>
      <c r="L230" s="5">
        <f t="shared" si="7"/>
        <v>0</v>
      </c>
      <c r="M230" s="5"/>
      <c r="N230" s="5"/>
    </row>
    <row r="231" spans="1:14" ht="14.4" customHeight="1" x14ac:dyDescent="0.3">
      <c r="A231" s="2">
        <v>230</v>
      </c>
      <c r="B231" s="2">
        <v>1949687</v>
      </c>
      <c r="C231" s="2" t="s">
        <v>201</v>
      </c>
      <c r="D231" s="2">
        <v>55766772</v>
      </c>
      <c r="E231" s="2" t="s">
        <v>19</v>
      </c>
      <c r="F231" s="3">
        <v>45907</v>
      </c>
      <c r="G231" s="4">
        <v>24.26</v>
      </c>
      <c r="H231" s="4">
        <v>3.6389999999999998</v>
      </c>
      <c r="I231" s="4">
        <v>20.620999999999999</v>
      </c>
      <c r="J231" s="5">
        <f t="shared" si="6"/>
        <v>19.165400000000002</v>
      </c>
      <c r="K231" s="5">
        <f>Table1[[#This Row],[القيمة المطلوبة]]</f>
        <v>19.165400000000002</v>
      </c>
      <c r="L231" s="5">
        <f t="shared" si="7"/>
        <v>0</v>
      </c>
      <c r="M231" s="5"/>
      <c r="N231" s="5"/>
    </row>
    <row r="232" spans="1:14" ht="14.4" customHeight="1" x14ac:dyDescent="0.3">
      <c r="A232" s="2">
        <v>233</v>
      </c>
      <c r="B232" s="2">
        <v>1988566</v>
      </c>
      <c r="C232" s="2" t="s">
        <v>99</v>
      </c>
      <c r="D232" s="2">
        <v>86811164</v>
      </c>
      <c r="E232" s="2" t="s">
        <v>19</v>
      </c>
      <c r="F232" s="3">
        <v>45907</v>
      </c>
      <c r="G232" s="4">
        <v>36.549999999999997</v>
      </c>
      <c r="H232" s="4">
        <v>5.4820000000000002</v>
      </c>
      <c r="I232" s="4">
        <v>31.068000000000001</v>
      </c>
      <c r="J232" s="5">
        <f t="shared" si="6"/>
        <v>28.874999999999993</v>
      </c>
      <c r="K232" s="5">
        <f>Table1[[#This Row],[القيمة المطلوبة]]</f>
        <v>28.874999999999993</v>
      </c>
      <c r="L232" s="5">
        <f t="shared" si="7"/>
        <v>0</v>
      </c>
      <c r="M232" s="5"/>
      <c r="N232" s="5"/>
    </row>
    <row r="233" spans="1:14" ht="14.4" customHeight="1" x14ac:dyDescent="0.3">
      <c r="A233" s="2">
        <v>234</v>
      </c>
      <c r="B233" s="2">
        <v>1474537</v>
      </c>
      <c r="C233" s="2" t="s">
        <v>200</v>
      </c>
      <c r="D233" s="2">
        <v>86337623</v>
      </c>
      <c r="E233" s="2" t="s">
        <v>19</v>
      </c>
      <c r="F233" s="3">
        <v>45907</v>
      </c>
      <c r="G233" s="4">
        <v>46.38</v>
      </c>
      <c r="H233" s="4">
        <v>9.2759999999999998</v>
      </c>
      <c r="I233" s="4">
        <v>37.103999999999999</v>
      </c>
      <c r="J233" s="5">
        <f t="shared" si="6"/>
        <v>34.321200000000005</v>
      </c>
      <c r="K233" s="5">
        <f>Table1[[#This Row],[القيمة المطلوبة]]</f>
        <v>34.321200000000005</v>
      </c>
      <c r="L233" s="5">
        <f t="shared" si="7"/>
        <v>0</v>
      </c>
      <c r="M233" s="5"/>
      <c r="N233" s="5"/>
    </row>
    <row r="234" spans="1:14" ht="14.4" customHeight="1" x14ac:dyDescent="0.3">
      <c r="A234" s="2">
        <v>232</v>
      </c>
      <c r="B234" s="2">
        <v>1988567</v>
      </c>
      <c r="C234" s="2" t="s">
        <v>40</v>
      </c>
      <c r="D234" s="2">
        <v>86811857</v>
      </c>
      <c r="E234" s="2" t="s">
        <v>15</v>
      </c>
      <c r="F234" s="3">
        <v>45907</v>
      </c>
      <c r="G234" s="4">
        <v>53.18</v>
      </c>
      <c r="H234" s="4">
        <v>7.9770000000000003</v>
      </c>
      <c r="I234" s="4">
        <v>45.203000000000003</v>
      </c>
      <c r="J234" s="5">
        <f t="shared" si="6"/>
        <v>42.012199999999993</v>
      </c>
      <c r="K234" s="5">
        <f>Table1[[#This Row],[القيمة المطلوبة]]</f>
        <v>42.012199999999993</v>
      </c>
      <c r="L234" s="5">
        <f t="shared" si="7"/>
        <v>0</v>
      </c>
      <c r="M234" s="5"/>
      <c r="N234" s="5"/>
    </row>
    <row r="235" spans="1:14" ht="14.4" customHeight="1" x14ac:dyDescent="0.3">
      <c r="A235" s="2">
        <v>235</v>
      </c>
      <c r="B235" s="2">
        <v>1809422</v>
      </c>
      <c r="C235" s="2" t="s">
        <v>131</v>
      </c>
      <c r="D235" s="2">
        <v>86337626</v>
      </c>
      <c r="E235" s="2" t="s">
        <v>19</v>
      </c>
      <c r="F235" s="3">
        <v>45907</v>
      </c>
      <c r="G235" s="4">
        <v>60.13</v>
      </c>
      <c r="H235" s="4">
        <v>12.026</v>
      </c>
      <c r="I235" s="4">
        <v>48.103999999999999</v>
      </c>
      <c r="J235" s="5">
        <f t="shared" si="6"/>
        <v>44.496200000000002</v>
      </c>
      <c r="K235" s="5">
        <f>Table1[[#This Row],[القيمة المطلوبة]]</f>
        <v>44.496200000000002</v>
      </c>
      <c r="L235" s="5">
        <f t="shared" si="7"/>
        <v>0</v>
      </c>
      <c r="M235" s="5"/>
      <c r="N235" s="5"/>
    </row>
    <row r="236" spans="1:14" ht="14.4" customHeight="1" x14ac:dyDescent="0.3">
      <c r="A236" s="2">
        <v>236</v>
      </c>
      <c r="B236" s="2">
        <v>1988680</v>
      </c>
      <c r="C236" s="2" t="s">
        <v>29</v>
      </c>
      <c r="D236" s="2">
        <v>86811098</v>
      </c>
      <c r="E236" s="2" t="s">
        <v>19</v>
      </c>
      <c r="F236" s="3">
        <v>45908</v>
      </c>
      <c r="G236" s="4">
        <v>51.66</v>
      </c>
      <c r="H236" s="4">
        <v>7.7489999999999997</v>
      </c>
      <c r="I236" s="4">
        <v>43.911000000000001</v>
      </c>
      <c r="J236" s="5">
        <f t="shared" si="6"/>
        <v>40.811399999999992</v>
      </c>
      <c r="K236" s="5">
        <f>Table1[[#This Row],[القيمة المطلوبة]]</f>
        <v>40.811399999999992</v>
      </c>
      <c r="L236" s="5">
        <f t="shared" si="7"/>
        <v>0</v>
      </c>
      <c r="M236" s="5"/>
      <c r="N236" s="5"/>
    </row>
    <row r="237" spans="1:14" ht="14.4" customHeight="1" x14ac:dyDescent="0.3">
      <c r="A237" s="2">
        <v>237</v>
      </c>
      <c r="B237" s="2">
        <v>1988681</v>
      </c>
      <c r="C237" s="2" t="s">
        <v>76</v>
      </c>
      <c r="D237" s="2">
        <v>86813022</v>
      </c>
      <c r="E237" s="2" t="s">
        <v>15</v>
      </c>
      <c r="F237" s="3">
        <v>45908</v>
      </c>
      <c r="G237" s="4">
        <v>61</v>
      </c>
      <c r="H237" s="4">
        <v>9.15</v>
      </c>
      <c r="I237" s="4">
        <v>51.85</v>
      </c>
      <c r="J237" s="5">
        <f t="shared" si="6"/>
        <v>48.19</v>
      </c>
      <c r="K237" s="5">
        <f>Table1[[#This Row],[القيمة المطلوبة]]</f>
        <v>48.19</v>
      </c>
      <c r="L237" s="5">
        <f t="shared" si="7"/>
        <v>0</v>
      </c>
      <c r="M237" s="5"/>
      <c r="N237" s="5"/>
    </row>
    <row r="238" spans="1:14" ht="14.4" customHeight="1" x14ac:dyDescent="0.3">
      <c r="A238" s="2">
        <v>238</v>
      </c>
      <c r="B238" s="2">
        <v>1988649</v>
      </c>
      <c r="C238" s="2" t="s">
        <v>202</v>
      </c>
      <c r="D238" s="2">
        <v>86811086</v>
      </c>
      <c r="E238" s="2" t="s">
        <v>19</v>
      </c>
      <c r="F238" s="3">
        <v>45909</v>
      </c>
      <c r="G238" s="4">
        <v>55.24</v>
      </c>
      <c r="H238" s="4">
        <v>8.2859999999999996</v>
      </c>
      <c r="I238" s="4">
        <v>46.954000000000001</v>
      </c>
      <c r="J238" s="5">
        <f t="shared" si="6"/>
        <v>43.639599999999994</v>
      </c>
      <c r="K238" s="5">
        <f>Table1[[#This Row],[القيمة المطلوبة]]</f>
        <v>43.639599999999994</v>
      </c>
      <c r="L238" s="5">
        <f t="shared" si="7"/>
        <v>0</v>
      </c>
      <c r="M238" s="5"/>
      <c r="N238" s="5"/>
    </row>
    <row r="239" spans="1:14" ht="14.4" customHeight="1" x14ac:dyDescent="0.3">
      <c r="A239" s="2">
        <v>239</v>
      </c>
      <c r="B239" s="2">
        <v>1988584</v>
      </c>
      <c r="C239" s="2" t="s">
        <v>204</v>
      </c>
      <c r="D239" s="2">
        <v>86811798</v>
      </c>
      <c r="E239" s="2" t="s">
        <v>15</v>
      </c>
      <c r="F239" s="3">
        <v>45910</v>
      </c>
      <c r="G239" s="4">
        <v>30.646999999999998</v>
      </c>
      <c r="H239" s="4">
        <v>4.5970000000000004</v>
      </c>
      <c r="I239" s="4">
        <v>26.05</v>
      </c>
      <c r="J239" s="5">
        <f t="shared" si="6"/>
        <v>24.211179999999995</v>
      </c>
      <c r="K239" s="5">
        <f>Table1[[#This Row],[القيمة المطلوبة]]</f>
        <v>24.211179999999995</v>
      </c>
      <c r="L239" s="5">
        <f t="shared" si="7"/>
        <v>0</v>
      </c>
      <c r="M239" s="5"/>
      <c r="N239" s="5"/>
    </row>
    <row r="240" spans="1:14" ht="14.4" customHeight="1" x14ac:dyDescent="0.3">
      <c r="A240" s="2">
        <v>241</v>
      </c>
      <c r="B240" s="2">
        <v>1849233</v>
      </c>
      <c r="C240" s="2" t="s">
        <v>203</v>
      </c>
      <c r="D240" s="2">
        <v>86863530</v>
      </c>
      <c r="E240" s="2" t="s">
        <v>19</v>
      </c>
      <c r="F240" s="3">
        <v>45910</v>
      </c>
      <c r="G240" s="4">
        <v>56.13</v>
      </c>
      <c r="H240" s="4">
        <v>11.787000000000001</v>
      </c>
      <c r="I240" s="4">
        <v>44.343000000000004</v>
      </c>
      <c r="J240" s="5">
        <f t="shared" si="6"/>
        <v>40.975200000000001</v>
      </c>
      <c r="K240" s="5">
        <f>Table1[[#This Row],[القيمة المطلوبة]]</f>
        <v>40.975200000000001</v>
      </c>
      <c r="L240" s="5">
        <f t="shared" si="7"/>
        <v>0</v>
      </c>
      <c r="M240" s="5"/>
      <c r="N240" s="5"/>
    </row>
    <row r="241" spans="1:14" ht="14.4" customHeight="1" x14ac:dyDescent="0.3">
      <c r="A241" s="2">
        <v>240</v>
      </c>
      <c r="B241" s="2">
        <v>2011610</v>
      </c>
      <c r="C241" s="2" t="s">
        <v>153</v>
      </c>
      <c r="D241" s="2">
        <v>88320994</v>
      </c>
      <c r="E241" s="2" t="s">
        <v>19</v>
      </c>
      <c r="F241" s="3">
        <v>45910</v>
      </c>
      <c r="G241" s="4">
        <v>79.27</v>
      </c>
      <c r="H241" s="4">
        <v>15.853999999999999</v>
      </c>
      <c r="I241" s="4">
        <v>63.415999999999997</v>
      </c>
      <c r="J241" s="5">
        <f t="shared" si="6"/>
        <v>58.65979999999999</v>
      </c>
      <c r="K241" s="5">
        <f>Table1[[#This Row],[القيمة المطلوبة]]</f>
        <v>58.65979999999999</v>
      </c>
      <c r="L241" s="5">
        <f t="shared" si="7"/>
        <v>0</v>
      </c>
      <c r="M241" s="5"/>
      <c r="N241" s="5"/>
    </row>
    <row r="242" spans="1:14" ht="14.4" customHeight="1" x14ac:dyDescent="0.3">
      <c r="A242" s="2">
        <v>244</v>
      </c>
      <c r="B242" s="2">
        <v>1995272</v>
      </c>
      <c r="C242" s="2" t="s">
        <v>207</v>
      </c>
      <c r="D242" s="2">
        <v>86083063</v>
      </c>
      <c r="E242" s="2" t="s">
        <v>15</v>
      </c>
      <c r="F242" s="3">
        <v>45911</v>
      </c>
      <c r="G242" s="4">
        <v>5.72</v>
      </c>
      <c r="H242" s="4">
        <v>0.85799999999999998</v>
      </c>
      <c r="I242" s="4">
        <v>4.8620000000000001</v>
      </c>
      <c r="J242" s="5">
        <f t="shared" si="6"/>
        <v>4.5187999999999997</v>
      </c>
      <c r="K242" s="5">
        <f>Table1[[#This Row],[القيمة المطلوبة]]</f>
        <v>4.5187999999999997</v>
      </c>
      <c r="L242" s="5">
        <f t="shared" si="7"/>
        <v>0</v>
      </c>
      <c r="M242" s="5"/>
      <c r="N242" s="5"/>
    </row>
    <row r="243" spans="1:14" ht="14.4" customHeight="1" x14ac:dyDescent="0.3">
      <c r="A243" s="2">
        <v>246</v>
      </c>
      <c r="B243" s="2">
        <v>1988575</v>
      </c>
      <c r="C243" s="2" t="s">
        <v>206</v>
      </c>
      <c r="D243" s="2">
        <v>86812148</v>
      </c>
      <c r="E243" s="2" t="s">
        <v>19</v>
      </c>
      <c r="F243" s="3">
        <v>45911</v>
      </c>
      <c r="G243" s="4">
        <v>25.26</v>
      </c>
      <c r="H243" s="4">
        <v>3.7890000000000001</v>
      </c>
      <c r="I243" s="4">
        <v>21.471</v>
      </c>
      <c r="J243" s="5">
        <f t="shared" si="6"/>
        <v>19.955399999999997</v>
      </c>
      <c r="K243" s="5">
        <f>Table1[[#This Row],[القيمة المطلوبة]]</f>
        <v>19.955399999999997</v>
      </c>
      <c r="L243" s="5">
        <f t="shared" si="7"/>
        <v>0</v>
      </c>
      <c r="M243" s="5"/>
      <c r="N243" s="5"/>
    </row>
    <row r="244" spans="1:14" ht="14.4" customHeight="1" x14ac:dyDescent="0.3">
      <c r="A244" s="2">
        <v>242</v>
      </c>
      <c r="B244" s="2">
        <v>1840199</v>
      </c>
      <c r="C244" s="2" t="s">
        <v>205</v>
      </c>
      <c r="D244" s="2">
        <v>86714883</v>
      </c>
      <c r="E244" s="2" t="s">
        <v>19</v>
      </c>
      <c r="F244" s="3">
        <v>45911</v>
      </c>
      <c r="G244" s="4">
        <v>43.91</v>
      </c>
      <c r="H244" s="4">
        <v>6.5860000000000003</v>
      </c>
      <c r="I244" s="4">
        <v>37.323999999999998</v>
      </c>
      <c r="J244" s="5">
        <f t="shared" si="6"/>
        <v>34.689399999999999</v>
      </c>
      <c r="K244" s="5">
        <f>Table1[[#This Row],[القيمة المطلوبة]]</f>
        <v>34.689399999999999</v>
      </c>
      <c r="L244" s="5">
        <f t="shared" si="7"/>
        <v>0</v>
      </c>
      <c r="M244" s="5"/>
      <c r="N244" s="5"/>
    </row>
    <row r="245" spans="1:14" ht="14.4" customHeight="1" x14ac:dyDescent="0.3">
      <c r="A245" s="2">
        <v>243</v>
      </c>
      <c r="B245" s="2">
        <v>1988697</v>
      </c>
      <c r="C245" s="2" t="s">
        <v>35</v>
      </c>
      <c r="D245" s="2">
        <v>86811107</v>
      </c>
      <c r="E245" s="2" t="s">
        <v>19</v>
      </c>
      <c r="F245" s="3">
        <v>45911</v>
      </c>
      <c r="G245" s="4">
        <v>48.36</v>
      </c>
      <c r="H245" s="4">
        <v>7.2539999999999996</v>
      </c>
      <c r="I245" s="4">
        <v>41.106000000000002</v>
      </c>
      <c r="J245" s="5">
        <f t="shared" si="6"/>
        <v>38.2044</v>
      </c>
      <c r="K245" s="5">
        <f>Table1[[#This Row],[القيمة المطلوبة]]</f>
        <v>38.2044</v>
      </c>
      <c r="L245" s="5">
        <f t="shared" si="7"/>
        <v>0</v>
      </c>
      <c r="M245" s="5"/>
      <c r="N245" s="5"/>
    </row>
    <row r="246" spans="1:14" ht="14.4" customHeight="1" x14ac:dyDescent="0.3">
      <c r="A246" s="2">
        <v>245</v>
      </c>
      <c r="B246" s="2">
        <v>1988573</v>
      </c>
      <c r="C246" s="2" t="s">
        <v>170</v>
      </c>
      <c r="D246" s="2">
        <v>86811056</v>
      </c>
      <c r="E246" s="2" t="s">
        <v>15</v>
      </c>
      <c r="F246" s="3">
        <v>45911</v>
      </c>
      <c r="G246" s="4">
        <v>50.21</v>
      </c>
      <c r="H246" s="4">
        <v>7.5309999999999997</v>
      </c>
      <c r="I246" s="4">
        <v>42.679000000000002</v>
      </c>
      <c r="J246" s="5">
        <f t="shared" si="6"/>
        <v>39.666399999999996</v>
      </c>
      <c r="K246" s="5">
        <f>Table1[[#This Row],[القيمة المطلوبة]]</f>
        <v>39.666399999999996</v>
      </c>
      <c r="L246" s="5">
        <f t="shared" si="7"/>
        <v>0</v>
      </c>
      <c r="M246" s="5"/>
      <c r="N246" s="5"/>
    </row>
    <row r="247" spans="1:14" ht="14.4" customHeight="1" x14ac:dyDescent="0.3">
      <c r="A247" s="2">
        <v>248</v>
      </c>
      <c r="B247" s="2">
        <v>1988553</v>
      </c>
      <c r="C247" s="2" t="s">
        <v>139</v>
      </c>
      <c r="D247" s="2">
        <v>86812402</v>
      </c>
      <c r="E247" s="2" t="s">
        <v>15</v>
      </c>
      <c r="F247" s="3">
        <v>45913</v>
      </c>
      <c r="G247" s="4">
        <v>4.08</v>
      </c>
      <c r="H247" s="4">
        <v>0.61199999999999999</v>
      </c>
      <c r="I247" s="4">
        <v>3.468</v>
      </c>
      <c r="J247" s="5">
        <f t="shared" si="6"/>
        <v>3.2231999999999998</v>
      </c>
      <c r="K247" s="5">
        <f>Table1[[#This Row],[القيمة المطلوبة]]</f>
        <v>3.2231999999999998</v>
      </c>
      <c r="L247" s="5">
        <f t="shared" si="7"/>
        <v>0</v>
      </c>
      <c r="M247" s="5"/>
      <c r="N247" s="5"/>
    </row>
    <row r="248" spans="1:14" ht="14.4" customHeight="1" x14ac:dyDescent="0.3">
      <c r="A248" s="2">
        <v>247</v>
      </c>
      <c r="B248" s="2">
        <v>1969111</v>
      </c>
      <c r="C248" s="2" t="s">
        <v>136</v>
      </c>
      <c r="D248" s="2">
        <v>85869694</v>
      </c>
      <c r="E248" s="2" t="s">
        <v>19</v>
      </c>
      <c r="F248" s="3">
        <v>45913</v>
      </c>
      <c r="G248" s="4">
        <v>36.18</v>
      </c>
      <c r="H248" s="4">
        <v>3.6179999999999999</v>
      </c>
      <c r="I248" s="4">
        <v>32.561999999999998</v>
      </c>
      <c r="J248" s="5">
        <f t="shared" si="6"/>
        <v>30.391200000000001</v>
      </c>
      <c r="K248" s="5">
        <f>Table1[[#This Row],[القيمة المطلوبة]]</f>
        <v>30.391200000000001</v>
      </c>
      <c r="L248" s="5">
        <f t="shared" si="7"/>
        <v>0</v>
      </c>
      <c r="M248" s="5"/>
      <c r="N248" s="5"/>
    </row>
    <row r="249" spans="1:14" ht="14.4" customHeight="1" x14ac:dyDescent="0.3">
      <c r="A249" s="2">
        <v>249</v>
      </c>
      <c r="B249" s="2">
        <v>1747078</v>
      </c>
      <c r="C249" s="2" t="s">
        <v>58</v>
      </c>
      <c r="D249" s="2">
        <v>2522388</v>
      </c>
      <c r="E249" s="2" t="s">
        <v>19</v>
      </c>
      <c r="F249" s="3">
        <v>45914</v>
      </c>
      <c r="G249" s="4">
        <v>14.25</v>
      </c>
      <c r="H249" s="4">
        <v>2.137</v>
      </c>
      <c r="I249" s="4">
        <v>12.113</v>
      </c>
      <c r="J249" s="5">
        <f t="shared" si="6"/>
        <v>11.257999999999999</v>
      </c>
      <c r="K249" s="5">
        <f>Table1[[#This Row],[القيمة المطلوبة]]</f>
        <v>11.257999999999999</v>
      </c>
      <c r="L249" s="5">
        <f t="shared" si="7"/>
        <v>0</v>
      </c>
      <c r="M249" s="5"/>
      <c r="N249" s="5"/>
    </row>
    <row r="250" spans="1:14" ht="14.4" customHeight="1" x14ac:dyDescent="0.3">
      <c r="A250" s="2">
        <v>250</v>
      </c>
      <c r="B250" s="2">
        <v>1876003</v>
      </c>
      <c r="C250" s="2" t="s">
        <v>45</v>
      </c>
      <c r="D250" s="2">
        <v>88579429</v>
      </c>
      <c r="E250" s="2" t="s">
        <v>19</v>
      </c>
      <c r="F250" s="3">
        <v>45914</v>
      </c>
      <c r="G250" s="4">
        <v>40.82</v>
      </c>
      <c r="H250" s="4">
        <v>8.1639999999999997</v>
      </c>
      <c r="I250" s="4">
        <v>32.655999999999999</v>
      </c>
      <c r="J250" s="5">
        <f t="shared" si="6"/>
        <v>30.206799999999994</v>
      </c>
      <c r="K250" s="5">
        <f>Table1[[#This Row],[القيمة المطلوبة]]</f>
        <v>30.206799999999994</v>
      </c>
      <c r="L250" s="5">
        <f t="shared" si="7"/>
        <v>0</v>
      </c>
      <c r="M250" s="5"/>
      <c r="N250" s="5"/>
    </row>
    <row r="251" spans="1:14" ht="14.4" customHeight="1" x14ac:dyDescent="0.3">
      <c r="A251" s="2">
        <v>251</v>
      </c>
      <c r="B251" s="2">
        <v>794217</v>
      </c>
      <c r="C251" s="2" t="s">
        <v>137</v>
      </c>
      <c r="D251" s="2">
        <v>86414693</v>
      </c>
      <c r="E251" s="2" t="s">
        <v>15</v>
      </c>
      <c r="F251" s="3">
        <v>45915</v>
      </c>
      <c r="G251" s="4">
        <v>40.229999999999997</v>
      </c>
      <c r="H251" s="4">
        <v>4.0229999999999997</v>
      </c>
      <c r="I251" s="4">
        <v>36.207000000000001</v>
      </c>
      <c r="J251" s="5">
        <f t="shared" si="6"/>
        <v>33.793199999999999</v>
      </c>
      <c r="K251" s="5">
        <f>Table1[[#This Row],[القيمة المطلوبة]]</f>
        <v>33.793199999999999</v>
      </c>
      <c r="L251" s="5">
        <f t="shared" si="7"/>
        <v>0</v>
      </c>
      <c r="M251" s="5"/>
      <c r="N251" s="5"/>
    </row>
    <row r="252" spans="1:14" ht="14.4" customHeight="1" x14ac:dyDescent="0.3">
      <c r="A252" s="2">
        <v>252</v>
      </c>
      <c r="B252" s="2">
        <v>1963874</v>
      </c>
      <c r="C252" s="2" t="s">
        <v>208</v>
      </c>
      <c r="D252" s="2">
        <v>85565725</v>
      </c>
      <c r="E252" s="2" t="s">
        <v>19</v>
      </c>
      <c r="F252" s="3">
        <v>45916</v>
      </c>
      <c r="G252" s="4">
        <v>40.11</v>
      </c>
      <c r="H252" s="4">
        <v>0</v>
      </c>
      <c r="I252" s="4">
        <v>40.11</v>
      </c>
      <c r="J252" s="5">
        <f t="shared" si="6"/>
        <v>37.703399999999995</v>
      </c>
      <c r="K252" s="5">
        <f>Table1[[#This Row],[القيمة المطلوبة]]</f>
        <v>37.703399999999995</v>
      </c>
      <c r="L252" s="5">
        <f t="shared" si="7"/>
        <v>0</v>
      </c>
      <c r="M252" s="5"/>
      <c r="N252" s="5"/>
    </row>
    <row r="253" spans="1:14" ht="14.4" customHeight="1" x14ac:dyDescent="0.3">
      <c r="A253" s="2">
        <v>253</v>
      </c>
      <c r="B253" s="2">
        <v>1988555</v>
      </c>
      <c r="C253" s="2" t="s">
        <v>210</v>
      </c>
      <c r="D253" s="2">
        <v>86812180</v>
      </c>
      <c r="E253" s="2" t="s">
        <v>15</v>
      </c>
      <c r="F253" s="3">
        <v>45917</v>
      </c>
      <c r="G253" s="4">
        <v>20.07</v>
      </c>
      <c r="H253" s="4">
        <v>3.01</v>
      </c>
      <c r="I253" s="4">
        <v>17.059999999999999</v>
      </c>
      <c r="J253" s="5">
        <f t="shared" si="6"/>
        <v>15.8558</v>
      </c>
      <c r="K253" s="5">
        <f>Table1[[#This Row],[القيمة المطلوبة]]</f>
        <v>15.8558</v>
      </c>
      <c r="L253" s="5">
        <f t="shared" si="7"/>
        <v>0</v>
      </c>
      <c r="M253" s="5"/>
      <c r="N253" s="5"/>
    </row>
    <row r="254" spans="1:14" ht="14.4" customHeight="1" x14ac:dyDescent="0.3">
      <c r="A254" s="2">
        <v>254</v>
      </c>
      <c r="B254" s="2">
        <v>1988556</v>
      </c>
      <c r="C254" s="2" t="s">
        <v>209</v>
      </c>
      <c r="D254" s="2">
        <v>86812162</v>
      </c>
      <c r="E254" s="2" t="s">
        <v>19</v>
      </c>
      <c r="F254" s="3">
        <v>45917</v>
      </c>
      <c r="G254" s="4">
        <v>31.03</v>
      </c>
      <c r="H254" s="4">
        <v>4.6539999999999999</v>
      </c>
      <c r="I254" s="4">
        <v>26.376000000000001</v>
      </c>
      <c r="J254" s="5">
        <f t="shared" si="6"/>
        <v>24.514199999999999</v>
      </c>
      <c r="K254" s="5">
        <f>Table1[[#This Row],[القيمة المطلوبة]]</f>
        <v>24.514199999999999</v>
      </c>
      <c r="L254" s="5">
        <f t="shared" si="7"/>
        <v>0</v>
      </c>
      <c r="M254" s="5"/>
      <c r="N254" s="5"/>
    </row>
    <row r="255" spans="1:14" ht="14.4" customHeight="1" x14ac:dyDescent="0.3">
      <c r="A255" s="2">
        <v>256</v>
      </c>
      <c r="B255" s="2">
        <v>2016062</v>
      </c>
      <c r="C255" s="2" t="s">
        <v>213</v>
      </c>
      <c r="D255" s="2">
        <v>86812839</v>
      </c>
      <c r="E255" s="2" t="s">
        <v>15</v>
      </c>
      <c r="F255" s="3">
        <v>45918</v>
      </c>
      <c r="G255" s="4">
        <v>6.04</v>
      </c>
      <c r="H255" s="4">
        <v>0.90600000000000003</v>
      </c>
      <c r="I255" s="4">
        <v>5.1340000000000003</v>
      </c>
      <c r="J255" s="5">
        <f t="shared" si="6"/>
        <v>4.7716000000000003</v>
      </c>
      <c r="K255" s="5">
        <f>Table1[[#This Row],[القيمة المطلوبة]]</f>
        <v>4.7716000000000003</v>
      </c>
      <c r="L255" s="5">
        <f t="shared" si="7"/>
        <v>0</v>
      </c>
      <c r="M255" s="5"/>
      <c r="N255" s="5"/>
    </row>
    <row r="256" spans="1:14" ht="14.4" customHeight="1" x14ac:dyDescent="0.3">
      <c r="A256" s="2">
        <v>257</v>
      </c>
      <c r="B256" s="2">
        <v>1990712</v>
      </c>
      <c r="C256" s="2" t="s">
        <v>212</v>
      </c>
      <c r="D256" s="2">
        <v>86812376</v>
      </c>
      <c r="E256" s="2" t="s">
        <v>15</v>
      </c>
      <c r="F256" s="3">
        <v>45918</v>
      </c>
      <c r="G256" s="4">
        <v>7.29</v>
      </c>
      <c r="H256" s="4">
        <v>1.093</v>
      </c>
      <c r="I256" s="4">
        <v>6.1970000000000001</v>
      </c>
      <c r="J256" s="5">
        <f t="shared" si="6"/>
        <v>5.7595999999999998</v>
      </c>
      <c r="K256" s="5">
        <f>Table1[[#This Row],[القيمة المطلوبة]]</f>
        <v>5.7595999999999998</v>
      </c>
      <c r="L256" s="5">
        <f t="shared" si="7"/>
        <v>0</v>
      </c>
      <c r="M256" s="5"/>
      <c r="N256" s="5"/>
    </row>
    <row r="257" spans="1:14" ht="14.4" customHeight="1" x14ac:dyDescent="0.3">
      <c r="A257" s="2">
        <v>255</v>
      </c>
      <c r="B257" s="2">
        <v>1988651</v>
      </c>
      <c r="C257" s="2" t="s">
        <v>211</v>
      </c>
      <c r="D257" s="2">
        <v>86812536</v>
      </c>
      <c r="E257" s="2" t="s">
        <v>15</v>
      </c>
      <c r="F257" s="3">
        <v>45918</v>
      </c>
      <c r="G257" s="4">
        <v>17.57</v>
      </c>
      <c r="H257" s="4">
        <v>2.6349999999999998</v>
      </c>
      <c r="I257" s="4">
        <v>14.935</v>
      </c>
      <c r="J257" s="5">
        <f t="shared" si="6"/>
        <v>13.880799999999999</v>
      </c>
      <c r="K257" s="5">
        <f>Table1[[#This Row],[القيمة المطلوبة]]</f>
        <v>13.880799999999999</v>
      </c>
      <c r="L257" s="5">
        <f t="shared" si="7"/>
        <v>0</v>
      </c>
      <c r="M257" s="5"/>
      <c r="N257" s="5"/>
    </row>
    <row r="258" spans="1:14" ht="14.4" customHeight="1" x14ac:dyDescent="0.3">
      <c r="A258" s="2">
        <v>260</v>
      </c>
      <c r="B258" s="2">
        <v>1988777</v>
      </c>
      <c r="C258" s="2" t="s">
        <v>214</v>
      </c>
      <c r="D258" s="2">
        <v>86811917</v>
      </c>
      <c r="E258" s="2" t="s">
        <v>19</v>
      </c>
      <c r="F258" s="3">
        <v>45920</v>
      </c>
      <c r="G258" s="4">
        <v>5.08</v>
      </c>
      <c r="H258" s="4">
        <v>0.76200000000000001</v>
      </c>
      <c r="I258" s="4">
        <v>4.3179999999999996</v>
      </c>
      <c r="J258" s="5">
        <f t="shared" ref="J258:J321" si="8">G258*0.94-H258</f>
        <v>4.0131999999999994</v>
      </c>
      <c r="K258" s="5">
        <f>Table1[[#This Row],[القيمة المطلوبة]]</f>
        <v>4.0131999999999994</v>
      </c>
      <c r="L258" s="5">
        <f t="shared" ref="L258:L321" si="9">J258-K258</f>
        <v>0</v>
      </c>
      <c r="M258" s="5"/>
      <c r="N258" s="5"/>
    </row>
    <row r="259" spans="1:14" ht="14.4" customHeight="1" x14ac:dyDescent="0.3">
      <c r="A259" s="2">
        <v>264</v>
      </c>
      <c r="B259" s="2">
        <v>1988777</v>
      </c>
      <c r="C259" s="2" t="s">
        <v>214</v>
      </c>
      <c r="D259" s="2">
        <v>868119172</v>
      </c>
      <c r="E259" s="2" t="s">
        <v>15</v>
      </c>
      <c r="F259" s="3">
        <v>45920</v>
      </c>
      <c r="G259" s="4">
        <v>9.0299999999999994</v>
      </c>
      <c r="H259" s="4">
        <v>1.3540000000000001</v>
      </c>
      <c r="I259" s="4">
        <v>7.6760000000000002</v>
      </c>
      <c r="J259" s="5">
        <f t="shared" si="8"/>
        <v>7.134199999999999</v>
      </c>
      <c r="K259" s="5">
        <f>Table1[[#This Row],[القيمة المطلوبة]]</f>
        <v>7.134199999999999</v>
      </c>
      <c r="L259" s="5">
        <f t="shared" si="9"/>
        <v>0</v>
      </c>
      <c r="M259" s="5"/>
      <c r="N259" s="5"/>
    </row>
    <row r="260" spans="1:14" ht="14.4" customHeight="1" x14ac:dyDescent="0.3">
      <c r="A260" s="2">
        <v>258</v>
      </c>
      <c r="B260" s="2">
        <v>1988568</v>
      </c>
      <c r="C260" s="2" t="s">
        <v>104</v>
      </c>
      <c r="D260" s="2">
        <v>86812417</v>
      </c>
      <c r="E260" s="2" t="s">
        <v>15</v>
      </c>
      <c r="F260" s="3">
        <v>45920</v>
      </c>
      <c r="G260" s="4">
        <v>17.579999999999998</v>
      </c>
      <c r="H260" s="4">
        <v>2.637</v>
      </c>
      <c r="I260" s="4">
        <v>14.943</v>
      </c>
      <c r="J260" s="5">
        <f t="shared" si="8"/>
        <v>13.888199999999998</v>
      </c>
      <c r="K260" s="5">
        <f>Table1[[#This Row],[القيمة المطلوبة]]</f>
        <v>13.888199999999998</v>
      </c>
      <c r="L260" s="5">
        <f t="shared" si="9"/>
        <v>0</v>
      </c>
      <c r="M260" s="5"/>
      <c r="N260" s="5"/>
    </row>
    <row r="261" spans="1:14" ht="14.4" customHeight="1" x14ac:dyDescent="0.3">
      <c r="A261" s="2">
        <v>265</v>
      </c>
      <c r="B261" s="2">
        <v>794218</v>
      </c>
      <c r="C261" s="2" t="s">
        <v>217</v>
      </c>
      <c r="D261" s="2">
        <v>86414694</v>
      </c>
      <c r="E261" s="2" t="s">
        <v>15</v>
      </c>
      <c r="F261" s="3">
        <v>45920</v>
      </c>
      <c r="G261" s="4">
        <v>25.04</v>
      </c>
      <c r="H261" s="4">
        <v>2.504</v>
      </c>
      <c r="I261" s="4">
        <v>22.536000000000001</v>
      </c>
      <c r="J261" s="5">
        <f t="shared" si="8"/>
        <v>21.033599999999996</v>
      </c>
      <c r="K261" s="5">
        <f>Table1[[#This Row],[القيمة المطلوبة]]</f>
        <v>21.033599999999996</v>
      </c>
      <c r="L261" s="5">
        <f t="shared" si="9"/>
        <v>0</v>
      </c>
      <c r="M261" s="5"/>
      <c r="N261" s="5"/>
    </row>
    <row r="262" spans="1:14" ht="14.4" customHeight="1" x14ac:dyDescent="0.3">
      <c r="A262" s="2">
        <v>261</v>
      </c>
      <c r="B262" s="2">
        <v>794145</v>
      </c>
      <c r="C262" s="2" t="s">
        <v>216</v>
      </c>
      <c r="D262" s="2">
        <v>61838374</v>
      </c>
      <c r="E262" s="2" t="s">
        <v>15</v>
      </c>
      <c r="F262" s="3">
        <v>45920</v>
      </c>
      <c r="G262" s="4">
        <v>31.87</v>
      </c>
      <c r="H262" s="4">
        <v>3.1869999999999998</v>
      </c>
      <c r="I262" s="4">
        <v>28.683</v>
      </c>
      <c r="J262" s="5">
        <f t="shared" si="8"/>
        <v>26.770799999999998</v>
      </c>
      <c r="K262" s="5">
        <f>Table1[[#This Row],[القيمة المطلوبة]]</f>
        <v>26.770799999999998</v>
      </c>
      <c r="L262" s="5">
        <f t="shared" si="9"/>
        <v>0</v>
      </c>
      <c r="M262" s="5"/>
      <c r="N262" s="5"/>
    </row>
    <row r="263" spans="1:14" ht="14.4" customHeight="1" x14ac:dyDescent="0.3">
      <c r="A263" s="2">
        <v>263</v>
      </c>
      <c r="B263" s="2">
        <v>1988714</v>
      </c>
      <c r="C263" s="2" t="s">
        <v>67</v>
      </c>
      <c r="D263" s="2">
        <v>86811115</v>
      </c>
      <c r="E263" s="2" t="s">
        <v>19</v>
      </c>
      <c r="F263" s="3">
        <v>45920</v>
      </c>
      <c r="G263" s="4">
        <v>37.159999999999997</v>
      </c>
      <c r="H263" s="4">
        <v>5.5739999999999998</v>
      </c>
      <c r="I263" s="4">
        <v>31.585999999999999</v>
      </c>
      <c r="J263" s="5">
        <f t="shared" si="8"/>
        <v>29.356399999999994</v>
      </c>
      <c r="K263" s="5">
        <f>Table1[[#This Row],[القيمة المطلوبة]]</f>
        <v>29.356399999999994</v>
      </c>
      <c r="L263" s="5">
        <f t="shared" si="9"/>
        <v>0</v>
      </c>
      <c r="M263" s="5"/>
      <c r="N263" s="5"/>
    </row>
    <row r="264" spans="1:14" ht="14.4" customHeight="1" x14ac:dyDescent="0.3">
      <c r="A264" s="2">
        <v>262</v>
      </c>
      <c r="B264" s="2">
        <v>794142</v>
      </c>
      <c r="C264" s="2" t="s">
        <v>215</v>
      </c>
      <c r="D264" s="2">
        <v>61838403</v>
      </c>
      <c r="E264" s="2" t="s">
        <v>15</v>
      </c>
      <c r="F264" s="3">
        <v>45920</v>
      </c>
      <c r="G264" s="4">
        <v>57.92</v>
      </c>
      <c r="H264" s="4">
        <v>5.7919999999999998</v>
      </c>
      <c r="I264" s="4">
        <v>52.128</v>
      </c>
      <c r="J264" s="5">
        <f t="shared" si="8"/>
        <v>48.652799999999999</v>
      </c>
      <c r="K264" s="5">
        <f>Table1[[#This Row],[القيمة المطلوبة]]</f>
        <v>48.652799999999999</v>
      </c>
      <c r="L264" s="5">
        <f t="shared" si="9"/>
        <v>0</v>
      </c>
      <c r="M264" s="5"/>
      <c r="N264" s="5"/>
    </row>
    <row r="265" spans="1:14" ht="14.4" customHeight="1" x14ac:dyDescent="0.3">
      <c r="A265" s="2">
        <v>259</v>
      </c>
      <c r="B265" s="2">
        <v>1988777</v>
      </c>
      <c r="C265" s="2" t="s">
        <v>214</v>
      </c>
      <c r="D265" s="2">
        <v>86811918</v>
      </c>
      <c r="E265" s="2" t="s">
        <v>19</v>
      </c>
      <c r="F265" s="3">
        <v>45920</v>
      </c>
      <c r="G265" s="4">
        <v>100.71</v>
      </c>
      <c r="H265" s="4">
        <v>15.106</v>
      </c>
      <c r="I265" s="4">
        <v>85.603999999999999</v>
      </c>
      <c r="J265" s="5">
        <f t="shared" si="8"/>
        <v>79.561399999999992</v>
      </c>
      <c r="K265" s="5">
        <f>Table1[[#This Row],[القيمة المطلوبة]]</f>
        <v>79.561399999999992</v>
      </c>
      <c r="L265" s="5">
        <f t="shared" si="9"/>
        <v>0</v>
      </c>
      <c r="M265" s="5"/>
      <c r="N265" s="5"/>
    </row>
    <row r="266" spans="1:14" ht="14.4" customHeight="1" x14ac:dyDescent="0.3">
      <c r="A266" s="2">
        <v>268</v>
      </c>
      <c r="B266" s="2">
        <v>1988700</v>
      </c>
      <c r="C266" s="2" t="s">
        <v>220</v>
      </c>
      <c r="D266" s="2">
        <v>86812244</v>
      </c>
      <c r="E266" s="2" t="s">
        <v>15</v>
      </c>
      <c r="F266" s="3">
        <v>45921</v>
      </c>
      <c r="G266" s="4">
        <v>8.1300000000000008</v>
      </c>
      <c r="H266" s="4">
        <v>1.2190000000000001</v>
      </c>
      <c r="I266" s="4">
        <v>6.9109999999999996</v>
      </c>
      <c r="J266" s="5">
        <f t="shared" si="8"/>
        <v>6.4231999999999996</v>
      </c>
      <c r="K266" s="5">
        <f>Table1[[#This Row],[القيمة المطلوبة]]</f>
        <v>6.4231999999999996</v>
      </c>
      <c r="L266" s="5">
        <f t="shared" si="9"/>
        <v>0</v>
      </c>
      <c r="M266" s="5"/>
      <c r="N266" s="5"/>
    </row>
    <row r="267" spans="1:14" ht="14.4" customHeight="1" x14ac:dyDescent="0.3">
      <c r="A267" s="2">
        <v>266</v>
      </c>
      <c r="B267" s="2">
        <v>1988699</v>
      </c>
      <c r="C267" s="2" t="s">
        <v>219</v>
      </c>
      <c r="D267" s="2">
        <v>86812310</v>
      </c>
      <c r="E267" s="2" t="s">
        <v>15</v>
      </c>
      <c r="F267" s="3">
        <v>45921</v>
      </c>
      <c r="G267" s="4">
        <v>11.08</v>
      </c>
      <c r="H267" s="4">
        <v>1.6619999999999999</v>
      </c>
      <c r="I267" s="4">
        <v>9.4179999999999993</v>
      </c>
      <c r="J267" s="5">
        <f t="shared" si="8"/>
        <v>8.7531999999999996</v>
      </c>
      <c r="K267" s="5">
        <f>Table1[[#This Row],[القيمة المطلوبة]]</f>
        <v>8.7531999999999996</v>
      </c>
      <c r="L267" s="5">
        <f t="shared" si="9"/>
        <v>0</v>
      </c>
      <c r="M267" s="5"/>
      <c r="N267" s="5"/>
    </row>
    <row r="268" spans="1:14" ht="14.4" customHeight="1" x14ac:dyDescent="0.3">
      <c r="A268" s="2">
        <v>267</v>
      </c>
      <c r="B268" s="2">
        <v>1988657</v>
      </c>
      <c r="C268" s="2" t="s">
        <v>218</v>
      </c>
      <c r="D268" s="2">
        <v>86810942</v>
      </c>
      <c r="E268" s="2" t="s">
        <v>19</v>
      </c>
      <c r="F268" s="3">
        <v>45921</v>
      </c>
      <c r="G268" s="4">
        <v>17.18</v>
      </c>
      <c r="H268" s="4">
        <v>2.577</v>
      </c>
      <c r="I268" s="4">
        <v>14.603</v>
      </c>
      <c r="J268" s="5">
        <f t="shared" si="8"/>
        <v>13.5722</v>
      </c>
      <c r="K268" s="5">
        <f>Table1[[#This Row],[القيمة المطلوبة]]</f>
        <v>13.5722</v>
      </c>
      <c r="L268" s="5">
        <f t="shared" si="9"/>
        <v>0</v>
      </c>
      <c r="M268" s="5"/>
      <c r="N268" s="5"/>
    </row>
    <row r="269" spans="1:14" ht="14.4" customHeight="1" x14ac:dyDescent="0.3">
      <c r="A269" s="2">
        <v>270</v>
      </c>
      <c r="B269" s="2">
        <v>2011665</v>
      </c>
      <c r="C269" s="2" t="s">
        <v>223</v>
      </c>
      <c r="D269" s="2">
        <v>88320885</v>
      </c>
      <c r="E269" s="2" t="s">
        <v>19</v>
      </c>
      <c r="F269" s="3">
        <v>45922</v>
      </c>
      <c r="G269" s="4">
        <v>28.11</v>
      </c>
      <c r="H269" s="4">
        <v>5.6219999999999999</v>
      </c>
      <c r="I269" s="4">
        <v>22.488</v>
      </c>
      <c r="J269" s="5">
        <f t="shared" si="8"/>
        <v>20.801399999999997</v>
      </c>
      <c r="K269" s="5">
        <f>Table1[[#This Row],[القيمة المطلوبة]]</f>
        <v>20.801399999999997</v>
      </c>
      <c r="L269" s="5">
        <f t="shared" si="9"/>
        <v>0</v>
      </c>
      <c r="M269" s="5"/>
      <c r="N269" s="5"/>
    </row>
    <row r="270" spans="1:14" ht="14.4" customHeight="1" x14ac:dyDescent="0.3">
      <c r="A270" s="2">
        <v>271</v>
      </c>
      <c r="B270" s="2">
        <v>1988663</v>
      </c>
      <c r="C270" s="2" t="s">
        <v>224</v>
      </c>
      <c r="D270" s="2">
        <v>86812136</v>
      </c>
      <c r="E270" s="2" t="s">
        <v>15</v>
      </c>
      <c r="F270" s="3">
        <v>45922</v>
      </c>
      <c r="G270" s="4">
        <v>31.11</v>
      </c>
      <c r="H270" s="4">
        <v>4.6660000000000004</v>
      </c>
      <c r="I270" s="4">
        <v>26.443999999999999</v>
      </c>
      <c r="J270" s="5">
        <f t="shared" si="8"/>
        <v>24.577399999999997</v>
      </c>
      <c r="K270" s="5">
        <f>Table1[[#This Row],[القيمة المطلوبة]]</f>
        <v>24.577399999999997</v>
      </c>
      <c r="L270" s="5">
        <f t="shared" si="9"/>
        <v>0</v>
      </c>
      <c r="M270" s="5"/>
      <c r="N270" s="5"/>
    </row>
    <row r="271" spans="1:14" ht="14.4" customHeight="1" x14ac:dyDescent="0.3">
      <c r="A271" s="2">
        <v>272</v>
      </c>
      <c r="B271" s="2">
        <v>1988658</v>
      </c>
      <c r="C271" s="2" t="s">
        <v>222</v>
      </c>
      <c r="D271" s="2">
        <v>86812558</v>
      </c>
      <c r="E271" s="2" t="s">
        <v>15</v>
      </c>
      <c r="F271" s="3">
        <v>45922</v>
      </c>
      <c r="G271" s="4">
        <v>40.01</v>
      </c>
      <c r="H271" s="4">
        <v>6.0010000000000003</v>
      </c>
      <c r="I271" s="4">
        <v>34.009</v>
      </c>
      <c r="J271" s="5">
        <f t="shared" si="8"/>
        <v>31.608399999999993</v>
      </c>
      <c r="K271" s="5">
        <f>Table1[[#This Row],[القيمة المطلوبة]]</f>
        <v>31.608399999999993</v>
      </c>
      <c r="L271" s="5">
        <f t="shared" si="9"/>
        <v>0</v>
      </c>
      <c r="M271" s="5"/>
      <c r="N271" s="5"/>
    </row>
    <row r="272" spans="1:14" ht="14.4" customHeight="1" x14ac:dyDescent="0.3">
      <c r="A272" s="2">
        <v>269</v>
      </c>
      <c r="B272" s="2">
        <v>2011676</v>
      </c>
      <c r="C272" s="2" t="s">
        <v>221</v>
      </c>
      <c r="D272" s="2">
        <v>88322230</v>
      </c>
      <c r="E272" s="2" t="s">
        <v>15</v>
      </c>
      <c r="F272" s="3">
        <v>45922</v>
      </c>
      <c r="G272" s="4">
        <v>83.81</v>
      </c>
      <c r="H272" s="4">
        <v>16.762</v>
      </c>
      <c r="I272" s="4">
        <v>67.048000000000002</v>
      </c>
      <c r="J272" s="5">
        <f t="shared" si="8"/>
        <v>62.01939999999999</v>
      </c>
      <c r="K272" s="5">
        <f>Table1[[#This Row],[القيمة المطلوبة]]</f>
        <v>62.01939999999999</v>
      </c>
      <c r="L272" s="5">
        <f t="shared" si="9"/>
        <v>0</v>
      </c>
      <c r="M272" s="5"/>
      <c r="N272" s="5"/>
    </row>
    <row r="273" spans="1:14" ht="14.4" customHeight="1" x14ac:dyDescent="0.3">
      <c r="A273" s="2">
        <v>274</v>
      </c>
      <c r="B273" s="2">
        <v>2016062</v>
      </c>
      <c r="C273" s="2" t="s">
        <v>213</v>
      </c>
      <c r="D273" s="2">
        <v>86812970</v>
      </c>
      <c r="E273" s="2" t="s">
        <v>15</v>
      </c>
      <c r="F273" s="3">
        <v>45923</v>
      </c>
      <c r="G273" s="4">
        <v>7.39</v>
      </c>
      <c r="H273" s="4">
        <v>1.1080000000000001</v>
      </c>
      <c r="I273" s="4">
        <v>6.282</v>
      </c>
      <c r="J273" s="5">
        <f t="shared" si="8"/>
        <v>5.8385999999999996</v>
      </c>
      <c r="K273" s="5">
        <f>Table1[[#This Row],[القيمة المطلوبة]]</f>
        <v>5.8385999999999996</v>
      </c>
      <c r="L273" s="5">
        <f t="shared" si="9"/>
        <v>0</v>
      </c>
      <c r="M273" s="5"/>
      <c r="N273" s="5"/>
    </row>
    <row r="274" spans="1:14" ht="14.4" customHeight="1" x14ac:dyDescent="0.3">
      <c r="A274" s="2">
        <v>275</v>
      </c>
      <c r="B274" s="2">
        <v>1988650</v>
      </c>
      <c r="C274" s="2" t="s">
        <v>225</v>
      </c>
      <c r="D274" s="2">
        <v>86813904</v>
      </c>
      <c r="E274" s="2" t="s">
        <v>15</v>
      </c>
      <c r="F274" s="3">
        <v>45923</v>
      </c>
      <c r="G274" s="4">
        <v>50.7</v>
      </c>
      <c r="H274" s="4">
        <v>7.6050000000000004</v>
      </c>
      <c r="I274" s="4">
        <v>43.094999999999999</v>
      </c>
      <c r="J274" s="5">
        <f t="shared" si="8"/>
        <v>40.052999999999997</v>
      </c>
      <c r="K274" s="5">
        <f>Table1[[#This Row],[القيمة المطلوبة]]</f>
        <v>40.052999999999997</v>
      </c>
      <c r="L274" s="5">
        <f t="shared" si="9"/>
        <v>0</v>
      </c>
      <c r="M274" s="5"/>
      <c r="N274" s="5"/>
    </row>
    <row r="275" spans="1:14" ht="14.4" customHeight="1" x14ac:dyDescent="0.3">
      <c r="A275" s="2">
        <v>273</v>
      </c>
      <c r="B275" s="2">
        <v>1948511</v>
      </c>
      <c r="C275" s="2" t="s">
        <v>47</v>
      </c>
      <c r="D275" s="2">
        <v>55706885</v>
      </c>
      <c r="E275" s="2" t="s">
        <v>15</v>
      </c>
      <c r="F275" s="3">
        <v>45923</v>
      </c>
      <c r="G275" s="4">
        <v>62.24</v>
      </c>
      <c r="H275" s="4">
        <v>12.448</v>
      </c>
      <c r="I275" s="4">
        <v>49.792000000000002</v>
      </c>
      <c r="J275" s="5">
        <f t="shared" si="8"/>
        <v>46.057600000000001</v>
      </c>
      <c r="K275" s="5">
        <f>Table1[[#This Row],[القيمة المطلوبة]]</f>
        <v>46.057600000000001</v>
      </c>
      <c r="L275" s="5">
        <f t="shared" si="9"/>
        <v>0</v>
      </c>
      <c r="M275" s="5"/>
      <c r="N275" s="5"/>
    </row>
    <row r="276" spans="1:14" ht="14.4" customHeight="1" x14ac:dyDescent="0.3">
      <c r="A276" s="2">
        <v>276</v>
      </c>
      <c r="B276" s="2">
        <v>1939766</v>
      </c>
      <c r="C276" s="2" t="s">
        <v>226</v>
      </c>
      <c r="D276" s="2">
        <v>88463217</v>
      </c>
      <c r="E276" s="2" t="s">
        <v>19</v>
      </c>
      <c r="F276" s="3">
        <v>45925</v>
      </c>
      <c r="G276" s="4">
        <v>23.728999999999999</v>
      </c>
      <c r="H276" s="4">
        <v>7.1189999999999998</v>
      </c>
      <c r="I276" s="4">
        <v>16.61</v>
      </c>
      <c r="J276" s="5">
        <f t="shared" si="8"/>
        <v>15.186259999999997</v>
      </c>
      <c r="K276" s="5">
        <f>Table1[[#This Row],[القيمة المطلوبة]]</f>
        <v>15.186259999999997</v>
      </c>
      <c r="L276" s="5">
        <f t="shared" si="9"/>
        <v>0</v>
      </c>
      <c r="M276" s="5"/>
      <c r="N276" s="5"/>
    </row>
    <row r="277" spans="1:14" ht="14.4" customHeight="1" x14ac:dyDescent="0.3">
      <c r="A277" s="2">
        <v>278</v>
      </c>
      <c r="B277" s="2">
        <v>1988680</v>
      </c>
      <c r="C277" s="2" t="s">
        <v>122</v>
      </c>
      <c r="D277" s="2">
        <v>86811099</v>
      </c>
      <c r="E277" s="2" t="s">
        <v>19</v>
      </c>
      <c r="F277" s="3">
        <v>45925</v>
      </c>
      <c r="G277" s="4">
        <v>23.98</v>
      </c>
      <c r="H277" s="4">
        <v>3.597</v>
      </c>
      <c r="I277" s="4">
        <v>20.382999999999999</v>
      </c>
      <c r="J277" s="5">
        <f t="shared" si="8"/>
        <v>18.944199999999999</v>
      </c>
      <c r="K277" s="5">
        <f>Table1[[#This Row],[القيمة المطلوبة]]</f>
        <v>18.944199999999999</v>
      </c>
      <c r="L277" s="5">
        <f t="shared" si="9"/>
        <v>0</v>
      </c>
      <c r="M277" s="5"/>
      <c r="N277" s="5"/>
    </row>
    <row r="278" spans="1:14" ht="14.4" customHeight="1" x14ac:dyDescent="0.3">
      <c r="A278" s="2">
        <v>279</v>
      </c>
      <c r="B278" s="2">
        <v>1988562</v>
      </c>
      <c r="C278" s="2" t="s">
        <v>227</v>
      </c>
      <c r="D278" s="2">
        <v>86812142</v>
      </c>
      <c r="E278" s="2" t="s">
        <v>15</v>
      </c>
      <c r="F278" s="3">
        <v>45925</v>
      </c>
      <c r="G278" s="4">
        <v>24.52</v>
      </c>
      <c r="H278" s="4">
        <v>3.6779999999999999</v>
      </c>
      <c r="I278" s="4">
        <v>20.841999999999999</v>
      </c>
      <c r="J278" s="5">
        <f t="shared" si="8"/>
        <v>19.370799999999999</v>
      </c>
      <c r="K278" s="5">
        <f>Table1[[#This Row],[القيمة المطلوبة]]</f>
        <v>19.370799999999999</v>
      </c>
      <c r="L278" s="5">
        <f t="shared" si="9"/>
        <v>0</v>
      </c>
      <c r="M278" s="5"/>
      <c r="N278" s="5"/>
    </row>
    <row r="279" spans="1:14" ht="14.4" customHeight="1" x14ac:dyDescent="0.3">
      <c r="A279" s="2">
        <v>277</v>
      </c>
      <c r="B279" s="2">
        <v>1876004</v>
      </c>
      <c r="C279" s="2" t="s">
        <v>80</v>
      </c>
      <c r="D279" s="2">
        <v>88579425</v>
      </c>
      <c r="E279" s="2" t="s">
        <v>15</v>
      </c>
      <c r="F279" s="3">
        <v>45925</v>
      </c>
      <c r="G279" s="4">
        <v>39.630000000000003</v>
      </c>
      <c r="H279" s="4">
        <v>7.9260000000000002</v>
      </c>
      <c r="I279" s="4">
        <v>31.704000000000001</v>
      </c>
      <c r="J279" s="5">
        <f t="shared" si="8"/>
        <v>29.3262</v>
      </c>
      <c r="K279" s="5">
        <f>Table1[[#This Row],[القيمة المطلوبة]]</f>
        <v>29.3262</v>
      </c>
      <c r="L279" s="5">
        <f t="shared" si="9"/>
        <v>0</v>
      </c>
      <c r="M279" s="5"/>
      <c r="N279" s="5"/>
    </row>
    <row r="280" spans="1:14" ht="14.4" customHeight="1" x14ac:dyDescent="0.3">
      <c r="A280" s="2">
        <v>280</v>
      </c>
      <c r="B280" s="2">
        <v>1990712</v>
      </c>
      <c r="C280" s="2" t="s">
        <v>228</v>
      </c>
      <c r="D280" s="2">
        <v>86812377</v>
      </c>
      <c r="E280" s="2" t="s">
        <v>19</v>
      </c>
      <c r="F280" s="3">
        <v>45926</v>
      </c>
      <c r="G280" s="4">
        <v>10.38</v>
      </c>
      <c r="H280" s="4">
        <v>1.5569999999999999</v>
      </c>
      <c r="I280" s="4">
        <v>8.8230000000000004</v>
      </c>
      <c r="J280" s="5">
        <f t="shared" si="8"/>
        <v>8.2002000000000006</v>
      </c>
      <c r="K280" s="5">
        <f>Table1[[#This Row],[القيمة المطلوبة]]</f>
        <v>8.2002000000000006</v>
      </c>
      <c r="L280" s="5">
        <f t="shared" si="9"/>
        <v>0</v>
      </c>
      <c r="M280" s="5"/>
      <c r="N280" s="5"/>
    </row>
    <row r="281" spans="1:14" ht="14.4" customHeight="1" x14ac:dyDescent="0.3">
      <c r="A281" s="2">
        <v>283</v>
      </c>
      <c r="B281" s="2">
        <v>2011686</v>
      </c>
      <c r="C281" s="2" t="s">
        <v>230</v>
      </c>
      <c r="D281" s="2">
        <v>88320927</v>
      </c>
      <c r="E281" s="2" t="s">
        <v>19</v>
      </c>
      <c r="F281" s="3">
        <v>45927</v>
      </c>
      <c r="G281" s="4">
        <v>25.39</v>
      </c>
      <c r="H281" s="4">
        <v>5.0780000000000003</v>
      </c>
      <c r="I281" s="4">
        <v>20.312000000000001</v>
      </c>
      <c r="J281" s="5">
        <f t="shared" si="8"/>
        <v>18.788599999999999</v>
      </c>
      <c r="K281" s="5">
        <f>Table1[[#This Row],[القيمة المطلوبة]]</f>
        <v>18.788599999999999</v>
      </c>
      <c r="L281" s="5">
        <f t="shared" si="9"/>
        <v>0</v>
      </c>
      <c r="M281" s="5"/>
      <c r="N281" s="5"/>
    </row>
    <row r="282" spans="1:14" ht="14.4" customHeight="1" x14ac:dyDescent="0.3">
      <c r="A282" s="2">
        <v>282</v>
      </c>
      <c r="B282" s="2">
        <v>1988668</v>
      </c>
      <c r="C282" s="2" t="s">
        <v>55</v>
      </c>
      <c r="D282" s="2">
        <v>86812133</v>
      </c>
      <c r="E282" s="2" t="s">
        <v>15</v>
      </c>
      <c r="F282" s="3">
        <v>45927</v>
      </c>
      <c r="G282" s="4">
        <v>34.9</v>
      </c>
      <c r="H282" s="4">
        <v>5.2350000000000003</v>
      </c>
      <c r="I282" s="4">
        <v>29.664999999999999</v>
      </c>
      <c r="J282" s="5">
        <f t="shared" si="8"/>
        <v>27.570999999999998</v>
      </c>
      <c r="K282" s="5">
        <f>Table1[[#This Row],[القيمة المطلوبة]]</f>
        <v>27.570999999999998</v>
      </c>
      <c r="L282" s="5">
        <f t="shared" si="9"/>
        <v>0</v>
      </c>
      <c r="M282" s="5"/>
      <c r="N282" s="5"/>
    </row>
    <row r="283" spans="1:14" ht="14.4" customHeight="1" x14ac:dyDescent="0.3">
      <c r="A283" s="2">
        <v>281</v>
      </c>
      <c r="B283" s="2">
        <v>1988665</v>
      </c>
      <c r="C283" s="2" t="s">
        <v>229</v>
      </c>
      <c r="D283" s="2">
        <v>86811737</v>
      </c>
      <c r="E283" s="2" t="s">
        <v>15</v>
      </c>
      <c r="F283" s="3">
        <v>45927</v>
      </c>
      <c r="G283" s="4">
        <v>54.17</v>
      </c>
      <c r="H283" s="4">
        <v>8.125</v>
      </c>
      <c r="I283" s="4">
        <v>46.045000000000002</v>
      </c>
      <c r="J283" s="5">
        <f t="shared" si="8"/>
        <v>42.794800000000002</v>
      </c>
      <c r="K283" s="5">
        <f>Table1[[#This Row],[القيمة المطلوبة]]</f>
        <v>42.794800000000002</v>
      </c>
      <c r="L283" s="5">
        <f t="shared" si="9"/>
        <v>0</v>
      </c>
      <c r="M283" s="5"/>
      <c r="N283" s="5"/>
    </row>
    <row r="284" spans="1:14" ht="14.4" customHeight="1" x14ac:dyDescent="0.3">
      <c r="A284" s="2">
        <v>284</v>
      </c>
      <c r="B284" s="2">
        <v>1902626</v>
      </c>
      <c r="C284" s="2" t="s">
        <v>231</v>
      </c>
      <c r="D284" s="2">
        <v>86116903</v>
      </c>
      <c r="E284" s="2" t="s">
        <v>15</v>
      </c>
      <c r="F284" s="3">
        <v>45928</v>
      </c>
      <c r="G284" s="4">
        <v>12.28</v>
      </c>
      <c r="H284" s="4">
        <v>2.456</v>
      </c>
      <c r="I284" s="4">
        <v>9.8239999999999998</v>
      </c>
      <c r="J284" s="5">
        <f t="shared" si="8"/>
        <v>9.0871999999999993</v>
      </c>
      <c r="K284" s="5">
        <f>Table1[[#This Row],[القيمة المطلوبة]]</f>
        <v>9.0871999999999993</v>
      </c>
      <c r="L284" s="5">
        <f t="shared" si="9"/>
        <v>0</v>
      </c>
      <c r="M284" s="5"/>
      <c r="N284" s="5"/>
    </row>
    <row r="285" spans="1:14" ht="14.4" customHeight="1" x14ac:dyDescent="0.3">
      <c r="A285" s="2">
        <v>289</v>
      </c>
      <c r="B285" s="2">
        <v>1988661</v>
      </c>
      <c r="C285" s="2" t="s">
        <v>96</v>
      </c>
      <c r="D285" s="2">
        <v>86812553</v>
      </c>
      <c r="E285" s="2" t="s">
        <v>15</v>
      </c>
      <c r="F285" s="3">
        <v>45929</v>
      </c>
      <c r="G285" s="4">
        <v>7.66</v>
      </c>
      <c r="H285" s="4">
        <v>1.149</v>
      </c>
      <c r="I285" s="4">
        <v>6.5110000000000001</v>
      </c>
      <c r="J285" s="5">
        <f t="shared" si="8"/>
        <v>6.0514000000000001</v>
      </c>
      <c r="K285" s="5">
        <f>Table1[[#This Row],[القيمة المطلوبة]]</f>
        <v>6.0514000000000001</v>
      </c>
      <c r="L285" s="5">
        <f t="shared" si="9"/>
        <v>0</v>
      </c>
      <c r="M285" s="5"/>
      <c r="N285" s="5"/>
    </row>
    <row r="286" spans="1:14" ht="14.4" customHeight="1" x14ac:dyDescent="0.3">
      <c r="A286" s="2">
        <v>287</v>
      </c>
      <c r="B286" s="2">
        <v>2011676</v>
      </c>
      <c r="C286" s="2" t="s">
        <v>232</v>
      </c>
      <c r="D286" s="2">
        <v>88322229</v>
      </c>
      <c r="E286" s="2" t="s">
        <v>15</v>
      </c>
      <c r="F286" s="3">
        <v>45929</v>
      </c>
      <c r="G286" s="4">
        <v>15.8</v>
      </c>
      <c r="H286" s="4">
        <v>3.16</v>
      </c>
      <c r="I286" s="4">
        <v>12.64</v>
      </c>
      <c r="J286" s="5">
        <f t="shared" si="8"/>
        <v>11.692</v>
      </c>
      <c r="K286" s="5">
        <f>Table1[[#This Row],[القيمة المطلوبة]]</f>
        <v>11.692</v>
      </c>
      <c r="L286" s="5">
        <f t="shared" si="9"/>
        <v>0</v>
      </c>
      <c r="M286" s="5"/>
      <c r="N286" s="5"/>
    </row>
    <row r="287" spans="1:14" ht="14.4" customHeight="1" x14ac:dyDescent="0.3">
      <c r="A287" s="2">
        <v>288</v>
      </c>
      <c r="B287" s="2">
        <v>1844471</v>
      </c>
      <c r="C287" s="2" t="s">
        <v>233</v>
      </c>
      <c r="D287" s="2">
        <v>85188072</v>
      </c>
      <c r="E287" s="2" t="s">
        <v>19</v>
      </c>
      <c r="F287" s="3">
        <v>45929</v>
      </c>
      <c r="G287" s="4">
        <v>20.8</v>
      </c>
      <c r="H287" s="4">
        <v>3.12</v>
      </c>
      <c r="I287" s="4">
        <v>17.68</v>
      </c>
      <c r="J287" s="5">
        <f t="shared" si="8"/>
        <v>16.431999999999999</v>
      </c>
      <c r="K287" s="5">
        <f>Table1[[#This Row],[القيمة المطلوبة]]</f>
        <v>16.431999999999999</v>
      </c>
      <c r="L287" s="5">
        <f t="shared" si="9"/>
        <v>0</v>
      </c>
      <c r="M287" s="5"/>
      <c r="N287" s="5"/>
    </row>
    <row r="288" spans="1:14" ht="14.4" customHeight="1" x14ac:dyDescent="0.3">
      <c r="A288" s="2">
        <v>286</v>
      </c>
      <c r="B288" s="2">
        <v>1966818</v>
      </c>
      <c r="C288" s="2" t="s">
        <v>187</v>
      </c>
      <c r="D288" s="2">
        <v>85430768</v>
      </c>
      <c r="E288" s="2" t="s">
        <v>19</v>
      </c>
      <c r="F288" s="3">
        <v>45929</v>
      </c>
      <c r="G288" s="4">
        <v>49.99</v>
      </c>
      <c r="H288" s="4">
        <v>9.9979999999999993</v>
      </c>
      <c r="I288" s="4">
        <v>39.991999999999997</v>
      </c>
      <c r="J288" s="5">
        <f t="shared" si="8"/>
        <v>36.992600000000003</v>
      </c>
      <c r="K288" s="5">
        <f>Table1[[#This Row],[القيمة المطلوبة]]</f>
        <v>36.992600000000003</v>
      </c>
      <c r="L288" s="5">
        <f t="shared" si="9"/>
        <v>0</v>
      </c>
      <c r="M288" s="5"/>
      <c r="N288" s="5"/>
    </row>
    <row r="289" spans="1:14" ht="14.4" customHeight="1" x14ac:dyDescent="0.3">
      <c r="A289" s="2">
        <v>285</v>
      </c>
      <c r="B289" s="2">
        <v>1747078</v>
      </c>
      <c r="C289" s="2" t="s">
        <v>58</v>
      </c>
      <c r="D289" s="2">
        <v>87483460</v>
      </c>
      <c r="E289" s="2" t="s">
        <v>15</v>
      </c>
      <c r="F289" s="3">
        <v>45929</v>
      </c>
      <c r="G289" s="4">
        <v>49.99</v>
      </c>
      <c r="H289" s="4">
        <v>7.4980000000000002</v>
      </c>
      <c r="I289" s="4">
        <v>42.491999999999997</v>
      </c>
      <c r="J289" s="5">
        <f t="shared" si="8"/>
        <v>39.492600000000003</v>
      </c>
      <c r="K289" s="5">
        <f>Table1[[#This Row],[القيمة المطلوبة]]</f>
        <v>39.492600000000003</v>
      </c>
      <c r="L289" s="5">
        <f t="shared" si="9"/>
        <v>0</v>
      </c>
      <c r="M289" s="5"/>
      <c r="N289" s="5"/>
    </row>
    <row r="290" spans="1:14" ht="14.4" customHeight="1" x14ac:dyDescent="0.3">
      <c r="A290" s="2">
        <v>292</v>
      </c>
      <c r="B290" s="2">
        <v>1988709</v>
      </c>
      <c r="C290" s="2" t="s">
        <v>237</v>
      </c>
      <c r="D290" s="2">
        <v>86812306</v>
      </c>
      <c r="E290" s="2" t="s">
        <v>15</v>
      </c>
      <c r="F290" s="3">
        <v>45931</v>
      </c>
      <c r="G290" s="4">
        <v>19.059999999999999</v>
      </c>
      <c r="H290" s="4">
        <v>2.859</v>
      </c>
      <c r="I290" s="4">
        <v>16.201000000000001</v>
      </c>
      <c r="J290" s="5">
        <f t="shared" si="8"/>
        <v>15.057399999999999</v>
      </c>
      <c r="K290" s="5">
        <f>Table1[[#This Row],[القيمة المطلوبة]]</f>
        <v>15.057399999999999</v>
      </c>
      <c r="L290" s="5">
        <f t="shared" si="9"/>
        <v>0</v>
      </c>
      <c r="M290" s="5"/>
      <c r="N290" s="5"/>
    </row>
    <row r="291" spans="1:14" ht="14.4" customHeight="1" x14ac:dyDescent="0.3">
      <c r="A291" s="2">
        <v>291</v>
      </c>
      <c r="B291" s="2">
        <v>1988710</v>
      </c>
      <c r="C291" s="2" t="s">
        <v>236</v>
      </c>
      <c r="D291" s="2">
        <v>86812344</v>
      </c>
      <c r="E291" s="2" t="s">
        <v>15</v>
      </c>
      <c r="F291" s="3">
        <v>45931</v>
      </c>
      <c r="G291" s="4">
        <v>20.149999999999999</v>
      </c>
      <c r="H291" s="4">
        <v>3.0219999999999998</v>
      </c>
      <c r="I291" s="4">
        <v>17.128</v>
      </c>
      <c r="J291" s="5">
        <f t="shared" si="8"/>
        <v>15.918999999999999</v>
      </c>
      <c r="K291" s="5">
        <f>Table1[[#This Row],[القيمة المطلوبة]]</f>
        <v>15.918999999999999</v>
      </c>
      <c r="L291" s="5">
        <f t="shared" si="9"/>
        <v>0</v>
      </c>
      <c r="M291" s="5"/>
      <c r="N291" s="5"/>
    </row>
    <row r="292" spans="1:14" ht="14.4" customHeight="1" x14ac:dyDescent="0.3">
      <c r="A292" s="2">
        <v>290</v>
      </c>
      <c r="B292" s="2">
        <v>2011608</v>
      </c>
      <c r="C292" s="2" t="s">
        <v>235</v>
      </c>
      <c r="D292" s="2">
        <v>88320799</v>
      </c>
      <c r="E292" s="2" t="s">
        <v>19</v>
      </c>
      <c r="F292" s="3">
        <v>45931</v>
      </c>
      <c r="G292" s="4">
        <v>43.27</v>
      </c>
      <c r="H292" s="4">
        <v>8.6539999999999999</v>
      </c>
      <c r="I292" s="4">
        <v>34.616</v>
      </c>
      <c r="J292" s="5">
        <f t="shared" si="8"/>
        <v>32.019800000000004</v>
      </c>
      <c r="K292" s="5">
        <f>Table1[[#This Row],[القيمة المطلوبة]]</f>
        <v>32.019800000000004</v>
      </c>
      <c r="L292" s="5">
        <f t="shared" si="9"/>
        <v>0</v>
      </c>
      <c r="M292" s="5"/>
      <c r="N292" s="5"/>
    </row>
    <row r="293" spans="1:14" ht="14.4" customHeight="1" x14ac:dyDescent="0.3">
      <c r="A293" s="2">
        <v>293</v>
      </c>
      <c r="B293" s="2">
        <v>1988708</v>
      </c>
      <c r="C293" s="2" t="s">
        <v>234</v>
      </c>
      <c r="D293" s="2">
        <v>86813064</v>
      </c>
      <c r="E293" s="2" t="s">
        <v>15</v>
      </c>
      <c r="F293" s="3">
        <v>45931</v>
      </c>
      <c r="G293" s="4">
        <v>91.78</v>
      </c>
      <c r="H293" s="4">
        <v>13.766999999999999</v>
      </c>
      <c r="I293" s="4">
        <v>78.013000000000005</v>
      </c>
      <c r="J293" s="5">
        <f t="shared" si="8"/>
        <v>72.506200000000007</v>
      </c>
      <c r="K293" s="5">
        <f>Table1[[#This Row],[القيمة المطلوبة]]</f>
        <v>72.506200000000007</v>
      </c>
      <c r="L293" s="5">
        <f t="shared" si="9"/>
        <v>0</v>
      </c>
      <c r="M293" s="5"/>
      <c r="N293" s="5"/>
    </row>
    <row r="294" spans="1:14" ht="14.4" customHeight="1" x14ac:dyDescent="0.3">
      <c r="A294" s="2">
        <v>295</v>
      </c>
      <c r="B294" s="2">
        <v>1772245</v>
      </c>
      <c r="C294" s="2" t="s">
        <v>239</v>
      </c>
      <c r="D294" s="2">
        <v>86680677</v>
      </c>
      <c r="E294" s="2" t="s">
        <v>15</v>
      </c>
      <c r="F294" s="3">
        <v>45934</v>
      </c>
      <c r="G294" s="4">
        <v>14.78</v>
      </c>
      <c r="H294" s="4">
        <v>2.2170000000000001</v>
      </c>
      <c r="I294" s="4">
        <v>12.563000000000001</v>
      </c>
      <c r="J294" s="5">
        <f t="shared" si="8"/>
        <v>11.676199999999998</v>
      </c>
      <c r="K294" s="5">
        <f>Table1[[#This Row],[القيمة المطلوبة]]</f>
        <v>11.676199999999998</v>
      </c>
      <c r="L294" s="5">
        <f t="shared" si="9"/>
        <v>0</v>
      </c>
      <c r="M294" s="5"/>
      <c r="N294" s="5"/>
    </row>
    <row r="295" spans="1:14" ht="14.4" customHeight="1" x14ac:dyDescent="0.3">
      <c r="A295" s="2">
        <v>294</v>
      </c>
      <c r="B295" s="2">
        <v>1988568</v>
      </c>
      <c r="C295" s="2" t="s">
        <v>238</v>
      </c>
      <c r="D295" s="2">
        <v>86812868</v>
      </c>
      <c r="E295" s="2" t="s">
        <v>15</v>
      </c>
      <c r="F295" s="3">
        <v>45934</v>
      </c>
      <c r="G295" s="4">
        <v>16.940000000000001</v>
      </c>
      <c r="H295" s="4">
        <v>2.5409999999999999</v>
      </c>
      <c r="I295" s="4">
        <v>14.398999999999999</v>
      </c>
      <c r="J295" s="5">
        <f t="shared" si="8"/>
        <v>13.3826</v>
      </c>
      <c r="K295" s="5">
        <f>Table1[[#This Row],[القيمة المطلوبة]]</f>
        <v>13.3826</v>
      </c>
      <c r="L295" s="5">
        <f t="shared" si="9"/>
        <v>0</v>
      </c>
      <c r="M295" s="5"/>
      <c r="N295" s="5"/>
    </row>
    <row r="296" spans="1:14" ht="14.4" customHeight="1" x14ac:dyDescent="0.3">
      <c r="A296" s="2">
        <v>296</v>
      </c>
      <c r="B296" s="2">
        <v>1988796</v>
      </c>
      <c r="C296" s="2" t="s">
        <v>43</v>
      </c>
      <c r="D296" s="2">
        <v>86815273</v>
      </c>
      <c r="E296" s="2" t="s">
        <v>19</v>
      </c>
      <c r="F296" s="3">
        <v>45935</v>
      </c>
      <c r="G296" s="4">
        <v>27.94</v>
      </c>
      <c r="H296" s="4">
        <v>4.1909999999999998</v>
      </c>
      <c r="I296" s="4">
        <v>23.748999999999999</v>
      </c>
      <c r="J296" s="5">
        <f t="shared" si="8"/>
        <v>22.072600000000001</v>
      </c>
      <c r="K296" s="5">
        <f>Table1[[#This Row],[القيمة المطلوبة]]</f>
        <v>22.072600000000001</v>
      </c>
      <c r="L296" s="5">
        <f t="shared" si="9"/>
        <v>0</v>
      </c>
      <c r="M296" s="5"/>
      <c r="N296" s="5"/>
    </row>
    <row r="297" spans="1:14" ht="14.4" customHeight="1" x14ac:dyDescent="0.3">
      <c r="A297" s="2">
        <v>297</v>
      </c>
      <c r="B297" s="2">
        <v>1988697</v>
      </c>
      <c r="C297" s="2" t="s">
        <v>35</v>
      </c>
      <c r="D297" s="2">
        <v>86811214</v>
      </c>
      <c r="E297" s="2" t="s">
        <v>19</v>
      </c>
      <c r="F297" s="3">
        <v>45936</v>
      </c>
      <c r="G297" s="4">
        <v>51.11</v>
      </c>
      <c r="H297" s="4">
        <v>7.6660000000000004</v>
      </c>
      <c r="I297" s="4">
        <v>43.444000000000003</v>
      </c>
      <c r="J297" s="5">
        <f t="shared" si="8"/>
        <v>40.377399999999994</v>
      </c>
      <c r="K297" s="5">
        <f>Table1[[#This Row],[القيمة المطلوبة]]</f>
        <v>40.377399999999994</v>
      </c>
      <c r="L297" s="5">
        <f t="shared" si="9"/>
        <v>0</v>
      </c>
      <c r="M297" s="5"/>
      <c r="N297" s="5"/>
    </row>
    <row r="298" spans="1:14" ht="14.4" customHeight="1" x14ac:dyDescent="0.3">
      <c r="A298" s="2">
        <v>298</v>
      </c>
      <c r="B298" s="2">
        <v>1970946</v>
      </c>
      <c r="C298" s="2" t="s">
        <v>132</v>
      </c>
      <c r="D298" s="2">
        <v>85831876</v>
      </c>
      <c r="E298" s="2" t="s">
        <v>19</v>
      </c>
      <c r="F298" s="3">
        <v>45936</v>
      </c>
      <c r="G298" s="4">
        <v>77.41</v>
      </c>
      <c r="H298" s="4">
        <v>7.7409999999999997</v>
      </c>
      <c r="I298" s="4">
        <v>69.668999999999997</v>
      </c>
      <c r="J298" s="5">
        <f t="shared" si="8"/>
        <v>65.0244</v>
      </c>
      <c r="K298" s="5">
        <f>Table1[[#This Row],[القيمة المطلوبة]]</f>
        <v>65.0244</v>
      </c>
      <c r="L298" s="5">
        <f t="shared" si="9"/>
        <v>0</v>
      </c>
      <c r="M298" s="5"/>
      <c r="N298" s="5"/>
    </row>
    <row r="299" spans="1:14" ht="14.4" customHeight="1" x14ac:dyDescent="0.3">
      <c r="A299" s="2">
        <v>299</v>
      </c>
      <c r="B299" s="2">
        <v>1988853</v>
      </c>
      <c r="C299" s="2" t="s">
        <v>241</v>
      </c>
      <c r="D299" s="2">
        <v>86815137</v>
      </c>
      <c r="E299" s="2" t="s">
        <v>19</v>
      </c>
      <c r="F299" s="3">
        <v>45937</v>
      </c>
      <c r="G299" s="4">
        <v>17.12</v>
      </c>
      <c r="H299" s="4">
        <v>2.5680000000000001</v>
      </c>
      <c r="I299" s="4">
        <v>14.552</v>
      </c>
      <c r="J299" s="5">
        <f t="shared" si="8"/>
        <v>13.524800000000001</v>
      </c>
      <c r="K299" s="5">
        <f>Table1[[#This Row],[القيمة المطلوبة]]</f>
        <v>13.524800000000001</v>
      </c>
      <c r="L299" s="5">
        <f t="shared" si="9"/>
        <v>0</v>
      </c>
      <c r="M299" s="5"/>
      <c r="N299" s="5"/>
    </row>
    <row r="300" spans="1:14" ht="14.4" customHeight="1" x14ac:dyDescent="0.3">
      <c r="A300" s="2">
        <v>301</v>
      </c>
      <c r="B300" s="2">
        <v>794217</v>
      </c>
      <c r="C300" s="2" t="s">
        <v>137</v>
      </c>
      <c r="D300" s="2">
        <v>86414695</v>
      </c>
      <c r="E300" s="2" t="s">
        <v>15</v>
      </c>
      <c r="F300" s="3">
        <v>45937</v>
      </c>
      <c r="G300" s="4">
        <v>36.32</v>
      </c>
      <c r="H300" s="4">
        <v>3.6320000000000001</v>
      </c>
      <c r="I300" s="4">
        <v>32.688000000000002</v>
      </c>
      <c r="J300" s="5">
        <f t="shared" si="8"/>
        <v>30.508799999999997</v>
      </c>
      <c r="K300" s="5">
        <f>Table1[[#This Row],[القيمة المطلوبة]]</f>
        <v>30.508799999999997</v>
      </c>
      <c r="L300" s="5">
        <f t="shared" si="9"/>
        <v>0</v>
      </c>
      <c r="M300" s="5"/>
      <c r="N300" s="5"/>
    </row>
    <row r="301" spans="1:14" ht="14.4" customHeight="1" x14ac:dyDescent="0.3">
      <c r="A301" s="2">
        <v>300</v>
      </c>
      <c r="B301" s="2">
        <v>1988565</v>
      </c>
      <c r="C301" s="2" t="s">
        <v>240</v>
      </c>
      <c r="D301" s="2">
        <v>86815074</v>
      </c>
      <c r="E301" s="2" t="s">
        <v>19</v>
      </c>
      <c r="F301" s="3">
        <v>45937</v>
      </c>
      <c r="G301" s="4">
        <v>42.88</v>
      </c>
      <c r="H301" s="4">
        <v>6.4320000000000004</v>
      </c>
      <c r="I301" s="4">
        <v>36.448</v>
      </c>
      <c r="J301" s="5">
        <f t="shared" si="8"/>
        <v>33.8752</v>
      </c>
      <c r="K301" s="5">
        <f>Table1[[#This Row],[القيمة المطلوبة]]</f>
        <v>33.8752</v>
      </c>
      <c r="L301" s="5">
        <f t="shared" si="9"/>
        <v>0</v>
      </c>
      <c r="M301" s="5"/>
      <c r="N301" s="5"/>
    </row>
    <row r="302" spans="1:14" ht="14.4" customHeight="1" x14ac:dyDescent="0.3">
      <c r="A302" s="2">
        <v>302</v>
      </c>
      <c r="B302" s="2">
        <v>1862236</v>
      </c>
      <c r="C302" s="2" t="s">
        <v>242</v>
      </c>
      <c r="D302" s="2">
        <v>87312737</v>
      </c>
      <c r="E302" s="2" t="s">
        <v>15</v>
      </c>
      <c r="F302" s="3">
        <v>45942</v>
      </c>
      <c r="G302" s="4">
        <v>15.73</v>
      </c>
      <c r="H302" s="4">
        <v>0</v>
      </c>
      <c r="I302" s="4">
        <v>15.73</v>
      </c>
      <c r="J302" s="5">
        <f t="shared" si="8"/>
        <v>14.786199999999999</v>
      </c>
      <c r="K302" s="5">
        <f>Table1[[#This Row],[القيمة المطلوبة]]</f>
        <v>14.786199999999999</v>
      </c>
      <c r="L302" s="5">
        <f t="shared" si="9"/>
        <v>0</v>
      </c>
      <c r="M302" s="5"/>
      <c r="N302" s="5"/>
    </row>
    <row r="303" spans="1:14" ht="14.4" customHeight="1" x14ac:dyDescent="0.3">
      <c r="A303" s="2">
        <v>303</v>
      </c>
      <c r="B303" s="2">
        <v>1862234</v>
      </c>
      <c r="C303" s="2" t="s">
        <v>165</v>
      </c>
      <c r="D303" s="2">
        <v>87312735</v>
      </c>
      <c r="E303" s="2" t="s">
        <v>19</v>
      </c>
      <c r="F303" s="3">
        <v>45942</v>
      </c>
      <c r="G303" s="4">
        <v>52.44</v>
      </c>
      <c r="H303" s="4">
        <v>0</v>
      </c>
      <c r="I303" s="4">
        <v>52.44</v>
      </c>
      <c r="J303" s="5">
        <f t="shared" si="8"/>
        <v>49.293599999999998</v>
      </c>
      <c r="K303" s="5">
        <f>Table1[[#This Row],[القيمة المطلوبة]]</f>
        <v>49.293599999999998</v>
      </c>
      <c r="L303" s="5">
        <f t="shared" si="9"/>
        <v>0</v>
      </c>
      <c r="M303" s="5"/>
      <c r="N303" s="5"/>
    </row>
    <row r="304" spans="1:14" ht="14.4" customHeight="1" x14ac:dyDescent="0.3">
      <c r="A304" s="2">
        <v>305</v>
      </c>
      <c r="B304" s="2">
        <v>1988686</v>
      </c>
      <c r="C304" s="2" t="s">
        <v>243</v>
      </c>
      <c r="D304" s="2">
        <v>86811102</v>
      </c>
      <c r="E304" s="2" t="s">
        <v>19</v>
      </c>
      <c r="F304" s="3">
        <v>45943</v>
      </c>
      <c r="G304" s="4">
        <v>12.88</v>
      </c>
      <c r="H304" s="4">
        <v>1.9319999999999999</v>
      </c>
      <c r="I304" s="4">
        <v>10.948</v>
      </c>
      <c r="J304" s="5">
        <f t="shared" si="8"/>
        <v>10.1752</v>
      </c>
      <c r="K304" s="5">
        <f>Table1[[#This Row],[القيمة المطلوبة]]</f>
        <v>10.1752</v>
      </c>
      <c r="L304" s="5">
        <f t="shared" si="9"/>
        <v>0</v>
      </c>
      <c r="M304" s="5"/>
      <c r="N304" s="5"/>
    </row>
    <row r="305" spans="1:14" ht="14.4" customHeight="1" x14ac:dyDescent="0.3">
      <c r="A305" s="2">
        <v>304</v>
      </c>
      <c r="B305" s="2">
        <v>1988681</v>
      </c>
      <c r="C305" s="2" t="s">
        <v>76</v>
      </c>
      <c r="D305" s="2">
        <v>86813023</v>
      </c>
      <c r="E305" s="2" t="s">
        <v>15</v>
      </c>
      <c r="F305" s="3">
        <v>45943</v>
      </c>
      <c r="G305" s="4">
        <v>28.17</v>
      </c>
      <c r="H305" s="4">
        <v>4.2249999999999996</v>
      </c>
      <c r="I305" s="4">
        <v>23.945</v>
      </c>
      <c r="J305" s="5">
        <f t="shared" si="8"/>
        <v>22.254800000000003</v>
      </c>
      <c r="K305" s="5">
        <f>Table1[[#This Row],[القيمة المطلوبة]]</f>
        <v>22.254800000000003</v>
      </c>
      <c r="L305" s="5">
        <f t="shared" si="9"/>
        <v>0</v>
      </c>
      <c r="M305" s="5"/>
      <c r="N305" s="5"/>
    </row>
    <row r="306" spans="1:14" ht="14.4" customHeight="1" x14ac:dyDescent="0.3">
      <c r="A306" s="2">
        <v>306</v>
      </c>
      <c r="B306" s="2">
        <v>1988632</v>
      </c>
      <c r="C306" s="2" t="s">
        <v>244</v>
      </c>
      <c r="D306" s="2">
        <v>86811772</v>
      </c>
      <c r="E306" s="2" t="s">
        <v>15</v>
      </c>
      <c r="F306" s="3">
        <v>45944</v>
      </c>
      <c r="G306" s="4">
        <v>44.19</v>
      </c>
      <c r="H306" s="4">
        <v>6.6280000000000001</v>
      </c>
      <c r="I306" s="4">
        <v>37.561999999999998</v>
      </c>
      <c r="J306" s="5">
        <f t="shared" si="8"/>
        <v>34.910599999999995</v>
      </c>
      <c r="K306" s="5">
        <f>Table1[[#This Row],[القيمة المطلوبة]]</f>
        <v>34.910599999999995</v>
      </c>
      <c r="L306" s="5">
        <f t="shared" si="9"/>
        <v>0</v>
      </c>
      <c r="M306" s="5"/>
      <c r="N306" s="5"/>
    </row>
    <row r="307" spans="1:14" ht="14.4" customHeight="1" x14ac:dyDescent="0.3">
      <c r="A307" s="2">
        <v>307</v>
      </c>
      <c r="B307" s="2">
        <v>1988623</v>
      </c>
      <c r="C307" s="2" t="s">
        <v>159</v>
      </c>
      <c r="D307" s="2">
        <v>86812287</v>
      </c>
      <c r="E307" s="2" t="s">
        <v>15</v>
      </c>
      <c r="F307" s="3">
        <v>45945</v>
      </c>
      <c r="G307" s="4">
        <v>10.58</v>
      </c>
      <c r="H307" s="4">
        <v>1.587</v>
      </c>
      <c r="I307" s="4">
        <v>8.9930000000000003</v>
      </c>
      <c r="J307" s="5">
        <f t="shared" si="8"/>
        <v>8.3582000000000001</v>
      </c>
      <c r="K307" s="5">
        <f>Table1[[#This Row],[القيمة المطلوبة]]</f>
        <v>8.3582000000000001</v>
      </c>
      <c r="L307" s="5">
        <f t="shared" si="9"/>
        <v>0</v>
      </c>
      <c r="M307" s="5"/>
      <c r="N307" s="5"/>
    </row>
    <row r="308" spans="1:14" ht="14.4" customHeight="1" x14ac:dyDescent="0.3">
      <c r="A308" s="2">
        <v>308</v>
      </c>
      <c r="B308" s="2">
        <v>1990710</v>
      </c>
      <c r="C308" s="2" t="s">
        <v>135</v>
      </c>
      <c r="D308" s="2">
        <v>86812490</v>
      </c>
      <c r="E308" s="2" t="s">
        <v>15</v>
      </c>
      <c r="F308" s="3">
        <v>45945</v>
      </c>
      <c r="G308" s="4">
        <v>10.96</v>
      </c>
      <c r="H308" s="4">
        <v>1.6439999999999999</v>
      </c>
      <c r="I308" s="4">
        <v>9.3160000000000007</v>
      </c>
      <c r="J308" s="5">
        <f t="shared" si="8"/>
        <v>8.6584000000000003</v>
      </c>
      <c r="K308" s="5">
        <f>Table1[[#This Row],[القيمة المطلوبة]]</f>
        <v>8.6584000000000003</v>
      </c>
      <c r="L308" s="5">
        <f t="shared" si="9"/>
        <v>0</v>
      </c>
      <c r="M308" s="5"/>
      <c r="N308" s="5"/>
    </row>
    <row r="309" spans="1:14" ht="14.4" customHeight="1" x14ac:dyDescent="0.3">
      <c r="A309" s="2">
        <v>309</v>
      </c>
      <c r="B309" s="2">
        <v>1963874</v>
      </c>
      <c r="C309" s="2" t="s">
        <v>208</v>
      </c>
      <c r="D309" s="2">
        <v>85565726</v>
      </c>
      <c r="E309" s="2" t="s">
        <v>19</v>
      </c>
      <c r="F309" s="3">
        <v>45945</v>
      </c>
      <c r="G309" s="4">
        <v>83.05</v>
      </c>
      <c r="H309" s="4">
        <v>0</v>
      </c>
      <c r="I309" s="4">
        <v>83.05</v>
      </c>
      <c r="J309" s="5">
        <f t="shared" si="8"/>
        <v>78.066999999999993</v>
      </c>
      <c r="K309" s="5">
        <f>Table1[[#This Row],[القيمة المطلوبة]]</f>
        <v>78.066999999999993</v>
      </c>
      <c r="L309" s="5">
        <f t="shared" si="9"/>
        <v>0</v>
      </c>
      <c r="M309" s="5"/>
      <c r="N309" s="5"/>
    </row>
    <row r="310" spans="1:14" ht="14.4" customHeight="1" x14ac:dyDescent="0.3">
      <c r="A310" s="2">
        <v>312</v>
      </c>
      <c r="B310" s="2">
        <v>1988710</v>
      </c>
      <c r="C310" s="2" t="s">
        <v>246</v>
      </c>
      <c r="D310" s="2">
        <v>86812632</v>
      </c>
      <c r="E310" s="2" t="s">
        <v>15</v>
      </c>
      <c r="F310" s="3">
        <v>45946</v>
      </c>
      <c r="G310" s="4">
        <v>10.56</v>
      </c>
      <c r="H310" s="4">
        <v>1.5840000000000001</v>
      </c>
      <c r="I310" s="4">
        <v>8.9760000000000009</v>
      </c>
      <c r="J310" s="5">
        <f t="shared" si="8"/>
        <v>8.3423999999999996</v>
      </c>
      <c r="K310" s="5">
        <f>Table1[[#This Row],[القيمة المطلوبة]]</f>
        <v>8.3423999999999996</v>
      </c>
      <c r="L310" s="5">
        <f t="shared" si="9"/>
        <v>0</v>
      </c>
      <c r="M310" s="5"/>
      <c r="N310" s="5"/>
    </row>
    <row r="311" spans="1:14" ht="14.4" customHeight="1" x14ac:dyDescent="0.3">
      <c r="A311" s="2">
        <v>310</v>
      </c>
      <c r="B311" s="2">
        <v>1988552</v>
      </c>
      <c r="C311" s="2" t="s">
        <v>245</v>
      </c>
      <c r="D311" s="2">
        <v>86810937</v>
      </c>
      <c r="E311" s="2" t="s">
        <v>19</v>
      </c>
      <c r="F311" s="3">
        <v>45946</v>
      </c>
      <c r="G311" s="4">
        <v>19.41</v>
      </c>
      <c r="H311" s="4">
        <v>2.911</v>
      </c>
      <c r="I311" s="4">
        <v>16.498999999999999</v>
      </c>
      <c r="J311" s="5">
        <f t="shared" si="8"/>
        <v>15.3344</v>
      </c>
      <c r="K311" s="5">
        <f>Table1[[#This Row],[القيمة المطلوبة]]</f>
        <v>15.3344</v>
      </c>
      <c r="L311" s="5">
        <f t="shared" si="9"/>
        <v>0</v>
      </c>
      <c r="M311" s="5"/>
      <c r="N311" s="5"/>
    </row>
    <row r="312" spans="1:14" ht="14.4" customHeight="1" x14ac:dyDescent="0.3">
      <c r="A312" s="2">
        <v>311</v>
      </c>
      <c r="B312" s="2">
        <v>1988713</v>
      </c>
      <c r="C312" s="2" t="s">
        <v>33</v>
      </c>
      <c r="D312" s="2">
        <v>86815252</v>
      </c>
      <c r="E312" s="2" t="s">
        <v>19</v>
      </c>
      <c r="F312" s="3">
        <v>45946</v>
      </c>
      <c r="G312" s="4">
        <v>25.72</v>
      </c>
      <c r="H312" s="4">
        <v>3.8580000000000001</v>
      </c>
      <c r="I312" s="4">
        <v>21.861999999999998</v>
      </c>
      <c r="J312" s="5">
        <f t="shared" si="8"/>
        <v>20.318799999999996</v>
      </c>
      <c r="K312" s="5">
        <f>Table1[[#This Row],[القيمة المطلوبة]]</f>
        <v>20.318799999999996</v>
      </c>
      <c r="L312" s="5">
        <f t="shared" si="9"/>
        <v>0</v>
      </c>
      <c r="M312" s="5"/>
      <c r="N312" s="5"/>
    </row>
    <row r="313" spans="1:14" ht="14.4" customHeight="1" x14ac:dyDescent="0.3">
      <c r="A313" s="2">
        <v>314</v>
      </c>
      <c r="B313" s="2">
        <v>1988658</v>
      </c>
      <c r="C313" s="2" t="s">
        <v>222</v>
      </c>
      <c r="D313" s="2">
        <v>86812559</v>
      </c>
      <c r="E313" s="2" t="s">
        <v>15</v>
      </c>
      <c r="F313" s="3">
        <v>45948</v>
      </c>
      <c r="G313" s="4">
        <v>18.64</v>
      </c>
      <c r="H313" s="4">
        <v>2.7959999999999998</v>
      </c>
      <c r="I313" s="4">
        <v>15.843999999999999</v>
      </c>
      <c r="J313" s="5">
        <f t="shared" si="8"/>
        <v>14.7256</v>
      </c>
      <c r="K313" s="5">
        <f>Table1[[#This Row],[القيمة المطلوبة]]</f>
        <v>14.7256</v>
      </c>
      <c r="L313" s="5">
        <f t="shared" si="9"/>
        <v>0</v>
      </c>
      <c r="M313" s="5"/>
      <c r="N313" s="5"/>
    </row>
    <row r="314" spans="1:14" ht="14.4" customHeight="1" x14ac:dyDescent="0.3">
      <c r="A314" s="2">
        <v>313</v>
      </c>
      <c r="B314" s="2">
        <v>1988669</v>
      </c>
      <c r="C314" s="2" t="s">
        <v>39</v>
      </c>
      <c r="D314" s="2">
        <v>86811094</v>
      </c>
      <c r="E314" s="2" t="s">
        <v>19</v>
      </c>
      <c r="F314" s="3">
        <v>45948</v>
      </c>
      <c r="G314" s="4">
        <v>35.57</v>
      </c>
      <c r="H314" s="4">
        <v>5.335</v>
      </c>
      <c r="I314" s="4">
        <v>30.234999999999999</v>
      </c>
      <c r="J314" s="5">
        <f t="shared" si="8"/>
        <v>28.1008</v>
      </c>
      <c r="K314" s="5">
        <f>Table1[[#This Row],[القيمة المطلوبة]]</f>
        <v>28.1008</v>
      </c>
      <c r="L314" s="5">
        <f t="shared" si="9"/>
        <v>0</v>
      </c>
      <c r="M314" s="5"/>
      <c r="N314" s="5"/>
    </row>
    <row r="315" spans="1:14" ht="14.4" customHeight="1" x14ac:dyDescent="0.3">
      <c r="A315" s="2">
        <v>316</v>
      </c>
      <c r="B315" s="2">
        <v>1988709</v>
      </c>
      <c r="C315" s="2" t="s">
        <v>248</v>
      </c>
      <c r="D315" s="2">
        <v>86812307</v>
      </c>
      <c r="E315" s="2" t="s">
        <v>15</v>
      </c>
      <c r="F315" s="3">
        <v>45949</v>
      </c>
      <c r="G315" s="4">
        <v>46.6</v>
      </c>
      <c r="H315" s="4">
        <v>6.99</v>
      </c>
      <c r="I315" s="4">
        <v>39.61</v>
      </c>
      <c r="J315" s="5">
        <f t="shared" si="8"/>
        <v>36.814</v>
      </c>
      <c r="K315" s="5">
        <f>Table1[[#This Row],[القيمة المطلوبة]]</f>
        <v>36.814</v>
      </c>
      <c r="L315" s="5">
        <f t="shared" si="9"/>
        <v>0</v>
      </c>
      <c r="M315" s="5"/>
      <c r="N315" s="5"/>
    </row>
    <row r="316" spans="1:14" ht="14.4" customHeight="1" x14ac:dyDescent="0.3">
      <c r="A316" s="2">
        <v>315</v>
      </c>
      <c r="B316" s="2">
        <v>2011696</v>
      </c>
      <c r="C316" s="2" t="s">
        <v>247</v>
      </c>
      <c r="D316" s="2">
        <v>88320943</v>
      </c>
      <c r="E316" s="2" t="s">
        <v>15</v>
      </c>
      <c r="F316" s="3">
        <v>45949</v>
      </c>
      <c r="G316" s="4">
        <v>70.91</v>
      </c>
      <c r="H316" s="4">
        <v>14.182</v>
      </c>
      <c r="I316" s="4">
        <v>56.728000000000002</v>
      </c>
      <c r="J316" s="5">
        <f t="shared" si="8"/>
        <v>52.473399999999984</v>
      </c>
      <c r="K316" s="5">
        <f>Table1[[#This Row],[القيمة المطلوبة]]</f>
        <v>52.473399999999984</v>
      </c>
      <c r="L316" s="5">
        <f t="shared" si="9"/>
        <v>0</v>
      </c>
      <c r="M316" s="5"/>
      <c r="N316" s="5"/>
    </row>
    <row r="317" spans="1:14" ht="14.4" customHeight="1" x14ac:dyDescent="0.3">
      <c r="A317" s="2">
        <v>317</v>
      </c>
      <c r="B317" s="2">
        <v>1876018</v>
      </c>
      <c r="C317" s="2" t="s">
        <v>249</v>
      </c>
      <c r="D317" s="2">
        <v>88579497</v>
      </c>
      <c r="E317" s="2" t="s">
        <v>19</v>
      </c>
      <c r="F317" s="3">
        <v>45951</v>
      </c>
      <c r="G317" s="4">
        <v>60.28</v>
      </c>
      <c r="H317" s="4">
        <v>12.055999999999999</v>
      </c>
      <c r="I317" s="4">
        <v>48.223999999999997</v>
      </c>
      <c r="J317" s="5">
        <f t="shared" si="8"/>
        <v>44.607199999999999</v>
      </c>
      <c r="K317" s="5">
        <f>Table1[[#This Row],[القيمة المطلوبة]]</f>
        <v>44.607199999999999</v>
      </c>
      <c r="L317" s="5">
        <f t="shared" si="9"/>
        <v>0</v>
      </c>
      <c r="M317" s="5"/>
      <c r="N317" s="5"/>
    </row>
    <row r="318" spans="1:14" ht="14.4" customHeight="1" x14ac:dyDescent="0.3">
      <c r="A318" s="2">
        <v>319</v>
      </c>
      <c r="B318" s="2">
        <v>1904564</v>
      </c>
      <c r="C318" s="2" t="s">
        <v>71</v>
      </c>
      <c r="D318" s="2">
        <v>85423151</v>
      </c>
      <c r="E318" s="2" t="s">
        <v>15</v>
      </c>
      <c r="F318" s="3">
        <v>45952</v>
      </c>
      <c r="G318" s="4">
        <v>21.08</v>
      </c>
      <c r="H318" s="4">
        <v>4.2160000000000002</v>
      </c>
      <c r="I318" s="4">
        <v>16.864000000000001</v>
      </c>
      <c r="J318" s="5">
        <f t="shared" si="8"/>
        <v>15.599199999999996</v>
      </c>
      <c r="K318" s="5">
        <f>Table1[[#This Row],[القيمة المطلوبة]]</f>
        <v>15.599199999999996</v>
      </c>
      <c r="L318" s="5">
        <f t="shared" si="9"/>
        <v>0</v>
      </c>
      <c r="M318" s="5"/>
      <c r="N318" s="5"/>
    </row>
    <row r="319" spans="1:14" ht="14.4" customHeight="1" x14ac:dyDescent="0.3">
      <c r="A319" s="2">
        <v>318</v>
      </c>
      <c r="B319" s="2">
        <v>1849233</v>
      </c>
      <c r="C319" s="2" t="s">
        <v>77</v>
      </c>
      <c r="D319" s="2">
        <v>86863531</v>
      </c>
      <c r="E319" s="2" t="s">
        <v>19</v>
      </c>
      <c r="F319" s="3">
        <v>45952</v>
      </c>
      <c r="G319" s="4">
        <v>36.93</v>
      </c>
      <c r="H319" s="4">
        <v>8.125</v>
      </c>
      <c r="I319" s="4">
        <v>28.805</v>
      </c>
      <c r="J319" s="5">
        <f t="shared" si="8"/>
        <v>26.589199999999998</v>
      </c>
      <c r="K319" s="5">
        <f>Table1[[#This Row],[القيمة المطلوبة]]</f>
        <v>26.589199999999998</v>
      </c>
      <c r="L319" s="5">
        <f t="shared" si="9"/>
        <v>0</v>
      </c>
      <c r="M319" s="5"/>
      <c r="N319" s="5"/>
    </row>
    <row r="320" spans="1:14" ht="14.4" customHeight="1" x14ac:dyDescent="0.3">
      <c r="A320" s="2">
        <v>320</v>
      </c>
      <c r="B320" s="2">
        <v>1833947</v>
      </c>
      <c r="C320" s="2" t="s">
        <v>59</v>
      </c>
      <c r="D320" s="2">
        <v>85423171</v>
      </c>
      <c r="E320" s="2" t="s">
        <v>19</v>
      </c>
      <c r="F320" s="3">
        <v>45952</v>
      </c>
      <c r="G320" s="4">
        <v>46.58</v>
      </c>
      <c r="H320" s="4">
        <v>9.3160000000000007</v>
      </c>
      <c r="I320" s="4">
        <v>37.264000000000003</v>
      </c>
      <c r="J320" s="5">
        <f t="shared" si="8"/>
        <v>34.469199999999994</v>
      </c>
      <c r="K320" s="5">
        <f>Table1[[#This Row],[القيمة المطلوبة]]</f>
        <v>34.469199999999994</v>
      </c>
      <c r="L320" s="5">
        <f t="shared" si="9"/>
        <v>0</v>
      </c>
      <c r="M320" s="5"/>
      <c r="N320" s="5"/>
    </row>
    <row r="321" spans="1:14" ht="14.4" customHeight="1" x14ac:dyDescent="0.3">
      <c r="A321" s="2">
        <v>321</v>
      </c>
      <c r="B321" s="2">
        <v>1833948</v>
      </c>
      <c r="C321" s="2" t="s">
        <v>102</v>
      </c>
      <c r="D321" s="2">
        <v>85423183</v>
      </c>
      <c r="E321" s="2" t="s">
        <v>15</v>
      </c>
      <c r="F321" s="3">
        <v>45952</v>
      </c>
      <c r="G321" s="4">
        <v>59.24</v>
      </c>
      <c r="H321" s="4">
        <v>11.848000000000001</v>
      </c>
      <c r="I321" s="4">
        <v>47.392000000000003</v>
      </c>
      <c r="J321" s="5">
        <f t="shared" si="8"/>
        <v>43.837600000000002</v>
      </c>
      <c r="K321" s="5">
        <f>Table1[[#This Row],[القيمة المطلوبة]]</f>
        <v>43.837600000000002</v>
      </c>
      <c r="L321" s="5">
        <f t="shared" si="9"/>
        <v>0</v>
      </c>
      <c r="M321" s="5"/>
      <c r="N321" s="5"/>
    </row>
    <row r="322" spans="1:14" ht="14.4" customHeight="1" x14ac:dyDescent="0.3">
      <c r="A322" s="2">
        <v>322</v>
      </c>
      <c r="B322" s="2">
        <v>1988576</v>
      </c>
      <c r="C322" s="2" t="s">
        <v>251</v>
      </c>
      <c r="D322" s="2">
        <v>86812262</v>
      </c>
      <c r="E322" s="2" t="s">
        <v>15</v>
      </c>
      <c r="F322" s="3">
        <v>45956</v>
      </c>
      <c r="G322" s="4">
        <v>32.659999999999997</v>
      </c>
      <c r="H322" s="4">
        <v>4.899</v>
      </c>
      <c r="I322" s="4">
        <v>27.760999999999999</v>
      </c>
      <c r="J322" s="5">
        <f t="shared" ref="J322:J385" si="10">G322*0.94-H322</f>
        <v>25.801399999999994</v>
      </c>
      <c r="K322" s="5">
        <f>Table1[[#This Row],[القيمة المطلوبة]]</f>
        <v>25.801399999999994</v>
      </c>
      <c r="L322" s="5">
        <f t="shared" ref="L322:L385" si="11">J322-K322</f>
        <v>0</v>
      </c>
      <c r="M322" s="5"/>
      <c r="N322" s="5"/>
    </row>
    <row r="323" spans="1:14" ht="14.4" customHeight="1" x14ac:dyDescent="0.3">
      <c r="A323" s="2">
        <v>323</v>
      </c>
      <c r="B323" s="2">
        <v>1988573</v>
      </c>
      <c r="C323" s="2" t="s">
        <v>54</v>
      </c>
      <c r="D323" s="2">
        <v>86811057</v>
      </c>
      <c r="E323" s="2" t="s">
        <v>19</v>
      </c>
      <c r="F323" s="3">
        <v>45956</v>
      </c>
      <c r="G323" s="4">
        <v>35.26</v>
      </c>
      <c r="H323" s="4">
        <v>5.2889999999999997</v>
      </c>
      <c r="I323" s="4">
        <v>29.971</v>
      </c>
      <c r="J323" s="5">
        <f t="shared" si="10"/>
        <v>27.855399999999996</v>
      </c>
      <c r="K323" s="5">
        <f>Table1[[#This Row],[القيمة المطلوبة]]</f>
        <v>27.855399999999996</v>
      </c>
      <c r="L323" s="5">
        <f t="shared" si="11"/>
        <v>0</v>
      </c>
      <c r="M323" s="5"/>
      <c r="N323" s="5"/>
    </row>
    <row r="324" spans="1:14" ht="14.4" customHeight="1" x14ac:dyDescent="0.3">
      <c r="A324" s="2">
        <v>324</v>
      </c>
      <c r="B324" s="2">
        <v>2011613</v>
      </c>
      <c r="C324" s="2" t="s">
        <v>250</v>
      </c>
      <c r="D324" s="2">
        <v>88320808</v>
      </c>
      <c r="E324" s="2" t="s">
        <v>19</v>
      </c>
      <c r="F324" s="3">
        <v>45956</v>
      </c>
      <c r="G324" s="4">
        <v>59.27</v>
      </c>
      <c r="H324" s="4">
        <v>11.853999999999999</v>
      </c>
      <c r="I324" s="4">
        <v>47.415999999999997</v>
      </c>
      <c r="J324" s="5">
        <f t="shared" si="10"/>
        <v>43.8598</v>
      </c>
      <c r="K324" s="5">
        <f>Table1[[#This Row],[القيمة المطلوبة]]</f>
        <v>43.8598</v>
      </c>
      <c r="L324" s="5">
        <f t="shared" si="11"/>
        <v>0</v>
      </c>
      <c r="M324" s="5"/>
      <c r="N324" s="5"/>
    </row>
    <row r="325" spans="1:14" ht="14.4" customHeight="1" x14ac:dyDescent="0.3">
      <c r="A325" s="2">
        <v>326</v>
      </c>
      <c r="B325" s="2">
        <v>1988568</v>
      </c>
      <c r="C325" s="2" t="s">
        <v>238</v>
      </c>
      <c r="D325" s="2">
        <v>86812869</v>
      </c>
      <c r="E325" s="2" t="s">
        <v>15</v>
      </c>
      <c r="F325" s="3">
        <v>45957</v>
      </c>
      <c r="G325" s="4">
        <v>19.489999999999998</v>
      </c>
      <c r="H325" s="4">
        <v>2.923</v>
      </c>
      <c r="I325" s="4">
        <v>16.567</v>
      </c>
      <c r="J325" s="5">
        <f t="shared" si="10"/>
        <v>15.397599999999999</v>
      </c>
      <c r="K325" s="5">
        <f>Table1[[#This Row],[القيمة المطلوبة]]</f>
        <v>15.397599999999999</v>
      </c>
      <c r="L325" s="5">
        <f t="shared" si="11"/>
        <v>0</v>
      </c>
      <c r="M325" s="5"/>
      <c r="N325" s="5"/>
    </row>
    <row r="326" spans="1:14" ht="14.4" customHeight="1" x14ac:dyDescent="0.3">
      <c r="A326" s="2">
        <v>325</v>
      </c>
      <c r="B326" s="2">
        <v>2011712</v>
      </c>
      <c r="C326" s="2" t="s">
        <v>252</v>
      </c>
      <c r="D326" s="2">
        <v>88320961</v>
      </c>
      <c r="E326" s="2" t="s">
        <v>19</v>
      </c>
      <c r="F326" s="3">
        <v>45957</v>
      </c>
      <c r="G326" s="4">
        <v>41.28</v>
      </c>
      <c r="H326" s="4">
        <v>8.2560000000000002</v>
      </c>
      <c r="I326" s="4">
        <v>33.024000000000001</v>
      </c>
      <c r="J326" s="5">
        <f t="shared" si="10"/>
        <v>30.547199999999997</v>
      </c>
      <c r="K326" s="5">
        <f>Table1[[#This Row],[القيمة المطلوبة]]</f>
        <v>30.547199999999997</v>
      </c>
      <c r="L326" s="5">
        <f t="shared" si="11"/>
        <v>0</v>
      </c>
      <c r="M326" s="5"/>
      <c r="N326" s="5"/>
    </row>
    <row r="327" spans="1:14" ht="14.4" customHeight="1" x14ac:dyDescent="0.3">
      <c r="A327" s="2">
        <v>328</v>
      </c>
      <c r="B327" s="2">
        <v>1988662</v>
      </c>
      <c r="C327" s="2" t="s">
        <v>253</v>
      </c>
      <c r="D327" s="2">
        <v>86812231</v>
      </c>
      <c r="E327" s="2" t="s">
        <v>15</v>
      </c>
      <c r="F327" s="3">
        <v>45958</v>
      </c>
      <c r="G327" s="4">
        <v>10.79</v>
      </c>
      <c r="H327" s="4">
        <v>1.6180000000000001</v>
      </c>
      <c r="I327" s="4">
        <v>9.1720000000000006</v>
      </c>
      <c r="J327" s="5">
        <f t="shared" si="10"/>
        <v>8.5245999999999977</v>
      </c>
      <c r="K327" s="5">
        <f>Table1[[#This Row],[القيمة المطلوبة]]</f>
        <v>8.5245999999999977</v>
      </c>
      <c r="L327" s="5">
        <f t="shared" si="11"/>
        <v>0</v>
      </c>
      <c r="M327" s="5"/>
      <c r="N327" s="5"/>
    </row>
    <row r="328" spans="1:14" ht="14.4" customHeight="1" x14ac:dyDescent="0.3">
      <c r="A328" s="2">
        <v>327</v>
      </c>
      <c r="B328" s="2">
        <v>2011677</v>
      </c>
      <c r="C328" s="2" t="s">
        <v>168</v>
      </c>
      <c r="D328" s="2">
        <v>88320909</v>
      </c>
      <c r="E328" s="2" t="s">
        <v>19</v>
      </c>
      <c r="F328" s="3">
        <v>45958</v>
      </c>
      <c r="G328" s="4">
        <v>31.74</v>
      </c>
      <c r="H328" s="4">
        <v>6.3479999999999999</v>
      </c>
      <c r="I328" s="4">
        <v>25.391999999999999</v>
      </c>
      <c r="J328" s="5">
        <f t="shared" si="10"/>
        <v>23.487599999999997</v>
      </c>
      <c r="K328" s="5">
        <f>Table1[[#This Row],[القيمة المطلوبة]]</f>
        <v>23.487599999999997</v>
      </c>
      <c r="L328" s="5">
        <f t="shared" si="11"/>
        <v>0</v>
      </c>
      <c r="M328" s="5"/>
      <c r="N328" s="5"/>
    </row>
    <row r="329" spans="1:14" ht="14.4" customHeight="1" x14ac:dyDescent="0.3">
      <c r="A329" s="2">
        <v>329</v>
      </c>
      <c r="B329" s="2">
        <v>1970947</v>
      </c>
      <c r="C329" s="2" t="s">
        <v>254</v>
      </c>
      <c r="D329" s="2">
        <v>85836871</v>
      </c>
      <c r="E329" s="2" t="s">
        <v>15</v>
      </c>
      <c r="F329" s="3">
        <v>45959</v>
      </c>
      <c r="G329" s="4">
        <v>5.14</v>
      </c>
      <c r="H329" s="4">
        <v>0.51400000000000001</v>
      </c>
      <c r="I329" s="4">
        <v>4.6260000000000003</v>
      </c>
      <c r="J329" s="5">
        <f t="shared" si="10"/>
        <v>4.3175999999999988</v>
      </c>
      <c r="K329" s="5">
        <f>Table1[[#This Row],[القيمة المطلوبة]]</f>
        <v>4.3175999999999988</v>
      </c>
      <c r="L329" s="5">
        <f t="shared" si="11"/>
        <v>0</v>
      </c>
      <c r="M329" s="5"/>
      <c r="N329" s="5"/>
    </row>
    <row r="330" spans="1:14" ht="14.4" customHeight="1" x14ac:dyDescent="0.3">
      <c r="A330" s="2">
        <v>331</v>
      </c>
      <c r="B330" s="2">
        <v>794217</v>
      </c>
      <c r="C330" s="2" t="s">
        <v>256</v>
      </c>
      <c r="D330" s="2">
        <v>88795804</v>
      </c>
      <c r="E330" s="2" t="s">
        <v>15</v>
      </c>
      <c r="F330" s="3">
        <v>45960</v>
      </c>
      <c r="G330" s="4">
        <v>24.8</v>
      </c>
      <c r="H330" s="4">
        <v>2.48</v>
      </c>
      <c r="I330" s="4">
        <v>22.32</v>
      </c>
      <c r="J330" s="5">
        <f t="shared" si="10"/>
        <v>20.831999999999997</v>
      </c>
      <c r="K330" s="5">
        <f>Table1[[#This Row],[القيمة المطلوبة]]</f>
        <v>20.831999999999997</v>
      </c>
      <c r="L330" s="5">
        <f t="shared" si="11"/>
        <v>0</v>
      </c>
      <c r="M330" s="5"/>
      <c r="N330" s="5"/>
    </row>
    <row r="331" spans="1:14" ht="14.4" customHeight="1" x14ac:dyDescent="0.3">
      <c r="A331" s="2">
        <v>330</v>
      </c>
      <c r="B331" s="2">
        <v>2011705</v>
      </c>
      <c r="C331" s="2" t="s">
        <v>255</v>
      </c>
      <c r="D331" s="2">
        <v>88320956</v>
      </c>
      <c r="E331" s="2" t="s">
        <v>19</v>
      </c>
      <c r="F331" s="3">
        <v>45960</v>
      </c>
      <c r="G331" s="4">
        <v>44.78</v>
      </c>
      <c r="H331" s="4">
        <v>8.9559999999999995</v>
      </c>
      <c r="I331" s="4">
        <v>35.823999999999998</v>
      </c>
      <c r="J331" s="5">
        <f t="shared" si="10"/>
        <v>33.137199999999993</v>
      </c>
      <c r="K331" s="5">
        <f>Table1[[#This Row],[القيمة المطلوبة]]</f>
        <v>33.137199999999993</v>
      </c>
      <c r="L331" s="5">
        <f t="shared" si="11"/>
        <v>0</v>
      </c>
      <c r="M331" s="5"/>
      <c r="N331" s="5"/>
    </row>
    <row r="332" spans="1:14" ht="14.4" customHeight="1" x14ac:dyDescent="0.3">
      <c r="A332" s="2">
        <v>332</v>
      </c>
      <c r="B332" s="2">
        <v>1988567</v>
      </c>
      <c r="C332" s="2" t="s">
        <v>40</v>
      </c>
      <c r="D332" s="2">
        <v>86812418</v>
      </c>
      <c r="E332" s="2" t="s">
        <v>15</v>
      </c>
      <c r="F332" s="3">
        <v>45961</v>
      </c>
      <c r="G332" s="4">
        <v>51.61</v>
      </c>
      <c r="H332" s="4">
        <v>7.7409999999999997</v>
      </c>
      <c r="I332" s="4">
        <v>43.869</v>
      </c>
      <c r="J332" s="5">
        <f t="shared" si="10"/>
        <v>40.772399999999998</v>
      </c>
      <c r="K332" s="5">
        <f>Table1[[#This Row],[القيمة المطلوبة]]</f>
        <v>40.772399999999998</v>
      </c>
      <c r="L332" s="5">
        <f t="shared" si="11"/>
        <v>0</v>
      </c>
      <c r="M332" s="5"/>
      <c r="N332" s="5"/>
    </row>
    <row r="333" spans="1:14" ht="14.4" customHeight="1" x14ac:dyDescent="0.3">
      <c r="A333" s="2">
        <v>336</v>
      </c>
      <c r="B333" s="2">
        <v>1988668</v>
      </c>
      <c r="C333" s="2" t="s">
        <v>55</v>
      </c>
      <c r="D333" s="2">
        <v>86812134</v>
      </c>
      <c r="E333" s="2" t="s">
        <v>19</v>
      </c>
      <c r="F333" s="3">
        <v>45962</v>
      </c>
      <c r="G333" s="4">
        <v>13.57</v>
      </c>
      <c r="H333" s="4">
        <v>2.0350000000000001</v>
      </c>
      <c r="I333" s="4">
        <v>11.535</v>
      </c>
      <c r="J333" s="5">
        <f t="shared" si="10"/>
        <v>10.720799999999999</v>
      </c>
      <c r="K333" s="5">
        <v>10.584</v>
      </c>
      <c r="L333" s="5">
        <f t="shared" si="11"/>
        <v>0.13679999999999914</v>
      </c>
      <c r="M333" s="10">
        <v>46002</v>
      </c>
      <c r="N333" s="5"/>
    </row>
    <row r="334" spans="1:14" ht="14.4" customHeight="1" x14ac:dyDescent="0.3">
      <c r="A334" s="2">
        <v>333</v>
      </c>
      <c r="B334" s="2">
        <v>1966429</v>
      </c>
      <c r="C334" s="2" t="s">
        <v>257</v>
      </c>
      <c r="D334" s="2">
        <v>85426005</v>
      </c>
      <c r="E334" s="2" t="s">
        <v>15</v>
      </c>
      <c r="F334" s="3">
        <v>45962</v>
      </c>
      <c r="G334" s="4">
        <v>27.44</v>
      </c>
      <c r="H334" s="4">
        <v>5.4880000000000004</v>
      </c>
      <c r="I334" s="4">
        <v>21.952000000000002</v>
      </c>
      <c r="J334" s="5">
        <f t="shared" si="10"/>
        <v>20.305600000000002</v>
      </c>
      <c r="K334" s="5">
        <v>20.030999999999999</v>
      </c>
      <c r="L334" s="5">
        <f t="shared" si="11"/>
        <v>0.27460000000000306</v>
      </c>
      <c r="M334" s="10">
        <v>46002</v>
      </c>
      <c r="N334" s="5"/>
    </row>
    <row r="335" spans="1:14" ht="14.4" customHeight="1" x14ac:dyDescent="0.3">
      <c r="A335" s="2">
        <v>335</v>
      </c>
      <c r="B335" s="2">
        <v>2011676</v>
      </c>
      <c r="C335" s="2" t="s">
        <v>221</v>
      </c>
      <c r="D335" s="2">
        <v>88322227</v>
      </c>
      <c r="E335" s="2" t="s">
        <v>15</v>
      </c>
      <c r="F335" s="3">
        <v>45962</v>
      </c>
      <c r="G335" s="4">
        <v>68.099999999999994</v>
      </c>
      <c r="H335" s="4">
        <v>13.62</v>
      </c>
      <c r="I335" s="4">
        <v>54.48</v>
      </c>
      <c r="J335" s="5">
        <f t="shared" si="10"/>
        <v>50.393999999999998</v>
      </c>
      <c r="K335" s="5">
        <v>49.713000000000001</v>
      </c>
      <c r="L335" s="5">
        <f t="shared" si="11"/>
        <v>0.68099999999999739</v>
      </c>
      <c r="M335" s="10">
        <v>46002</v>
      </c>
      <c r="N335" s="5"/>
    </row>
    <row r="336" spans="1:14" ht="14.4" customHeight="1" x14ac:dyDescent="0.3">
      <c r="A336" s="2">
        <v>334</v>
      </c>
      <c r="B336" s="2">
        <v>1966428</v>
      </c>
      <c r="C336" s="2" t="s">
        <v>157</v>
      </c>
      <c r="D336" s="2">
        <v>85429644</v>
      </c>
      <c r="E336" s="2" t="s">
        <v>19</v>
      </c>
      <c r="F336" s="3">
        <v>45962</v>
      </c>
      <c r="G336" s="4">
        <v>70.819999999999993</v>
      </c>
      <c r="H336" s="4">
        <v>14.164</v>
      </c>
      <c r="I336" s="4">
        <v>56.655999999999999</v>
      </c>
      <c r="J336" s="5">
        <f t="shared" si="10"/>
        <v>52.40679999999999</v>
      </c>
      <c r="K336" s="5">
        <v>51.698</v>
      </c>
      <c r="L336" s="5">
        <f t="shared" si="11"/>
        <v>0.70879999999998944</v>
      </c>
      <c r="M336" s="10">
        <v>46002</v>
      </c>
      <c r="N336" s="5"/>
    </row>
    <row r="337" spans="1:14" ht="14.4" customHeight="1" x14ac:dyDescent="0.3">
      <c r="A337" s="2">
        <v>337</v>
      </c>
      <c r="B337" s="2">
        <v>1988680</v>
      </c>
      <c r="C337" s="2" t="s">
        <v>122</v>
      </c>
      <c r="D337" s="2">
        <v>86811207</v>
      </c>
      <c r="E337" s="2" t="s">
        <v>19</v>
      </c>
      <c r="F337" s="3">
        <v>45963</v>
      </c>
      <c r="G337" s="4">
        <v>15.15</v>
      </c>
      <c r="H337" s="4">
        <v>2.2719999999999998</v>
      </c>
      <c r="I337" s="4">
        <v>12.878</v>
      </c>
      <c r="J337" s="5">
        <f t="shared" si="10"/>
        <v>11.968999999999999</v>
      </c>
      <c r="K337" s="5">
        <v>11.817</v>
      </c>
      <c r="L337" s="5">
        <f t="shared" si="11"/>
        <v>0.15199999999999925</v>
      </c>
      <c r="M337" s="10">
        <v>46002</v>
      </c>
      <c r="N337" s="5"/>
    </row>
    <row r="338" spans="1:14" ht="14.4" customHeight="1" x14ac:dyDescent="0.3">
      <c r="A338" s="2">
        <v>339</v>
      </c>
      <c r="B338" s="2">
        <v>1988617</v>
      </c>
      <c r="C338" s="2" t="s">
        <v>258</v>
      </c>
      <c r="D338" s="2">
        <v>86811072</v>
      </c>
      <c r="E338" s="2" t="s">
        <v>19</v>
      </c>
      <c r="F338" s="3">
        <v>45964</v>
      </c>
      <c r="G338" s="4">
        <v>14.39</v>
      </c>
      <c r="H338" s="4">
        <v>2.1579999999999999</v>
      </c>
      <c r="I338" s="4">
        <v>12.231999999999999</v>
      </c>
      <c r="J338" s="5">
        <f t="shared" si="10"/>
        <v>11.368600000000001</v>
      </c>
      <c r="K338" s="5">
        <f>Table1[[#This Row],[القيمة المطلوبة]]</f>
        <v>11.368600000000001</v>
      </c>
      <c r="L338" s="5">
        <f t="shared" si="11"/>
        <v>0</v>
      </c>
      <c r="M338" s="5"/>
      <c r="N338" s="5"/>
    </row>
    <row r="339" spans="1:14" ht="14.4" customHeight="1" x14ac:dyDescent="0.3">
      <c r="A339" s="2">
        <v>338</v>
      </c>
      <c r="B339" s="2">
        <v>1988680</v>
      </c>
      <c r="C339" s="2" t="s">
        <v>29</v>
      </c>
      <c r="D339" s="2">
        <v>86811207</v>
      </c>
      <c r="E339" s="2" t="s">
        <v>19</v>
      </c>
      <c r="F339" s="3">
        <v>45964</v>
      </c>
      <c r="G339" s="4">
        <v>19.18</v>
      </c>
      <c r="H339" s="4">
        <v>2.8769999999999998</v>
      </c>
      <c r="I339" s="4">
        <v>16.303000000000001</v>
      </c>
      <c r="J339" s="5">
        <f t="shared" si="10"/>
        <v>15.152200000000001</v>
      </c>
      <c r="K339" s="5">
        <f>Table1[[#This Row],[القيمة المطلوبة]]</f>
        <v>15.152200000000001</v>
      </c>
      <c r="L339" s="5">
        <f t="shared" si="11"/>
        <v>0</v>
      </c>
      <c r="M339" s="5"/>
      <c r="N339" s="5"/>
    </row>
    <row r="340" spans="1:14" ht="14.4" customHeight="1" x14ac:dyDescent="0.3">
      <c r="A340" s="2">
        <v>341</v>
      </c>
      <c r="B340" s="2">
        <v>1988698</v>
      </c>
      <c r="C340" s="2" t="s">
        <v>259</v>
      </c>
      <c r="D340" s="2">
        <v>86811868</v>
      </c>
      <c r="E340" s="2" t="s">
        <v>15</v>
      </c>
      <c r="F340" s="3">
        <v>45966</v>
      </c>
      <c r="G340" s="4">
        <v>42.63</v>
      </c>
      <c r="H340" s="4">
        <v>6.3940000000000001</v>
      </c>
      <c r="I340" s="4">
        <v>36.235999999999997</v>
      </c>
      <c r="J340" s="5">
        <f t="shared" si="10"/>
        <v>33.678200000000004</v>
      </c>
      <c r="K340" s="5">
        <f>Table1[[#This Row],[القيمة المطلوبة]]</f>
        <v>33.678200000000004</v>
      </c>
      <c r="L340" s="5">
        <f t="shared" si="11"/>
        <v>0</v>
      </c>
      <c r="M340" s="5"/>
      <c r="N340" s="5"/>
    </row>
    <row r="341" spans="1:14" ht="14.4" customHeight="1" x14ac:dyDescent="0.3">
      <c r="A341" s="2">
        <v>342</v>
      </c>
      <c r="B341" s="2">
        <v>1988697</v>
      </c>
      <c r="C341" s="2" t="s">
        <v>35</v>
      </c>
      <c r="D341" s="2">
        <v>86811215</v>
      </c>
      <c r="E341" s="2" t="s">
        <v>19</v>
      </c>
      <c r="F341" s="3">
        <v>45966</v>
      </c>
      <c r="G341" s="4">
        <v>42.64</v>
      </c>
      <c r="H341" s="4">
        <v>6.3959999999999999</v>
      </c>
      <c r="I341" s="4">
        <v>36.244</v>
      </c>
      <c r="J341" s="5">
        <f t="shared" si="10"/>
        <v>33.685600000000001</v>
      </c>
      <c r="K341" s="5">
        <f>Table1[[#This Row],[القيمة المطلوبة]]</f>
        <v>33.685600000000001</v>
      </c>
      <c r="L341" s="5">
        <f t="shared" si="11"/>
        <v>0</v>
      </c>
      <c r="M341" s="5"/>
      <c r="N341" s="5"/>
    </row>
    <row r="342" spans="1:14" ht="14.4" customHeight="1" x14ac:dyDescent="0.3">
      <c r="A342" s="2">
        <v>340</v>
      </c>
      <c r="B342" s="2">
        <v>2011682</v>
      </c>
      <c r="C342" s="2" t="s">
        <v>163</v>
      </c>
      <c r="D342" s="2">
        <v>88321010</v>
      </c>
      <c r="E342" s="2" t="s">
        <v>19</v>
      </c>
      <c r="F342" s="3">
        <v>45966</v>
      </c>
      <c r="G342" s="4">
        <v>60.16</v>
      </c>
      <c r="H342" s="4">
        <v>12.032</v>
      </c>
      <c r="I342" s="4">
        <v>48.128</v>
      </c>
      <c r="J342" s="5">
        <f t="shared" si="10"/>
        <v>44.5184</v>
      </c>
      <c r="K342" s="5">
        <f>Table1[[#This Row],[القيمة المطلوبة]]</f>
        <v>44.5184</v>
      </c>
      <c r="L342" s="5">
        <f t="shared" si="11"/>
        <v>0</v>
      </c>
      <c r="M342" s="5"/>
      <c r="N342" s="5"/>
    </row>
    <row r="343" spans="1:14" ht="14.4" customHeight="1" x14ac:dyDescent="0.3">
      <c r="A343" s="2">
        <v>346</v>
      </c>
      <c r="B343" s="2">
        <v>2011702</v>
      </c>
      <c r="C343" s="2" t="s">
        <v>262</v>
      </c>
      <c r="D343" s="2">
        <v>88320950</v>
      </c>
      <c r="E343" s="2" t="s">
        <v>15</v>
      </c>
      <c r="F343" s="3">
        <v>45969</v>
      </c>
      <c r="G343" s="4">
        <v>29.66</v>
      </c>
      <c r="H343" s="4">
        <v>5.9320000000000004</v>
      </c>
      <c r="I343" s="4">
        <v>23.728000000000002</v>
      </c>
      <c r="J343" s="5">
        <f t="shared" si="10"/>
        <v>21.948399999999999</v>
      </c>
      <c r="K343" s="5">
        <f>Table1[[#This Row],[القيمة المطلوبة]]</f>
        <v>21.948399999999999</v>
      </c>
      <c r="L343" s="5">
        <f t="shared" si="11"/>
        <v>0</v>
      </c>
      <c r="M343" s="5"/>
      <c r="N343" s="5"/>
    </row>
    <row r="344" spans="1:14" ht="14.4" customHeight="1" x14ac:dyDescent="0.3">
      <c r="A344" s="2">
        <v>344</v>
      </c>
      <c r="B344" s="2">
        <v>973305</v>
      </c>
      <c r="C344" s="2" t="s">
        <v>263</v>
      </c>
      <c r="D344" s="2">
        <v>88795800</v>
      </c>
      <c r="E344" s="2" t="s">
        <v>19</v>
      </c>
      <c r="F344" s="3">
        <v>45969</v>
      </c>
      <c r="G344" s="4">
        <v>46.24</v>
      </c>
      <c r="H344" s="4">
        <v>4.6239999999999997</v>
      </c>
      <c r="I344" s="4">
        <v>41.616</v>
      </c>
      <c r="J344" s="5">
        <f t="shared" si="10"/>
        <v>38.8416</v>
      </c>
      <c r="K344" s="5">
        <f>Table1[[#This Row],[القيمة المطلوبة]]</f>
        <v>38.8416</v>
      </c>
      <c r="L344" s="5">
        <f t="shared" si="11"/>
        <v>0</v>
      </c>
      <c r="M344" s="5"/>
      <c r="N344" s="5"/>
    </row>
    <row r="345" spans="1:14" ht="14.4" customHeight="1" x14ac:dyDescent="0.3">
      <c r="A345" s="2">
        <v>345</v>
      </c>
      <c r="B345" s="2">
        <v>2011701</v>
      </c>
      <c r="C345" s="2" t="s">
        <v>260</v>
      </c>
      <c r="D345" s="2">
        <v>88321633</v>
      </c>
      <c r="E345" s="2" t="s">
        <v>15</v>
      </c>
      <c r="F345" s="3">
        <v>45969</v>
      </c>
      <c r="G345" s="4">
        <v>53.46</v>
      </c>
      <c r="H345" s="4">
        <v>10.692</v>
      </c>
      <c r="I345" s="4">
        <v>42.768000000000001</v>
      </c>
      <c r="J345" s="5">
        <f t="shared" si="10"/>
        <v>39.560399999999994</v>
      </c>
      <c r="K345" s="5">
        <f>Table1[[#This Row],[القيمة المطلوبة]]</f>
        <v>39.560399999999994</v>
      </c>
      <c r="L345" s="5">
        <f t="shared" si="11"/>
        <v>0</v>
      </c>
      <c r="M345" s="5"/>
      <c r="N345" s="5"/>
    </row>
    <row r="346" spans="1:14" ht="14.4" customHeight="1" x14ac:dyDescent="0.3">
      <c r="A346" s="2">
        <v>343</v>
      </c>
      <c r="B346" s="2">
        <v>1988796</v>
      </c>
      <c r="C346" s="2" t="s">
        <v>261</v>
      </c>
      <c r="D346" s="2">
        <v>86815555</v>
      </c>
      <c r="E346" s="2" t="s">
        <v>19</v>
      </c>
      <c r="F346" s="3">
        <v>45969</v>
      </c>
      <c r="G346" s="4">
        <v>55.41</v>
      </c>
      <c r="H346" s="4">
        <v>8.3109999999999999</v>
      </c>
      <c r="I346" s="4">
        <v>47.098999999999997</v>
      </c>
      <c r="J346" s="5">
        <f t="shared" si="10"/>
        <v>43.774399999999993</v>
      </c>
      <c r="K346" s="5">
        <f>Table1[[#This Row],[القيمة المطلوبة]]</f>
        <v>43.774399999999993</v>
      </c>
      <c r="L346" s="5">
        <f t="shared" si="11"/>
        <v>0</v>
      </c>
      <c r="M346" s="5"/>
      <c r="N346" s="5"/>
    </row>
    <row r="347" spans="1:14" ht="14.4" customHeight="1" x14ac:dyDescent="0.3">
      <c r="A347" s="2">
        <v>347</v>
      </c>
      <c r="B347" s="2">
        <v>1988713</v>
      </c>
      <c r="C347" s="2" t="s">
        <v>33</v>
      </c>
      <c r="D347" s="2">
        <v>86815253</v>
      </c>
      <c r="E347" s="2" t="s">
        <v>19</v>
      </c>
      <c r="F347" s="3">
        <v>45969</v>
      </c>
      <c r="G347" s="4">
        <v>58.25</v>
      </c>
      <c r="H347" s="4">
        <v>8.7370000000000001</v>
      </c>
      <c r="I347" s="4">
        <v>49.512999999999998</v>
      </c>
      <c r="J347" s="5">
        <f t="shared" si="10"/>
        <v>46.017999999999994</v>
      </c>
      <c r="K347" s="5">
        <f>Table1[[#This Row],[القيمة المطلوبة]]</f>
        <v>46.017999999999994</v>
      </c>
      <c r="L347" s="5">
        <f t="shared" si="11"/>
        <v>0</v>
      </c>
      <c r="M347" s="5"/>
      <c r="N347" s="5"/>
    </row>
    <row r="348" spans="1:14" ht="14.4" customHeight="1" x14ac:dyDescent="0.3">
      <c r="A348" s="2">
        <v>348</v>
      </c>
      <c r="B348" s="2">
        <v>2011614</v>
      </c>
      <c r="C348" s="2" t="s">
        <v>264</v>
      </c>
      <c r="D348" s="2">
        <v>88320810</v>
      </c>
      <c r="E348" s="2" t="s">
        <v>15</v>
      </c>
      <c r="F348" s="3">
        <v>45970</v>
      </c>
      <c r="G348" s="4">
        <v>54.79</v>
      </c>
      <c r="H348" s="4">
        <v>10.958</v>
      </c>
      <c r="I348" s="4">
        <v>43.832000000000001</v>
      </c>
      <c r="J348" s="5">
        <f t="shared" si="10"/>
        <v>40.544599999999996</v>
      </c>
      <c r="K348" s="5">
        <f>Table1[[#This Row],[القيمة المطلوبة]]</f>
        <v>40.544599999999996</v>
      </c>
      <c r="L348" s="5">
        <f t="shared" si="11"/>
        <v>0</v>
      </c>
      <c r="M348" s="5"/>
      <c r="N348" s="5"/>
    </row>
    <row r="349" spans="1:14" ht="14.4" customHeight="1" x14ac:dyDescent="0.3">
      <c r="A349" s="2">
        <v>350</v>
      </c>
      <c r="B349" s="2">
        <v>793305</v>
      </c>
      <c r="C349" s="2" t="s">
        <v>26</v>
      </c>
      <c r="D349" s="2">
        <v>2531490</v>
      </c>
      <c r="E349" s="2" t="s">
        <v>19</v>
      </c>
      <c r="F349" s="3">
        <v>45971</v>
      </c>
      <c r="G349" s="4">
        <v>15.02</v>
      </c>
      <c r="H349" s="4">
        <v>1.502</v>
      </c>
      <c r="I349" s="4">
        <v>13.518000000000001</v>
      </c>
      <c r="J349" s="5">
        <f t="shared" si="10"/>
        <v>12.616799999999998</v>
      </c>
      <c r="K349" s="5">
        <f>Table1[[#This Row],[القيمة المطلوبة]]</f>
        <v>12.616799999999998</v>
      </c>
      <c r="L349" s="5">
        <f t="shared" si="11"/>
        <v>0</v>
      </c>
      <c r="M349" s="5"/>
      <c r="N349" s="5"/>
    </row>
    <row r="350" spans="1:14" ht="14.4" customHeight="1" x14ac:dyDescent="0.3">
      <c r="A350" s="2">
        <v>349</v>
      </c>
      <c r="B350" s="2">
        <v>2011610</v>
      </c>
      <c r="C350" s="2" t="s">
        <v>153</v>
      </c>
      <c r="D350" s="2">
        <v>88321031</v>
      </c>
      <c r="E350" s="2" t="s">
        <v>19</v>
      </c>
      <c r="F350" s="3">
        <v>45971</v>
      </c>
      <c r="G350" s="4">
        <v>62.66</v>
      </c>
      <c r="H350" s="4">
        <v>12.532</v>
      </c>
      <c r="I350" s="4">
        <v>50.128</v>
      </c>
      <c r="J350" s="5">
        <f t="shared" si="10"/>
        <v>46.368399999999994</v>
      </c>
      <c r="K350" s="5">
        <f>Table1[[#This Row],[القيمة المطلوبة]]</f>
        <v>46.368399999999994</v>
      </c>
      <c r="L350" s="5">
        <f t="shared" si="11"/>
        <v>0</v>
      </c>
      <c r="M350" s="5"/>
      <c r="N350" s="5"/>
    </row>
    <row r="351" spans="1:14" ht="14.4" customHeight="1" x14ac:dyDescent="0.3">
      <c r="A351" s="2">
        <v>352</v>
      </c>
      <c r="B351" s="2">
        <v>1995272</v>
      </c>
      <c r="C351" s="2" t="s">
        <v>266</v>
      </c>
      <c r="D351" s="2">
        <v>86083064</v>
      </c>
      <c r="E351" s="2" t="s">
        <v>19</v>
      </c>
      <c r="F351" s="3">
        <v>45972</v>
      </c>
      <c r="G351" s="4">
        <v>16.14</v>
      </c>
      <c r="H351" s="4">
        <v>2.4209999999999998</v>
      </c>
      <c r="I351" s="4">
        <v>13.718999999999999</v>
      </c>
      <c r="J351" s="5">
        <f t="shared" si="10"/>
        <v>12.7506</v>
      </c>
      <c r="K351" s="5">
        <f>Table1[[#This Row],[القيمة المطلوبة]]</f>
        <v>12.7506</v>
      </c>
      <c r="L351" s="5">
        <f t="shared" si="11"/>
        <v>0</v>
      </c>
      <c r="M351" s="5"/>
      <c r="N351" s="5"/>
    </row>
    <row r="352" spans="1:14" ht="14.4" customHeight="1" x14ac:dyDescent="0.3">
      <c r="A352" s="2">
        <v>351</v>
      </c>
      <c r="B352" s="2">
        <v>1966818</v>
      </c>
      <c r="C352" s="2" t="s">
        <v>46</v>
      </c>
      <c r="D352" s="2">
        <v>85433731</v>
      </c>
      <c r="E352" s="2" t="s">
        <v>19</v>
      </c>
      <c r="F352" s="3">
        <v>45972</v>
      </c>
      <c r="G352" s="4">
        <v>52.55</v>
      </c>
      <c r="H352" s="4">
        <v>10.51</v>
      </c>
      <c r="I352" s="4">
        <v>42.04</v>
      </c>
      <c r="J352" s="5">
        <f t="shared" si="10"/>
        <v>38.886999999999993</v>
      </c>
      <c r="K352" s="5">
        <f>Table1[[#This Row],[القيمة المطلوبة]]</f>
        <v>38.886999999999993</v>
      </c>
      <c r="L352" s="5">
        <f t="shared" si="11"/>
        <v>0</v>
      </c>
      <c r="M352" s="5"/>
      <c r="N352" s="5"/>
    </row>
    <row r="353" spans="1:14" ht="14.4" customHeight="1" x14ac:dyDescent="0.3">
      <c r="A353" s="2">
        <v>353</v>
      </c>
      <c r="B353" s="2">
        <v>1988664</v>
      </c>
      <c r="C353" s="2" t="s">
        <v>265</v>
      </c>
      <c r="D353" s="2">
        <v>86811092</v>
      </c>
      <c r="E353" s="2" t="s">
        <v>19</v>
      </c>
      <c r="F353" s="3">
        <v>45972</v>
      </c>
      <c r="G353" s="4">
        <v>72</v>
      </c>
      <c r="H353" s="4">
        <v>10.8</v>
      </c>
      <c r="I353" s="4">
        <v>61.2</v>
      </c>
      <c r="J353" s="5">
        <f t="shared" si="10"/>
        <v>56.879999999999995</v>
      </c>
      <c r="K353" s="5">
        <f>Table1[[#This Row],[القيمة المطلوبة]]</f>
        <v>56.879999999999995</v>
      </c>
      <c r="L353" s="5">
        <f t="shared" si="11"/>
        <v>0</v>
      </c>
      <c r="M353" s="5"/>
      <c r="N353" s="5"/>
    </row>
    <row r="354" spans="1:14" ht="14.4" customHeight="1" x14ac:dyDescent="0.3">
      <c r="A354" s="2">
        <v>354</v>
      </c>
      <c r="B354" s="2">
        <v>1876003</v>
      </c>
      <c r="C354" s="2" t="s">
        <v>267</v>
      </c>
      <c r="D354" s="2">
        <v>88579430</v>
      </c>
      <c r="E354" s="2" t="s">
        <v>19</v>
      </c>
      <c r="F354" s="3">
        <v>45974</v>
      </c>
      <c r="G354" s="4">
        <v>12.86</v>
      </c>
      <c r="H354" s="4">
        <v>2.5720000000000001</v>
      </c>
      <c r="I354" s="4">
        <v>10.288</v>
      </c>
      <c r="J354" s="5">
        <f t="shared" si="10"/>
        <v>9.5163999999999973</v>
      </c>
      <c r="K354" s="5">
        <f>Table1[[#This Row],[القيمة المطلوبة]]</f>
        <v>9.5163999999999973</v>
      </c>
      <c r="L354" s="5">
        <f t="shared" si="11"/>
        <v>0</v>
      </c>
      <c r="M354" s="5"/>
      <c r="N354" s="5"/>
    </row>
    <row r="355" spans="1:14" ht="14.4" customHeight="1" x14ac:dyDescent="0.3">
      <c r="A355" s="2">
        <v>355</v>
      </c>
      <c r="B355" s="2">
        <v>2033733</v>
      </c>
      <c r="C355" s="2" t="s">
        <v>269</v>
      </c>
      <c r="D355" s="2">
        <v>86813303</v>
      </c>
      <c r="E355" s="2" t="s">
        <v>15</v>
      </c>
      <c r="F355" s="3">
        <v>45977</v>
      </c>
      <c r="G355" s="4">
        <v>24.85</v>
      </c>
      <c r="H355" s="4">
        <v>3.7269999999999999</v>
      </c>
      <c r="I355" s="4">
        <v>21.123000000000001</v>
      </c>
      <c r="J355" s="5">
        <f t="shared" si="10"/>
        <v>19.632000000000001</v>
      </c>
      <c r="K355" s="5">
        <f>Table1[[#This Row],[القيمة المطلوبة]]</f>
        <v>19.632000000000001</v>
      </c>
      <c r="L355" s="5">
        <f t="shared" si="11"/>
        <v>0</v>
      </c>
      <c r="M355" s="5"/>
      <c r="N355" s="5"/>
    </row>
    <row r="356" spans="1:14" ht="14.4" customHeight="1" x14ac:dyDescent="0.3">
      <c r="A356" s="2">
        <v>357</v>
      </c>
      <c r="B356" s="2">
        <v>1988686</v>
      </c>
      <c r="C356" s="2" t="s">
        <v>243</v>
      </c>
      <c r="D356" s="2">
        <v>86811103</v>
      </c>
      <c r="E356" s="2" t="s">
        <v>19</v>
      </c>
      <c r="F356" s="3">
        <v>45977</v>
      </c>
      <c r="G356" s="4">
        <v>43.98</v>
      </c>
      <c r="H356" s="4">
        <v>6.5970000000000004</v>
      </c>
      <c r="I356" s="4">
        <v>37.383000000000003</v>
      </c>
      <c r="J356" s="5">
        <f t="shared" si="10"/>
        <v>34.744199999999992</v>
      </c>
      <c r="K356" s="5">
        <f>Table1[[#This Row],[القيمة المطلوبة]]</f>
        <v>34.744199999999992</v>
      </c>
      <c r="L356" s="5">
        <f t="shared" si="11"/>
        <v>0</v>
      </c>
      <c r="M356" s="5"/>
      <c r="N356" s="5"/>
    </row>
    <row r="357" spans="1:14" ht="14.4" customHeight="1" x14ac:dyDescent="0.3">
      <c r="A357" s="2">
        <v>356</v>
      </c>
      <c r="B357" s="2">
        <v>1988687</v>
      </c>
      <c r="C357" s="2" t="s">
        <v>268</v>
      </c>
      <c r="D357" s="2">
        <v>86811800</v>
      </c>
      <c r="E357" s="2" t="s">
        <v>15</v>
      </c>
      <c r="F357" s="3">
        <v>45977</v>
      </c>
      <c r="G357" s="4">
        <v>50.29</v>
      </c>
      <c r="H357" s="4">
        <v>7.5430000000000001</v>
      </c>
      <c r="I357" s="4">
        <v>42.747</v>
      </c>
      <c r="J357" s="5">
        <f t="shared" si="10"/>
        <v>39.729599999999998</v>
      </c>
      <c r="K357" s="5">
        <f>Table1[[#This Row],[القيمة المطلوبة]]</f>
        <v>39.729599999999998</v>
      </c>
      <c r="L357" s="5">
        <f t="shared" si="11"/>
        <v>0</v>
      </c>
      <c r="M357" s="5"/>
      <c r="N357" s="5"/>
    </row>
    <row r="358" spans="1:14" ht="14.4" customHeight="1" x14ac:dyDescent="0.3">
      <c r="A358" s="2">
        <v>359</v>
      </c>
      <c r="B358" s="2">
        <v>1876005</v>
      </c>
      <c r="C358" s="2" t="s">
        <v>272</v>
      </c>
      <c r="D358" s="2">
        <v>88579434</v>
      </c>
      <c r="E358" s="2" t="s">
        <v>15</v>
      </c>
      <c r="F358" s="3">
        <v>45978</v>
      </c>
      <c r="G358" s="4">
        <v>16.71</v>
      </c>
      <c r="H358" s="4">
        <v>3.3420000000000001</v>
      </c>
      <c r="I358" s="4">
        <v>13.368</v>
      </c>
      <c r="J358" s="5">
        <f t="shared" si="10"/>
        <v>12.365399999999999</v>
      </c>
      <c r="K358" s="5">
        <f>Table1[[#This Row],[القيمة المطلوبة]]</f>
        <v>12.365399999999999</v>
      </c>
      <c r="L358" s="5">
        <f t="shared" si="11"/>
        <v>0</v>
      </c>
      <c r="M358" s="5"/>
      <c r="N358" s="5"/>
    </row>
    <row r="359" spans="1:14" ht="14.4" customHeight="1" x14ac:dyDescent="0.3">
      <c r="A359" s="2">
        <v>360</v>
      </c>
      <c r="B359" s="2">
        <v>1966431</v>
      </c>
      <c r="C359" s="2" t="s">
        <v>270</v>
      </c>
      <c r="D359" s="2">
        <v>85425999</v>
      </c>
      <c r="E359" s="2" t="s">
        <v>15</v>
      </c>
      <c r="F359" s="3">
        <v>45978</v>
      </c>
      <c r="G359" s="4">
        <v>31.71</v>
      </c>
      <c r="H359" s="4">
        <v>6.3419999999999996</v>
      </c>
      <c r="I359" s="4">
        <v>25.367999999999999</v>
      </c>
      <c r="J359" s="5">
        <f t="shared" si="10"/>
        <v>23.465399999999999</v>
      </c>
      <c r="K359" s="5">
        <f>Table1[[#This Row],[القيمة المطلوبة]]</f>
        <v>23.465399999999999</v>
      </c>
      <c r="L359" s="5">
        <f t="shared" si="11"/>
        <v>0</v>
      </c>
      <c r="M359" s="5"/>
      <c r="N359" s="5"/>
    </row>
    <row r="360" spans="1:14" ht="14.4" customHeight="1" x14ac:dyDescent="0.3">
      <c r="A360" s="2">
        <v>358</v>
      </c>
      <c r="B360" s="2">
        <v>2033735</v>
      </c>
      <c r="C360" s="2" t="s">
        <v>271</v>
      </c>
      <c r="D360" s="2">
        <v>86813302</v>
      </c>
      <c r="E360" s="2" t="s">
        <v>15</v>
      </c>
      <c r="F360" s="3">
        <v>45978</v>
      </c>
      <c r="G360" s="4">
        <v>30.11</v>
      </c>
      <c r="H360" s="4">
        <v>4.516</v>
      </c>
      <c r="I360" s="4">
        <v>25.594000000000001</v>
      </c>
      <c r="J360" s="5">
        <f t="shared" si="10"/>
        <v>23.787399999999998</v>
      </c>
      <c r="K360" s="5">
        <f>Table1[[#This Row],[القيمة المطلوبة]]</f>
        <v>23.787399999999998</v>
      </c>
      <c r="L360" s="5">
        <f t="shared" si="11"/>
        <v>0</v>
      </c>
      <c r="M360" s="5"/>
      <c r="N360" s="5"/>
    </row>
    <row r="361" spans="1:14" ht="14.4" customHeight="1" x14ac:dyDescent="0.3">
      <c r="A361" s="2">
        <v>363</v>
      </c>
      <c r="B361" s="2">
        <v>1966430</v>
      </c>
      <c r="C361" s="2" t="s">
        <v>52</v>
      </c>
      <c r="D361" s="2">
        <v>85426002</v>
      </c>
      <c r="E361" s="2" t="s">
        <v>15</v>
      </c>
      <c r="F361" s="3">
        <v>45978</v>
      </c>
      <c r="G361" s="4">
        <v>36.11</v>
      </c>
      <c r="H361" s="4">
        <v>7.2220000000000004</v>
      </c>
      <c r="I361" s="4">
        <v>28.888000000000002</v>
      </c>
      <c r="J361" s="5">
        <f t="shared" si="10"/>
        <v>26.721399999999996</v>
      </c>
      <c r="K361" s="5">
        <f>Table1[[#This Row],[القيمة المطلوبة]]</f>
        <v>26.721399999999996</v>
      </c>
      <c r="L361" s="5">
        <f t="shared" si="11"/>
        <v>0</v>
      </c>
      <c r="M361" s="5"/>
      <c r="N361" s="5"/>
    </row>
    <row r="362" spans="1:14" ht="14.4" customHeight="1" x14ac:dyDescent="0.3">
      <c r="A362" s="2">
        <v>362</v>
      </c>
      <c r="B362" s="2">
        <v>1966428</v>
      </c>
      <c r="C362" s="2" t="s">
        <v>157</v>
      </c>
      <c r="D362" s="2">
        <v>85429645</v>
      </c>
      <c r="E362" s="2" t="s">
        <v>19</v>
      </c>
      <c r="F362" s="3">
        <v>45978</v>
      </c>
      <c r="G362" s="4">
        <v>42.04</v>
      </c>
      <c r="H362" s="4">
        <v>8.4079999999999995</v>
      </c>
      <c r="I362" s="4">
        <v>33.631999999999998</v>
      </c>
      <c r="J362" s="5">
        <f t="shared" si="10"/>
        <v>31.109599999999993</v>
      </c>
      <c r="K362" s="5">
        <f>Table1[[#This Row],[القيمة المطلوبة]]</f>
        <v>31.109599999999993</v>
      </c>
      <c r="L362" s="5">
        <f t="shared" si="11"/>
        <v>0</v>
      </c>
      <c r="M362" s="5"/>
      <c r="N362" s="5"/>
    </row>
    <row r="363" spans="1:14" ht="14.4" customHeight="1" x14ac:dyDescent="0.3">
      <c r="A363" s="2">
        <v>361</v>
      </c>
      <c r="B363" s="2">
        <v>1966429</v>
      </c>
      <c r="C363" s="2" t="s">
        <v>158</v>
      </c>
      <c r="D363" s="2">
        <v>85429653</v>
      </c>
      <c r="E363" s="2" t="s">
        <v>15</v>
      </c>
      <c r="F363" s="3">
        <v>45978</v>
      </c>
      <c r="G363" s="4">
        <v>47.27</v>
      </c>
      <c r="H363" s="4">
        <v>9.4540000000000006</v>
      </c>
      <c r="I363" s="4">
        <v>37.816000000000003</v>
      </c>
      <c r="J363" s="5">
        <f t="shared" si="10"/>
        <v>34.979799999999997</v>
      </c>
      <c r="K363" s="5">
        <f>Table1[[#This Row],[القيمة المطلوبة]]</f>
        <v>34.979799999999997</v>
      </c>
      <c r="L363" s="5">
        <f t="shared" si="11"/>
        <v>0</v>
      </c>
      <c r="M363" s="5"/>
      <c r="N363" s="5"/>
    </row>
    <row r="364" spans="1:14" ht="14.4" customHeight="1" x14ac:dyDescent="0.3">
      <c r="A364" s="2">
        <v>364</v>
      </c>
      <c r="B364" s="2">
        <v>2022246</v>
      </c>
      <c r="C364" s="2" t="s">
        <v>273</v>
      </c>
      <c r="D364" s="2">
        <v>86813284</v>
      </c>
      <c r="E364" s="2" t="s">
        <v>15</v>
      </c>
      <c r="F364" s="3">
        <v>45980</v>
      </c>
      <c r="G364" s="4">
        <v>34.1</v>
      </c>
      <c r="H364" s="4">
        <v>5.1150000000000002</v>
      </c>
      <c r="I364" s="4">
        <v>28.984999999999999</v>
      </c>
      <c r="J364" s="5">
        <f t="shared" si="10"/>
        <v>26.939</v>
      </c>
      <c r="K364" s="5">
        <f>Table1[[#This Row],[القيمة المطلوبة]]</f>
        <v>26.939</v>
      </c>
      <c r="L364" s="5">
        <f t="shared" si="11"/>
        <v>0</v>
      </c>
      <c r="M364" s="5"/>
      <c r="N364" s="5"/>
    </row>
    <row r="365" spans="1:14" ht="14.4" customHeight="1" x14ac:dyDescent="0.3">
      <c r="A365" s="2">
        <v>370</v>
      </c>
      <c r="B365" s="2">
        <v>1904564</v>
      </c>
      <c r="C365" s="2" t="s">
        <v>71</v>
      </c>
      <c r="D365" s="2">
        <v>85423149</v>
      </c>
      <c r="E365" s="2" t="s">
        <v>19</v>
      </c>
      <c r="F365" s="3">
        <v>45981</v>
      </c>
      <c r="G365" s="4">
        <v>22.51</v>
      </c>
      <c r="H365" s="4">
        <v>4.5019999999999998</v>
      </c>
      <c r="I365" s="4">
        <v>18.007999999999999</v>
      </c>
      <c r="J365" s="5">
        <f t="shared" si="10"/>
        <v>16.657400000000003</v>
      </c>
      <c r="K365" s="5">
        <f>Table1[[#This Row],[القيمة المطلوبة]]</f>
        <v>16.657400000000003</v>
      </c>
      <c r="L365" s="5">
        <f t="shared" si="11"/>
        <v>0</v>
      </c>
      <c r="M365" s="5"/>
      <c r="N365" s="5"/>
    </row>
    <row r="366" spans="1:14" ht="14.4" customHeight="1" x14ac:dyDescent="0.3">
      <c r="A366" s="2">
        <v>368</v>
      </c>
      <c r="B366" s="2">
        <v>2011713</v>
      </c>
      <c r="C366" s="2" t="s">
        <v>275</v>
      </c>
      <c r="D366" s="2">
        <v>88320963</v>
      </c>
      <c r="E366" s="2" t="s">
        <v>15</v>
      </c>
      <c r="F366" s="3">
        <v>45981</v>
      </c>
      <c r="G366" s="4">
        <v>42.44</v>
      </c>
      <c r="H366" s="4">
        <v>8.4879999999999995</v>
      </c>
      <c r="I366" s="4">
        <v>33.951999999999998</v>
      </c>
      <c r="J366" s="5">
        <f t="shared" si="10"/>
        <v>31.405599999999993</v>
      </c>
      <c r="K366" s="5">
        <f>Table1[[#This Row],[القيمة المطلوبة]]</f>
        <v>31.405599999999993</v>
      </c>
      <c r="L366" s="5">
        <f t="shared" si="11"/>
        <v>0</v>
      </c>
      <c r="M366" s="5"/>
      <c r="N366" s="5"/>
    </row>
    <row r="367" spans="1:14" ht="14.4" customHeight="1" x14ac:dyDescent="0.3">
      <c r="A367" s="2">
        <v>367</v>
      </c>
      <c r="B367" s="2">
        <v>2034421</v>
      </c>
      <c r="C367" s="2" t="s">
        <v>277</v>
      </c>
      <c r="D367" s="2">
        <v>86811272</v>
      </c>
      <c r="E367" s="2" t="s">
        <v>19</v>
      </c>
      <c r="F367" s="3">
        <v>45981</v>
      </c>
      <c r="G367" s="4">
        <v>41.97</v>
      </c>
      <c r="H367" s="4">
        <v>6.2949999999999999</v>
      </c>
      <c r="I367" s="4">
        <v>35.674999999999997</v>
      </c>
      <c r="J367" s="5">
        <f t="shared" si="10"/>
        <v>33.156799999999997</v>
      </c>
      <c r="K367" s="5">
        <f>Table1[[#This Row],[القيمة المطلوبة]]</f>
        <v>33.156799999999997</v>
      </c>
      <c r="L367" s="5">
        <f t="shared" si="11"/>
        <v>0</v>
      </c>
      <c r="M367" s="5"/>
      <c r="N367" s="5"/>
    </row>
    <row r="368" spans="1:14" ht="14.4" customHeight="1" x14ac:dyDescent="0.3">
      <c r="A368" s="2">
        <v>369</v>
      </c>
      <c r="B368" s="2">
        <v>1833948</v>
      </c>
      <c r="C368" s="2" t="s">
        <v>102</v>
      </c>
      <c r="D368" s="2">
        <v>85423182</v>
      </c>
      <c r="E368" s="2" t="s">
        <v>15</v>
      </c>
      <c r="F368" s="3">
        <v>45981</v>
      </c>
      <c r="G368" s="4">
        <v>47.95</v>
      </c>
      <c r="H368" s="4">
        <v>9.59</v>
      </c>
      <c r="I368" s="4">
        <v>38.36</v>
      </c>
      <c r="J368" s="5">
        <f t="shared" si="10"/>
        <v>35.483000000000004</v>
      </c>
      <c r="K368" s="5">
        <f>Table1[[#This Row],[القيمة المطلوبة]]</f>
        <v>35.483000000000004</v>
      </c>
      <c r="L368" s="5">
        <f t="shared" si="11"/>
        <v>0</v>
      </c>
      <c r="M368" s="5"/>
      <c r="N368" s="5"/>
    </row>
    <row r="369" spans="1:14" ht="14.4" customHeight="1" x14ac:dyDescent="0.3">
      <c r="A369" s="2">
        <v>366</v>
      </c>
      <c r="B369" s="2">
        <v>2034424</v>
      </c>
      <c r="C369" s="2" t="s">
        <v>276</v>
      </c>
      <c r="D369" s="2">
        <v>86813307</v>
      </c>
      <c r="E369" s="2" t="s">
        <v>15</v>
      </c>
      <c r="F369" s="3">
        <v>45981</v>
      </c>
      <c r="G369" s="4">
        <v>49.48</v>
      </c>
      <c r="H369" s="4">
        <v>7.4219999999999997</v>
      </c>
      <c r="I369" s="4">
        <v>42.058</v>
      </c>
      <c r="J369" s="5">
        <f t="shared" si="10"/>
        <v>39.089199999999998</v>
      </c>
      <c r="K369" s="5">
        <f>Table1[[#This Row],[القيمة المطلوبة]]</f>
        <v>39.089199999999998</v>
      </c>
      <c r="L369" s="5">
        <f t="shared" si="11"/>
        <v>0</v>
      </c>
      <c r="M369" s="5"/>
      <c r="N369" s="5"/>
    </row>
    <row r="370" spans="1:14" ht="14.4" customHeight="1" x14ac:dyDescent="0.3">
      <c r="A370" s="2">
        <v>371</v>
      </c>
      <c r="B370" s="2">
        <v>1833947</v>
      </c>
      <c r="C370" s="2" t="s">
        <v>59</v>
      </c>
      <c r="D370" s="2">
        <v>85423163</v>
      </c>
      <c r="E370" s="2" t="s">
        <v>19</v>
      </c>
      <c r="F370" s="3">
        <v>45981</v>
      </c>
      <c r="G370" s="4">
        <v>54.91</v>
      </c>
      <c r="H370" s="4">
        <v>10.981999999999999</v>
      </c>
      <c r="I370" s="4">
        <v>43.927999999999997</v>
      </c>
      <c r="J370" s="5">
        <f t="shared" si="10"/>
        <v>40.633399999999995</v>
      </c>
      <c r="K370" s="5">
        <f>Table1[[#This Row],[القيمة المطلوبة]]</f>
        <v>40.633399999999995</v>
      </c>
      <c r="L370" s="5">
        <f t="shared" si="11"/>
        <v>0</v>
      </c>
      <c r="M370" s="5"/>
      <c r="N370" s="5"/>
    </row>
    <row r="371" spans="1:14" ht="14.4" customHeight="1" x14ac:dyDescent="0.3">
      <c r="A371" s="2">
        <v>365</v>
      </c>
      <c r="B371" s="2">
        <v>1988632</v>
      </c>
      <c r="C371" s="2" t="s">
        <v>274</v>
      </c>
      <c r="D371" s="2">
        <v>86811773</v>
      </c>
      <c r="E371" s="2" t="s">
        <v>15</v>
      </c>
      <c r="F371" s="3">
        <v>45981</v>
      </c>
      <c r="G371" s="4">
        <v>68.7</v>
      </c>
      <c r="H371" s="4">
        <v>10.305</v>
      </c>
      <c r="I371" s="4">
        <v>58.395000000000003</v>
      </c>
      <c r="J371" s="5">
        <f t="shared" si="10"/>
        <v>54.273000000000003</v>
      </c>
      <c r="K371" s="5">
        <f>Table1[[#This Row],[القيمة المطلوبة]]</f>
        <v>54.273000000000003</v>
      </c>
      <c r="L371" s="5">
        <f t="shared" si="11"/>
        <v>0</v>
      </c>
      <c r="M371" s="5"/>
      <c r="N371" s="5"/>
    </row>
    <row r="372" spans="1:14" ht="14.4" customHeight="1" x14ac:dyDescent="0.3">
      <c r="A372" s="2">
        <v>373</v>
      </c>
      <c r="B372" s="2">
        <v>2011645</v>
      </c>
      <c r="C372" s="2" t="s">
        <v>285</v>
      </c>
      <c r="D372" s="2">
        <v>88321699</v>
      </c>
      <c r="E372" s="2" t="s">
        <v>15</v>
      </c>
      <c r="F372" s="3">
        <v>45983</v>
      </c>
      <c r="G372" s="4">
        <v>7.45</v>
      </c>
      <c r="H372" s="4">
        <v>1.49</v>
      </c>
      <c r="I372" s="4">
        <v>5.96</v>
      </c>
      <c r="J372" s="5">
        <f t="shared" si="10"/>
        <v>5.5129999999999999</v>
      </c>
      <c r="K372" s="5">
        <f>Table1[[#This Row],[القيمة المطلوبة]]</f>
        <v>5.5129999999999999</v>
      </c>
      <c r="L372" s="5">
        <f t="shared" si="11"/>
        <v>0</v>
      </c>
      <c r="M372" s="5"/>
      <c r="N372" s="5"/>
    </row>
    <row r="373" spans="1:14" ht="14.4" customHeight="1" x14ac:dyDescent="0.3">
      <c r="A373" s="2">
        <v>382</v>
      </c>
      <c r="B373" s="2">
        <v>1988690</v>
      </c>
      <c r="C373" s="2" t="s">
        <v>193</v>
      </c>
      <c r="D373" s="2">
        <v>86812107</v>
      </c>
      <c r="E373" s="2" t="s">
        <v>15</v>
      </c>
      <c r="F373" s="3">
        <v>45983</v>
      </c>
      <c r="G373" s="4">
        <v>10.19</v>
      </c>
      <c r="H373" s="4">
        <v>1.528</v>
      </c>
      <c r="I373" s="4">
        <v>8.6620000000000008</v>
      </c>
      <c r="J373" s="5">
        <f t="shared" si="10"/>
        <v>8.0505999999999993</v>
      </c>
      <c r="K373" s="5">
        <f>Table1[[#This Row],[القيمة المطلوبة]]</f>
        <v>8.0505999999999993</v>
      </c>
      <c r="L373" s="5">
        <f t="shared" si="11"/>
        <v>0</v>
      </c>
      <c r="M373" s="5"/>
      <c r="N373" s="5"/>
    </row>
    <row r="374" spans="1:14" ht="14.4" customHeight="1" x14ac:dyDescent="0.3">
      <c r="A374" s="2">
        <v>378</v>
      </c>
      <c r="B374" s="2">
        <v>1988661</v>
      </c>
      <c r="C374" s="2" t="s">
        <v>284</v>
      </c>
      <c r="D374" s="2">
        <v>86812986</v>
      </c>
      <c r="E374" s="2" t="s">
        <v>15</v>
      </c>
      <c r="F374" s="3">
        <v>45983</v>
      </c>
      <c r="G374" s="4">
        <v>20.149999999999999</v>
      </c>
      <c r="H374" s="4">
        <v>3.0219999999999998</v>
      </c>
      <c r="I374" s="4">
        <v>17.128</v>
      </c>
      <c r="J374" s="5">
        <f t="shared" si="10"/>
        <v>15.918999999999999</v>
      </c>
      <c r="K374" s="5">
        <f>Table1[[#This Row],[القيمة المطلوبة]]</f>
        <v>15.918999999999999</v>
      </c>
      <c r="L374" s="5">
        <f t="shared" si="11"/>
        <v>0</v>
      </c>
      <c r="M374" s="5"/>
      <c r="N374" s="5"/>
    </row>
    <row r="375" spans="1:14" ht="14.4" customHeight="1" x14ac:dyDescent="0.3">
      <c r="A375" s="2">
        <v>379</v>
      </c>
      <c r="B375" s="2">
        <v>1988671</v>
      </c>
      <c r="C375" s="2" t="s">
        <v>283</v>
      </c>
      <c r="D375" s="2">
        <v>86812577</v>
      </c>
      <c r="E375" s="2" t="s">
        <v>15</v>
      </c>
      <c r="F375" s="3">
        <v>45983</v>
      </c>
      <c r="G375" s="4">
        <v>24.03</v>
      </c>
      <c r="H375" s="4">
        <v>3.6040000000000001</v>
      </c>
      <c r="I375" s="4">
        <v>20.425999999999998</v>
      </c>
      <c r="J375" s="5">
        <f t="shared" si="10"/>
        <v>18.984200000000001</v>
      </c>
      <c r="K375" s="5">
        <f>Table1[[#This Row],[القيمة المطلوبة]]</f>
        <v>18.984200000000001</v>
      </c>
      <c r="L375" s="5">
        <f t="shared" si="11"/>
        <v>0</v>
      </c>
      <c r="M375" s="5"/>
      <c r="N375" s="5"/>
    </row>
    <row r="376" spans="1:14" ht="14.4" customHeight="1" x14ac:dyDescent="0.3">
      <c r="A376" s="2">
        <v>380</v>
      </c>
      <c r="B376" s="2">
        <v>1988669</v>
      </c>
      <c r="C376" s="2" t="s">
        <v>39</v>
      </c>
      <c r="D376" s="2">
        <v>86811095</v>
      </c>
      <c r="E376" s="2" t="s">
        <v>19</v>
      </c>
      <c r="F376" s="3">
        <v>45983</v>
      </c>
      <c r="G376" s="4">
        <v>29.61</v>
      </c>
      <c r="H376" s="4">
        <v>4.4409999999999998</v>
      </c>
      <c r="I376" s="4">
        <v>25.169</v>
      </c>
      <c r="J376" s="5">
        <f t="shared" si="10"/>
        <v>23.392399999999999</v>
      </c>
      <c r="K376" s="5">
        <f>Table1[[#This Row],[القيمة المطلوبة]]</f>
        <v>23.392399999999999</v>
      </c>
      <c r="L376" s="5">
        <f t="shared" si="11"/>
        <v>0</v>
      </c>
      <c r="M376" s="5"/>
      <c r="N376" s="5"/>
    </row>
    <row r="377" spans="1:14" ht="14.4" customHeight="1" x14ac:dyDescent="0.3">
      <c r="A377" s="2">
        <v>377</v>
      </c>
      <c r="B377" s="2">
        <v>2011644</v>
      </c>
      <c r="C377" s="2" t="s">
        <v>281</v>
      </c>
      <c r="D377" s="2">
        <v>88321702</v>
      </c>
      <c r="E377" s="2" t="s">
        <v>15</v>
      </c>
      <c r="F377" s="3">
        <v>45983</v>
      </c>
      <c r="G377" s="4">
        <v>33.17</v>
      </c>
      <c r="H377" s="4">
        <v>6.6340000000000003</v>
      </c>
      <c r="I377" s="4">
        <v>26.536000000000001</v>
      </c>
      <c r="J377" s="5">
        <f t="shared" si="10"/>
        <v>24.5458</v>
      </c>
      <c r="K377" s="5">
        <f>Table1[[#This Row],[القيمة المطلوبة]]</f>
        <v>24.5458</v>
      </c>
      <c r="L377" s="5">
        <f t="shared" si="11"/>
        <v>0</v>
      </c>
      <c r="M377" s="5"/>
      <c r="N377" s="5"/>
    </row>
    <row r="378" spans="1:14" ht="14.4" customHeight="1" x14ac:dyDescent="0.3">
      <c r="A378" s="2">
        <v>372</v>
      </c>
      <c r="B378" s="2">
        <v>1988565</v>
      </c>
      <c r="C378" s="2" t="s">
        <v>240</v>
      </c>
      <c r="D378" s="2">
        <v>86815162</v>
      </c>
      <c r="E378" s="2" t="s">
        <v>19</v>
      </c>
      <c r="F378" s="3">
        <v>45983</v>
      </c>
      <c r="G378" s="4">
        <v>35.71</v>
      </c>
      <c r="H378" s="4">
        <v>5.3559999999999999</v>
      </c>
      <c r="I378" s="4">
        <v>30.353999999999999</v>
      </c>
      <c r="J378" s="5">
        <f t="shared" si="10"/>
        <v>28.211399999999998</v>
      </c>
      <c r="K378" s="5">
        <f>Table1[[#This Row],[القيمة المطلوبة]]</f>
        <v>28.211399999999998</v>
      </c>
      <c r="L378" s="5">
        <f t="shared" si="11"/>
        <v>0</v>
      </c>
      <c r="M378" s="5"/>
      <c r="N378" s="5"/>
    </row>
    <row r="379" spans="1:14" ht="14.4" customHeight="1" x14ac:dyDescent="0.3">
      <c r="A379" s="2">
        <v>375</v>
      </c>
      <c r="B379" s="2">
        <v>2011646</v>
      </c>
      <c r="C379" s="2" t="s">
        <v>280</v>
      </c>
      <c r="D379" s="2">
        <v>88321996</v>
      </c>
      <c r="E379" s="2" t="s">
        <v>15</v>
      </c>
      <c r="F379" s="3">
        <v>45983</v>
      </c>
      <c r="G379" s="4">
        <v>41.41</v>
      </c>
      <c r="H379" s="4">
        <v>8.282</v>
      </c>
      <c r="I379" s="4">
        <v>33.128</v>
      </c>
      <c r="J379" s="5">
        <f t="shared" si="10"/>
        <v>30.643399999999996</v>
      </c>
      <c r="K379" s="5">
        <f>Table1[[#This Row],[القيمة المطلوبة]]</f>
        <v>30.643399999999996</v>
      </c>
      <c r="L379" s="5">
        <f t="shared" si="11"/>
        <v>0</v>
      </c>
      <c r="M379" s="5"/>
      <c r="N379" s="5"/>
    </row>
    <row r="380" spans="1:14" ht="14.4" customHeight="1" x14ac:dyDescent="0.3">
      <c r="A380" s="2">
        <v>381</v>
      </c>
      <c r="B380" s="2">
        <v>2034423</v>
      </c>
      <c r="C380" s="2" t="s">
        <v>282</v>
      </c>
      <c r="D380" s="2">
        <v>86813305</v>
      </c>
      <c r="E380" s="2" t="s">
        <v>15</v>
      </c>
      <c r="F380" s="3">
        <v>45983</v>
      </c>
      <c r="G380" s="4">
        <v>40</v>
      </c>
      <c r="H380" s="4">
        <v>6</v>
      </c>
      <c r="I380" s="4">
        <v>34</v>
      </c>
      <c r="J380" s="5">
        <f t="shared" si="10"/>
        <v>31.599999999999994</v>
      </c>
      <c r="K380" s="5">
        <f>Table1[[#This Row],[القيمة المطلوبة]]</f>
        <v>31.599999999999994</v>
      </c>
      <c r="L380" s="5">
        <f t="shared" si="11"/>
        <v>0</v>
      </c>
      <c r="M380" s="5"/>
      <c r="N380" s="5"/>
    </row>
    <row r="381" spans="1:14" ht="14.4" customHeight="1" x14ac:dyDescent="0.3">
      <c r="A381" s="2">
        <v>376</v>
      </c>
      <c r="B381" s="2">
        <v>2011642</v>
      </c>
      <c r="C381" s="2" t="s">
        <v>279</v>
      </c>
      <c r="D381" s="2">
        <v>88321998</v>
      </c>
      <c r="E381" s="2" t="s">
        <v>19</v>
      </c>
      <c r="F381" s="3">
        <v>45983</v>
      </c>
      <c r="G381" s="4">
        <v>45.58</v>
      </c>
      <c r="H381" s="4">
        <v>9.1159999999999997</v>
      </c>
      <c r="I381" s="4">
        <v>36.463999999999999</v>
      </c>
      <c r="J381" s="5">
        <f t="shared" si="10"/>
        <v>33.729199999999999</v>
      </c>
      <c r="K381" s="5">
        <f>Table1[[#This Row],[القيمة المطلوبة]]</f>
        <v>33.729199999999999</v>
      </c>
      <c r="L381" s="5">
        <f t="shared" si="11"/>
        <v>0</v>
      </c>
      <c r="M381" s="5"/>
      <c r="N381" s="5"/>
    </row>
    <row r="382" spans="1:14" ht="14.4" customHeight="1" x14ac:dyDescent="0.3">
      <c r="A382" s="2">
        <v>374</v>
      </c>
      <c r="B382" s="2">
        <v>2011643</v>
      </c>
      <c r="C382" s="2" t="s">
        <v>278</v>
      </c>
      <c r="D382" s="2">
        <v>88321696</v>
      </c>
      <c r="E382" s="2" t="s">
        <v>15</v>
      </c>
      <c r="F382" s="3">
        <v>45983</v>
      </c>
      <c r="G382" s="4">
        <v>46.35</v>
      </c>
      <c r="H382" s="4">
        <v>9.27</v>
      </c>
      <c r="I382" s="4">
        <v>37.08</v>
      </c>
      <c r="J382" s="5">
        <f t="shared" si="10"/>
        <v>34.298999999999992</v>
      </c>
      <c r="K382" s="5">
        <f>Table1[[#This Row],[القيمة المطلوبة]]</f>
        <v>34.298999999999992</v>
      </c>
      <c r="L382" s="5">
        <f t="shared" si="11"/>
        <v>0</v>
      </c>
      <c r="M382" s="5"/>
      <c r="N382" s="5"/>
    </row>
    <row r="383" spans="1:14" ht="14.4" customHeight="1" x14ac:dyDescent="0.3">
      <c r="A383" s="2">
        <v>384</v>
      </c>
      <c r="B383" s="2">
        <v>1988585</v>
      </c>
      <c r="C383" s="2" t="s">
        <v>288</v>
      </c>
      <c r="D383" s="2">
        <v>86812223</v>
      </c>
      <c r="E383" s="2" t="s">
        <v>15</v>
      </c>
      <c r="F383" s="3">
        <v>45985</v>
      </c>
      <c r="G383" s="4">
        <v>24.33</v>
      </c>
      <c r="H383" s="4">
        <v>3.649</v>
      </c>
      <c r="I383" s="4">
        <v>20.681000000000001</v>
      </c>
      <c r="J383" s="5">
        <f t="shared" si="10"/>
        <v>19.221199999999996</v>
      </c>
      <c r="K383" s="5">
        <f>Table1[[#This Row],[القيمة المطلوبة]]</f>
        <v>19.221199999999996</v>
      </c>
      <c r="L383" s="5">
        <f t="shared" si="11"/>
        <v>0</v>
      </c>
      <c r="M383" s="5"/>
      <c r="N383" s="5"/>
    </row>
    <row r="384" spans="1:14" ht="14.4" customHeight="1" x14ac:dyDescent="0.3">
      <c r="A384" s="2">
        <v>385</v>
      </c>
      <c r="B384" s="2">
        <v>2011668</v>
      </c>
      <c r="C384" s="2" t="s">
        <v>287</v>
      </c>
      <c r="D384" s="2">
        <v>88320890</v>
      </c>
      <c r="E384" s="2" t="s">
        <v>19</v>
      </c>
      <c r="F384" s="3">
        <v>45985</v>
      </c>
      <c r="G384" s="4">
        <v>45.42</v>
      </c>
      <c r="H384" s="4">
        <v>9.0839999999999996</v>
      </c>
      <c r="I384" s="4">
        <v>36.335999999999999</v>
      </c>
      <c r="J384" s="5">
        <f t="shared" si="10"/>
        <v>33.610799999999998</v>
      </c>
      <c r="K384" s="5">
        <f>Table1[[#This Row],[القيمة المطلوبة]]</f>
        <v>33.610799999999998</v>
      </c>
      <c r="L384" s="5">
        <f t="shared" si="11"/>
        <v>0</v>
      </c>
      <c r="M384" s="5"/>
      <c r="N384" s="5"/>
    </row>
    <row r="385" spans="1:14" ht="14.4" customHeight="1" x14ac:dyDescent="0.3">
      <c r="A385" s="2">
        <v>383</v>
      </c>
      <c r="B385" s="2">
        <v>2034422</v>
      </c>
      <c r="C385" s="2" t="s">
        <v>286</v>
      </c>
      <c r="D385" s="2">
        <v>86813308</v>
      </c>
      <c r="E385" s="2" t="s">
        <v>15</v>
      </c>
      <c r="F385" s="3">
        <v>45985</v>
      </c>
      <c r="G385" s="4">
        <v>61</v>
      </c>
      <c r="H385" s="4">
        <v>9.15</v>
      </c>
      <c r="I385" s="4">
        <v>51.85</v>
      </c>
      <c r="J385" s="5">
        <f t="shared" si="10"/>
        <v>48.19</v>
      </c>
      <c r="K385" s="5">
        <f>Table1[[#This Row],[القيمة المطلوبة]]</f>
        <v>48.19</v>
      </c>
      <c r="L385" s="5">
        <f t="shared" si="11"/>
        <v>0</v>
      </c>
      <c r="M385" s="5"/>
      <c r="N385" s="5"/>
    </row>
    <row r="386" spans="1:14" ht="14.4" customHeight="1" x14ac:dyDescent="0.3">
      <c r="A386" s="2">
        <v>389</v>
      </c>
      <c r="B386" s="2">
        <v>1990710</v>
      </c>
      <c r="C386" s="2" t="s">
        <v>135</v>
      </c>
      <c r="D386" s="2">
        <v>86812491</v>
      </c>
      <c r="E386" s="2" t="s">
        <v>15</v>
      </c>
      <c r="F386" s="3">
        <v>45986</v>
      </c>
      <c r="G386" s="4">
        <v>12.47</v>
      </c>
      <c r="H386" s="4">
        <v>1.87</v>
      </c>
      <c r="I386" s="4">
        <v>10.6</v>
      </c>
      <c r="J386" s="5">
        <f t="shared" ref="J386:J449" si="12">G386*0.94-H386</f>
        <v>9.8518000000000008</v>
      </c>
      <c r="K386" s="5">
        <f>Table1[[#This Row],[القيمة المطلوبة]]</f>
        <v>9.8518000000000008</v>
      </c>
      <c r="L386" s="5">
        <f t="shared" ref="L386:L449" si="13">J386-K386</f>
        <v>0</v>
      </c>
      <c r="M386" s="5"/>
      <c r="N386" s="5"/>
    </row>
    <row r="387" spans="1:14" ht="14.4" customHeight="1" x14ac:dyDescent="0.3">
      <c r="A387" s="2">
        <v>388</v>
      </c>
      <c r="B387" s="2">
        <v>1988624</v>
      </c>
      <c r="C387" s="2" t="s">
        <v>195</v>
      </c>
      <c r="D387" s="2">
        <v>86812191</v>
      </c>
      <c r="E387" s="2" t="s">
        <v>15</v>
      </c>
      <c r="F387" s="3">
        <v>45986</v>
      </c>
      <c r="G387" s="4">
        <v>17.47</v>
      </c>
      <c r="H387" s="4">
        <v>2.62</v>
      </c>
      <c r="I387" s="4">
        <v>14.85</v>
      </c>
      <c r="J387" s="5">
        <f t="shared" si="12"/>
        <v>13.801799999999997</v>
      </c>
      <c r="K387" s="5">
        <f>Table1[[#This Row],[القيمة المطلوبة]]</f>
        <v>13.801799999999997</v>
      </c>
      <c r="L387" s="5">
        <f t="shared" si="13"/>
        <v>0</v>
      </c>
      <c r="M387" s="5"/>
      <c r="N387" s="5"/>
    </row>
    <row r="388" spans="1:14" ht="14.4" customHeight="1" x14ac:dyDescent="0.3">
      <c r="A388" s="2">
        <v>387</v>
      </c>
      <c r="B388" s="2">
        <v>1988623</v>
      </c>
      <c r="C388" s="2" t="s">
        <v>159</v>
      </c>
      <c r="D388" s="2">
        <v>86812496</v>
      </c>
      <c r="E388" s="2" t="s">
        <v>15</v>
      </c>
      <c r="F388" s="3">
        <v>45986</v>
      </c>
      <c r="G388" s="4">
        <v>17.760000000000002</v>
      </c>
      <c r="H388" s="4">
        <v>2.6640000000000001</v>
      </c>
      <c r="I388" s="4">
        <v>15.096</v>
      </c>
      <c r="J388" s="5">
        <f t="shared" si="12"/>
        <v>14.030400000000002</v>
      </c>
      <c r="K388" s="5">
        <f>Table1[[#This Row],[القيمة المطلوبة]]</f>
        <v>14.030400000000002</v>
      </c>
      <c r="L388" s="5">
        <f t="shared" si="13"/>
        <v>0</v>
      </c>
      <c r="M388" s="5"/>
      <c r="N388" s="5"/>
    </row>
    <row r="389" spans="1:14" ht="14.4" customHeight="1" x14ac:dyDescent="0.3">
      <c r="A389" s="2">
        <v>386</v>
      </c>
      <c r="B389" s="2">
        <v>1988584</v>
      </c>
      <c r="C389" s="2" t="s">
        <v>120</v>
      </c>
      <c r="D389" s="2">
        <v>86812444</v>
      </c>
      <c r="E389" s="2" t="s">
        <v>15</v>
      </c>
      <c r="F389" s="3">
        <v>45986</v>
      </c>
      <c r="G389" s="4">
        <v>40.450000000000003</v>
      </c>
      <c r="H389" s="4">
        <v>6.0670000000000002</v>
      </c>
      <c r="I389" s="4">
        <v>34.383000000000003</v>
      </c>
      <c r="J389" s="5">
        <f t="shared" si="12"/>
        <v>31.956000000000003</v>
      </c>
      <c r="K389" s="5">
        <f>Table1[[#This Row],[القيمة المطلوبة]]</f>
        <v>31.956000000000003</v>
      </c>
      <c r="L389" s="5">
        <f t="shared" si="13"/>
        <v>0</v>
      </c>
      <c r="M389" s="5"/>
      <c r="N389" s="5"/>
    </row>
    <row r="390" spans="1:14" ht="14.4" customHeight="1" x14ac:dyDescent="0.3">
      <c r="A390" s="2">
        <v>392</v>
      </c>
      <c r="B390" s="2">
        <v>1876003</v>
      </c>
      <c r="C390" s="2" t="s">
        <v>45</v>
      </c>
      <c r="D390" s="2">
        <v>88579431</v>
      </c>
      <c r="E390" s="2" t="s">
        <v>19</v>
      </c>
      <c r="F390" s="3">
        <v>45987</v>
      </c>
      <c r="G390" s="4">
        <v>6.02</v>
      </c>
      <c r="H390" s="4">
        <v>1.204</v>
      </c>
      <c r="I390" s="4">
        <v>4.8159999999999998</v>
      </c>
      <c r="J390" s="5">
        <f t="shared" si="12"/>
        <v>4.4547999999999996</v>
      </c>
      <c r="K390" s="5">
        <f>Table1[[#This Row],[القيمة المطلوبة]]</f>
        <v>4.4547999999999996</v>
      </c>
      <c r="L390" s="5">
        <f t="shared" si="13"/>
        <v>0</v>
      </c>
      <c r="M390" s="5"/>
      <c r="N390" s="5"/>
    </row>
    <row r="391" spans="1:14" ht="14.4" customHeight="1" x14ac:dyDescent="0.3">
      <c r="A391" s="2">
        <v>390</v>
      </c>
      <c r="B391" s="2">
        <v>1988709</v>
      </c>
      <c r="C391" s="2" t="s">
        <v>248</v>
      </c>
      <c r="D391" s="2">
        <v>86812308</v>
      </c>
      <c r="E391" s="2" t="s">
        <v>15</v>
      </c>
      <c r="F391" s="3">
        <v>45987</v>
      </c>
      <c r="G391" s="4">
        <v>15.62</v>
      </c>
      <c r="H391" s="4">
        <v>2.343</v>
      </c>
      <c r="I391" s="4">
        <v>13.276999999999999</v>
      </c>
      <c r="J391" s="5">
        <f t="shared" si="12"/>
        <v>12.339799999999999</v>
      </c>
      <c r="K391" s="5">
        <f>Table1[[#This Row],[القيمة المطلوبة]]</f>
        <v>12.339799999999999</v>
      </c>
      <c r="L391" s="5">
        <f t="shared" si="13"/>
        <v>0</v>
      </c>
      <c r="M391" s="5"/>
      <c r="N391" s="5"/>
    </row>
    <row r="392" spans="1:14" ht="14.4" customHeight="1" x14ac:dyDescent="0.3">
      <c r="A392" s="2">
        <v>391</v>
      </c>
      <c r="B392" s="2">
        <v>1970946</v>
      </c>
      <c r="C392" s="2" t="s">
        <v>132</v>
      </c>
      <c r="D392" s="2">
        <v>85836872</v>
      </c>
      <c r="E392" s="2" t="s">
        <v>19</v>
      </c>
      <c r="F392" s="3">
        <v>45987</v>
      </c>
      <c r="G392" s="4">
        <v>18.829999999999998</v>
      </c>
      <c r="H392" s="4">
        <v>1.883</v>
      </c>
      <c r="I392" s="4">
        <v>16.946999999999999</v>
      </c>
      <c r="J392" s="5">
        <f t="shared" si="12"/>
        <v>15.8172</v>
      </c>
      <c r="K392" s="5">
        <f>Table1[[#This Row],[القيمة المطلوبة]]</f>
        <v>15.8172</v>
      </c>
      <c r="L392" s="5">
        <f t="shared" si="13"/>
        <v>0</v>
      </c>
      <c r="M392" s="5"/>
      <c r="N392" s="5"/>
    </row>
    <row r="393" spans="1:14" ht="14.4" customHeight="1" x14ac:dyDescent="0.3">
      <c r="A393" s="2">
        <v>393</v>
      </c>
      <c r="B393" s="2">
        <v>1988667</v>
      </c>
      <c r="C393" s="2" t="s">
        <v>289</v>
      </c>
      <c r="D393" s="2">
        <v>86812202</v>
      </c>
      <c r="E393" s="2" t="s">
        <v>15</v>
      </c>
      <c r="F393" s="3">
        <v>45988</v>
      </c>
      <c r="G393" s="4">
        <v>32</v>
      </c>
      <c r="H393" s="4">
        <v>4.8</v>
      </c>
      <c r="I393" s="4">
        <v>27.2</v>
      </c>
      <c r="J393" s="5">
        <f t="shared" si="12"/>
        <v>25.279999999999998</v>
      </c>
      <c r="K393" s="5">
        <f>Table1[[#This Row],[القيمة المطلوبة]]</f>
        <v>25.279999999999998</v>
      </c>
      <c r="L393" s="5">
        <f t="shared" si="13"/>
        <v>0</v>
      </c>
      <c r="M393" s="5"/>
      <c r="N393" s="5"/>
    </row>
    <row r="394" spans="1:14" ht="14.4" customHeight="1" x14ac:dyDescent="0.3">
      <c r="A394" s="2">
        <v>394</v>
      </c>
      <c r="B394" s="2">
        <v>1988596</v>
      </c>
      <c r="C394" s="2" t="s">
        <v>290</v>
      </c>
      <c r="D394" s="2">
        <v>86812455</v>
      </c>
      <c r="E394" s="2" t="s">
        <v>15</v>
      </c>
      <c r="F394" s="3">
        <v>45989</v>
      </c>
      <c r="G394" s="4">
        <v>20.92</v>
      </c>
      <c r="H394" s="4">
        <v>3.1379999999999999</v>
      </c>
      <c r="I394" s="4">
        <v>17.782</v>
      </c>
      <c r="J394" s="5">
        <f t="shared" si="12"/>
        <v>16.526800000000001</v>
      </c>
      <c r="K394" s="5">
        <f>Table1[[#This Row],[القيمة المطلوبة]]</f>
        <v>16.526800000000001</v>
      </c>
      <c r="L394" s="5">
        <f t="shared" si="13"/>
        <v>0</v>
      </c>
      <c r="M394" s="5"/>
      <c r="N394" s="5"/>
    </row>
    <row r="395" spans="1:14" ht="14.4" customHeight="1" x14ac:dyDescent="0.3">
      <c r="A395" s="2">
        <v>400</v>
      </c>
      <c r="B395" s="2">
        <v>1990710</v>
      </c>
      <c r="C395" s="2" t="s">
        <v>135</v>
      </c>
      <c r="D395" s="2" t="s">
        <v>291</v>
      </c>
      <c r="E395" s="2" t="s">
        <v>15</v>
      </c>
      <c r="F395" s="3">
        <v>45990</v>
      </c>
      <c r="G395" s="4">
        <v>9.36</v>
      </c>
      <c r="H395" s="4">
        <v>1.4039999999999999</v>
      </c>
      <c r="I395" s="4">
        <v>7.9560000000000004</v>
      </c>
      <c r="J395" s="5">
        <f t="shared" si="12"/>
        <v>7.3943999999999992</v>
      </c>
      <c r="K395" s="5">
        <f>Table1[[#This Row],[القيمة المطلوبة]]</f>
        <v>7.3943999999999992</v>
      </c>
      <c r="L395" s="5">
        <f t="shared" si="13"/>
        <v>0</v>
      </c>
      <c r="M395" s="5"/>
      <c r="N395" s="5"/>
    </row>
    <row r="396" spans="1:14" ht="14.4" customHeight="1" x14ac:dyDescent="0.3">
      <c r="A396" s="2">
        <v>397</v>
      </c>
      <c r="B396" s="2">
        <v>1862236</v>
      </c>
      <c r="C396" s="2" t="s">
        <v>242</v>
      </c>
      <c r="D396" s="2">
        <v>87312738</v>
      </c>
      <c r="E396" s="2" t="s">
        <v>15</v>
      </c>
      <c r="F396" s="3">
        <v>45990</v>
      </c>
      <c r="G396" s="4">
        <v>17.940000000000001</v>
      </c>
      <c r="H396" s="4">
        <v>0</v>
      </c>
      <c r="I396" s="4">
        <v>17.940000000000001</v>
      </c>
      <c r="J396" s="5">
        <f t="shared" si="12"/>
        <v>16.863600000000002</v>
      </c>
      <c r="K396" s="5">
        <f>Table1[[#This Row],[القيمة المطلوبة]]</f>
        <v>16.863600000000002</v>
      </c>
      <c r="L396" s="5">
        <f t="shared" si="13"/>
        <v>0</v>
      </c>
      <c r="M396" s="5"/>
      <c r="N396" s="5"/>
    </row>
    <row r="397" spans="1:14" ht="14.4" customHeight="1" x14ac:dyDescent="0.3">
      <c r="A397" s="2">
        <v>398</v>
      </c>
      <c r="B397" s="2">
        <v>1862235</v>
      </c>
      <c r="C397" s="2" t="s">
        <v>292</v>
      </c>
      <c r="D397" s="2">
        <v>87312842</v>
      </c>
      <c r="E397" s="2" t="s">
        <v>15</v>
      </c>
      <c r="F397" s="3">
        <v>45990</v>
      </c>
      <c r="G397" s="4">
        <v>31.17</v>
      </c>
      <c r="H397" s="4">
        <v>0</v>
      </c>
      <c r="I397" s="4">
        <v>31.17</v>
      </c>
      <c r="J397" s="5">
        <f t="shared" si="12"/>
        <v>29.299800000000001</v>
      </c>
      <c r="K397" s="5">
        <f>Table1[[#This Row],[القيمة المطلوبة]]</f>
        <v>29.299800000000001</v>
      </c>
      <c r="L397" s="5">
        <f t="shared" si="13"/>
        <v>0</v>
      </c>
      <c r="M397" s="5"/>
      <c r="N397" s="5"/>
    </row>
    <row r="398" spans="1:14" ht="14.4" customHeight="1" x14ac:dyDescent="0.3">
      <c r="A398" s="2">
        <v>395</v>
      </c>
      <c r="B398" s="2">
        <v>1988573</v>
      </c>
      <c r="C398" s="2" t="s">
        <v>54</v>
      </c>
      <c r="D398" s="2">
        <v>86811168</v>
      </c>
      <c r="E398" s="2" t="s">
        <v>19</v>
      </c>
      <c r="F398" s="3">
        <v>45990</v>
      </c>
      <c r="G398" s="4">
        <v>46.26</v>
      </c>
      <c r="H398" s="4">
        <v>6.9390000000000001</v>
      </c>
      <c r="I398" s="4">
        <v>39.320999999999998</v>
      </c>
      <c r="J398" s="5">
        <f t="shared" si="12"/>
        <v>36.545399999999994</v>
      </c>
      <c r="K398" s="5">
        <f>Table1[[#This Row],[القيمة المطلوبة]]</f>
        <v>36.545399999999994</v>
      </c>
      <c r="L398" s="5">
        <f t="shared" si="13"/>
        <v>0</v>
      </c>
      <c r="M398" s="5"/>
      <c r="N398" s="5"/>
    </row>
    <row r="399" spans="1:14" ht="14.4" customHeight="1" x14ac:dyDescent="0.3">
      <c r="A399" s="2">
        <v>399</v>
      </c>
      <c r="B399" s="2">
        <v>1988621</v>
      </c>
      <c r="C399" s="2" t="s">
        <v>69</v>
      </c>
      <c r="D399" s="2">
        <v>86811185</v>
      </c>
      <c r="E399" s="2" t="s">
        <v>19</v>
      </c>
      <c r="F399" s="3">
        <v>45990</v>
      </c>
      <c r="G399" s="4">
        <v>52.21</v>
      </c>
      <c r="H399" s="4">
        <v>7.8310000000000004</v>
      </c>
      <c r="I399" s="4">
        <v>44.378999999999998</v>
      </c>
      <c r="J399" s="5">
        <f t="shared" si="12"/>
        <v>41.246399999999994</v>
      </c>
      <c r="K399" s="5">
        <f>Table1[[#This Row],[القيمة المطلوبة]]</f>
        <v>41.246399999999994</v>
      </c>
      <c r="L399" s="5">
        <f t="shared" si="13"/>
        <v>0</v>
      </c>
      <c r="M399" s="5"/>
      <c r="N399" s="5"/>
    </row>
    <row r="400" spans="1:14" ht="14.4" customHeight="1" x14ac:dyDescent="0.3">
      <c r="A400" s="2">
        <v>396</v>
      </c>
      <c r="B400" s="2">
        <v>1862234</v>
      </c>
      <c r="C400" s="2" t="s">
        <v>165</v>
      </c>
      <c r="D400" s="2">
        <v>87312838</v>
      </c>
      <c r="E400" s="2" t="s">
        <v>19</v>
      </c>
      <c r="F400" s="3">
        <v>45990</v>
      </c>
      <c r="G400" s="4">
        <v>54.91</v>
      </c>
      <c r="H400" s="4">
        <v>0</v>
      </c>
      <c r="I400" s="4">
        <v>54.91</v>
      </c>
      <c r="J400" s="5">
        <f t="shared" si="12"/>
        <v>51.615399999999994</v>
      </c>
      <c r="K400" s="5">
        <f>Table1[[#This Row],[القيمة المطلوبة]]</f>
        <v>51.615399999999994</v>
      </c>
      <c r="L400" s="5">
        <f t="shared" si="13"/>
        <v>0</v>
      </c>
      <c r="M400" s="5"/>
      <c r="N400" s="5"/>
    </row>
    <row r="401" spans="1:14" ht="14.4" customHeight="1" x14ac:dyDescent="0.3">
      <c r="A401" s="2">
        <v>402</v>
      </c>
      <c r="B401" s="2">
        <v>2011681</v>
      </c>
      <c r="C401" s="2" t="s">
        <v>293</v>
      </c>
      <c r="D401" s="2">
        <v>88321145</v>
      </c>
      <c r="E401" s="2" t="s">
        <v>19</v>
      </c>
      <c r="F401" s="3">
        <v>45991</v>
      </c>
      <c r="G401" s="4">
        <v>44.25</v>
      </c>
      <c r="H401" s="4">
        <v>8.85</v>
      </c>
      <c r="I401" s="4">
        <v>35.4</v>
      </c>
      <c r="J401" s="5">
        <f t="shared" si="12"/>
        <v>32.744999999999997</v>
      </c>
      <c r="K401" s="5">
        <f>Table1[[#This Row],[القيمة المطلوبة]]</f>
        <v>32.744999999999997</v>
      </c>
      <c r="L401" s="5">
        <f t="shared" si="13"/>
        <v>0</v>
      </c>
      <c r="M401" s="5"/>
      <c r="N401" s="5"/>
    </row>
    <row r="402" spans="1:14" ht="14.4" customHeight="1" x14ac:dyDescent="0.3">
      <c r="A402" s="2">
        <v>401</v>
      </c>
      <c r="B402" s="2">
        <v>1840199</v>
      </c>
      <c r="C402" s="2" t="s">
        <v>294</v>
      </c>
      <c r="D402" s="2">
        <v>86718023</v>
      </c>
      <c r="E402" s="2" t="s">
        <v>19</v>
      </c>
      <c r="F402" s="3">
        <v>45991</v>
      </c>
      <c r="G402" s="4">
        <v>42.72</v>
      </c>
      <c r="H402" s="4">
        <v>6.4080000000000004</v>
      </c>
      <c r="I402" s="4">
        <v>36.311999999999998</v>
      </c>
      <c r="J402" s="5">
        <f t="shared" si="12"/>
        <v>33.748799999999996</v>
      </c>
      <c r="K402" s="5">
        <f>Table1[[#This Row],[القيمة المطلوبة]]</f>
        <v>33.748799999999996</v>
      </c>
      <c r="L402" s="5">
        <f t="shared" si="13"/>
        <v>0</v>
      </c>
      <c r="M402" s="5"/>
      <c r="N402" s="5"/>
    </row>
    <row r="403" spans="1:14" ht="14.4" customHeight="1" x14ac:dyDescent="0.3">
      <c r="A403" s="2">
        <v>403</v>
      </c>
      <c r="B403" s="2">
        <v>1988688</v>
      </c>
      <c r="C403" s="2" t="s">
        <v>296</v>
      </c>
      <c r="D403" s="2">
        <v>86812227</v>
      </c>
      <c r="E403" s="2" t="s">
        <v>15</v>
      </c>
      <c r="F403" s="3">
        <v>45992</v>
      </c>
      <c r="G403" s="4">
        <v>38.479999999999997</v>
      </c>
      <c r="H403" s="4">
        <v>5.7720000000000002</v>
      </c>
      <c r="I403" s="4">
        <v>32.707999999999998</v>
      </c>
      <c r="J403" s="5">
        <f t="shared" si="12"/>
        <v>30.399199999999993</v>
      </c>
      <c r="K403" s="5">
        <v>30.012</v>
      </c>
      <c r="L403" s="5">
        <f t="shared" si="13"/>
        <v>0.38719999999999288</v>
      </c>
      <c r="M403" s="10">
        <v>46036</v>
      </c>
      <c r="N403" s="5"/>
    </row>
    <row r="404" spans="1:14" ht="14.4" customHeight="1" x14ac:dyDescent="0.3">
      <c r="A404" s="2">
        <v>404</v>
      </c>
      <c r="B404" s="2">
        <v>1988691</v>
      </c>
      <c r="C404" s="2" t="s">
        <v>295</v>
      </c>
      <c r="D404" s="2">
        <v>86812054</v>
      </c>
      <c r="E404" s="2" t="s">
        <v>15</v>
      </c>
      <c r="F404" s="3">
        <v>45992</v>
      </c>
      <c r="G404" s="4">
        <v>54.71</v>
      </c>
      <c r="H404" s="4">
        <v>8.2059999999999995</v>
      </c>
      <c r="I404" s="4">
        <v>46.503999999999998</v>
      </c>
      <c r="J404" s="5">
        <f t="shared" si="12"/>
        <v>43.221400000000003</v>
      </c>
      <c r="K404" s="5">
        <v>42.671999999999997</v>
      </c>
      <c r="L404" s="5">
        <f t="shared" si="13"/>
        <v>0.54940000000000566</v>
      </c>
      <c r="M404" s="10">
        <v>46036</v>
      </c>
      <c r="N404" s="5"/>
    </row>
    <row r="405" spans="1:14" ht="14.4" customHeight="1" x14ac:dyDescent="0.3">
      <c r="A405" s="2">
        <v>406</v>
      </c>
      <c r="B405" s="2">
        <v>1988674</v>
      </c>
      <c r="C405" s="2" t="s">
        <v>297</v>
      </c>
      <c r="D405" s="2">
        <v>86812572</v>
      </c>
      <c r="E405" s="2" t="s">
        <v>15</v>
      </c>
      <c r="F405" s="3">
        <v>45993</v>
      </c>
      <c r="G405" s="4">
        <v>18.420000000000002</v>
      </c>
      <c r="H405" s="4">
        <v>2.7629999999999999</v>
      </c>
      <c r="I405" s="4">
        <v>15.657</v>
      </c>
      <c r="J405" s="5">
        <f t="shared" si="12"/>
        <v>14.551800000000002</v>
      </c>
      <c r="K405" s="5">
        <v>14.367000000000001</v>
      </c>
      <c r="L405" s="5">
        <f t="shared" si="13"/>
        <v>0.18480000000000096</v>
      </c>
      <c r="M405" s="10">
        <v>46036</v>
      </c>
      <c r="N405" s="5"/>
    </row>
    <row r="406" spans="1:14" ht="14.4" customHeight="1" x14ac:dyDescent="0.3">
      <c r="A406" s="2">
        <v>405</v>
      </c>
      <c r="B406" s="2">
        <v>793305</v>
      </c>
      <c r="C406" s="2" t="s">
        <v>263</v>
      </c>
      <c r="D406" s="2">
        <v>88795802</v>
      </c>
      <c r="E406" s="2" t="s">
        <v>19</v>
      </c>
      <c r="F406" s="3">
        <v>45993</v>
      </c>
      <c r="G406" s="4">
        <v>52.5</v>
      </c>
      <c r="H406" s="4">
        <v>5.25</v>
      </c>
      <c r="I406" s="4">
        <v>47.25</v>
      </c>
      <c r="J406" s="5">
        <f t="shared" si="12"/>
        <v>44.099999999999994</v>
      </c>
      <c r="K406" s="5">
        <v>43.575000000000003</v>
      </c>
      <c r="L406" s="5">
        <f t="shared" si="13"/>
        <v>0.52499999999999147</v>
      </c>
      <c r="M406" s="10">
        <v>46036</v>
      </c>
      <c r="N406" s="5"/>
    </row>
    <row r="407" spans="1:14" ht="14.4" customHeight="1" x14ac:dyDescent="0.3">
      <c r="A407" s="2">
        <v>409</v>
      </c>
      <c r="B407" s="2">
        <v>1904564</v>
      </c>
      <c r="C407" s="2" t="s">
        <v>71</v>
      </c>
      <c r="D407" s="2">
        <v>85423152</v>
      </c>
      <c r="E407" s="2" t="s">
        <v>15</v>
      </c>
      <c r="F407" s="3">
        <v>45995</v>
      </c>
      <c r="G407" s="4">
        <v>12.81</v>
      </c>
      <c r="H407" s="4">
        <v>2.5619999999999998</v>
      </c>
      <c r="I407" s="4">
        <v>10.247999999999999</v>
      </c>
      <c r="J407" s="5">
        <f t="shared" si="12"/>
        <v>9.4794</v>
      </c>
      <c r="K407" s="5">
        <v>9.3520000000000003</v>
      </c>
      <c r="L407" s="5">
        <f t="shared" si="13"/>
        <v>0.12739999999999974</v>
      </c>
      <c r="M407" s="10">
        <v>46036</v>
      </c>
      <c r="N407" s="5"/>
    </row>
    <row r="408" spans="1:14" ht="14.4" customHeight="1" x14ac:dyDescent="0.3">
      <c r="A408" s="2">
        <v>407</v>
      </c>
      <c r="B408" s="2">
        <v>1833947</v>
      </c>
      <c r="C408" s="2" t="s">
        <v>59</v>
      </c>
      <c r="D408" s="2">
        <v>85423170</v>
      </c>
      <c r="E408" s="2" t="s">
        <v>19</v>
      </c>
      <c r="F408" s="3">
        <v>45995</v>
      </c>
      <c r="G408" s="4">
        <v>22.48</v>
      </c>
      <c r="H408" s="4">
        <v>4.4960000000000004</v>
      </c>
      <c r="I408" s="4">
        <v>17.984000000000002</v>
      </c>
      <c r="J408" s="5">
        <f t="shared" si="12"/>
        <v>16.635199999999998</v>
      </c>
      <c r="K408" s="5">
        <v>16.41</v>
      </c>
      <c r="L408" s="5">
        <f t="shared" si="13"/>
        <v>0.2251999999999974</v>
      </c>
      <c r="M408" s="10">
        <v>46036</v>
      </c>
      <c r="N408" s="5"/>
    </row>
    <row r="409" spans="1:14" ht="14.4" customHeight="1" x14ac:dyDescent="0.3">
      <c r="A409" s="2">
        <v>408</v>
      </c>
      <c r="B409" s="2">
        <v>1833948</v>
      </c>
      <c r="C409" s="2" t="s">
        <v>102</v>
      </c>
      <c r="D409" s="2">
        <v>85423181</v>
      </c>
      <c r="E409" s="2" t="s">
        <v>15</v>
      </c>
      <c r="F409" s="3">
        <v>45995</v>
      </c>
      <c r="G409" s="4">
        <v>27.18</v>
      </c>
      <c r="H409" s="4">
        <v>5.4359999999999999</v>
      </c>
      <c r="I409" s="4">
        <v>21.744</v>
      </c>
      <c r="J409" s="5">
        <f t="shared" si="12"/>
        <v>20.113199999999999</v>
      </c>
      <c r="K409" s="5">
        <v>19.841000000000001</v>
      </c>
      <c r="L409" s="5">
        <f t="shared" si="13"/>
        <v>0.272199999999998</v>
      </c>
      <c r="M409" s="10">
        <v>46036</v>
      </c>
      <c r="N409" s="5"/>
    </row>
    <row r="410" spans="1:14" ht="14.4" customHeight="1" x14ac:dyDescent="0.3">
      <c r="A410" s="2">
        <v>410</v>
      </c>
      <c r="B410" s="2">
        <v>2011676</v>
      </c>
      <c r="C410" s="2" t="s">
        <v>221</v>
      </c>
      <c r="D410" s="2">
        <v>88322226</v>
      </c>
      <c r="E410" s="2" t="s">
        <v>15</v>
      </c>
      <c r="F410" s="3">
        <v>45995</v>
      </c>
      <c r="G410" s="4">
        <v>56.86</v>
      </c>
      <c r="H410" s="4">
        <v>11.372</v>
      </c>
      <c r="I410" s="4">
        <v>45.488</v>
      </c>
      <c r="J410" s="5">
        <f t="shared" si="12"/>
        <v>42.0764</v>
      </c>
      <c r="K410" s="5">
        <v>41.506</v>
      </c>
      <c r="L410" s="5">
        <f t="shared" si="13"/>
        <v>0.57039999999999935</v>
      </c>
      <c r="M410" s="10">
        <v>46036</v>
      </c>
      <c r="N410" s="5"/>
    </row>
    <row r="411" spans="1:14" ht="14.4" customHeight="1" x14ac:dyDescent="0.3">
      <c r="A411" s="2">
        <v>411</v>
      </c>
      <c r="B411" s="2">
        <v>1474537</v>
      </c>
      <c r="C411" s="2" t="s">
        <v>200</v>
      </c>
      <c r="D411" s="2">
        <v>86339157</v>
      </c>
      <c r="E411" s="2" t="s">
        <v>19</v>
      </c>
      <c r="F411" s="3">
        <v>45997</v>
      </c>
      <c r="G411" s="4">
        <v>24.79</v>
      </c>
      <c r="H411" s="4">
        <v>4.9580000000000002</v>
      </c>
      <c r="I411" s="4">
        <v>19.832000000000001</v>
      </c>
      <c r="J411" s="5">
        <f t="shared" si="12"/>
        <v>18.3446</v>
      </c>
      <c r="K411" s="5">
        <v>18.097999999999999</v>
      </c>
      <c r="L411" s="5">
        <f t="shared" si="13"/>
        <v>0.24660000000000082</v>
      </c>
      <c r="M411" s="10">
        <v>46036</v>
      </c>
      <c r="N411" s="5"/>
    </row>
    <row r="412" spans="1:14" ht="14.4" customHeight="1" x14ac:dyDescent="0.3">
      <c r="A412" s="2">
        <v>413</v>
      </c>
      <c r="B412" s="2">
        <v>2011702</v>
      </c>
      <c r="C412" s="2" t="s">
        <v>262</v>
      </c>
      <c r="D412" s="2">
        <v>88320951</v>
      </c>
      <c r="E412" s="2" t="s">
        <v>15</v>
      </c>
      <c r="F412" s="3">
        <v>45997</v>
      </c>
      <c r="G412" s="4">
        <v>40.33</v>
      </c>
      <c r="H412" s="4">
        <v>8.0660000000000007</v>
      </c>
      <c r="I412" s="4">
        <v>32.264000000000003</v>
      </c>
      <c r="J412" s="5">
        <f t="shared" si="12"/>
        <v>29.844199999999994</v>
      </c>
      <c r="K412" s="5">
        <v>29.448</v>
      </c>
      <c r="L412" s="5">
        <f t="shared" si="13"/>
        <v>0.39619999999999322</v>
      </c>
      <c r="M412" s="10">
        <v>46036</v>
      </c>
      <c r="N412" s="5"/>
    </row>
    <row r="413" spans="1:14" ht="14.4" customHeight="1" x14ac:dyDescent="0.3">
      <c r="A413" s="2">
        <v>412</v>
      </c>
      <c r="B413" s="2">
        <v>1809422</v>
      </c>
      <c r="C413" s="2" t="s">
        <v>131</v>
      </c>
      <c r="D413" s="2">
        <v>86339158</v>
      </c>
      <c r="E413" s="2" t="s">
        <v>19</v>
      </c>
      <c r="F413" s="3">
        <v>45997</v>
      </c>
      <c r="G413" s="4">
        <v>48.69</v>
      </c>
      <c r="H413" s="4">
        <v>9.7379999999999995</v>
      </c>
      <c r="I413" s="4">
        <v>38.951999999999998</v>
      </c>
      <c r="J413" s="5">
        <f t="shared" si="12"/>
        <v>36.030599999999993</v>
      </c>
      <c r="K413" s="5">
        <v>35.542999999999999</v>
      </c>
      <c r="L413" s="5">
        <f t="shared" si="13"/>
        <v>0.48759999999999337</v>
      </c>
      <c r="M413" s="10">
        <v>46036</v>
      </c>
      <c r="N413" s="5"/>
    </row>
    <row r="414" spans="1:14" ht="14.4" customHeight="1" x14ac:dyDescent="0.3">
      <c r="A414" s="2">
        <v>415</v>
      </c>
      <c r="B414" s="2">
        <v>2011643</v>
      </c>
      <c r="C414" s="2" t="s">
        <v>278</v>
      </c>
      <c r="D414" s="2">
        <v>88321697</v>
      </c>
      <c r="E414" s="2" t="s">
        <v>15</v>
      </c>
      <c r="F414" s="3">
        <v>45998</v>
      </c>
      <c r="G414" s="4">
        <v>24.64</v>
      </c>
      <c r="H414" s="4">
        <v>4.9279999999999999</v>
      </c>
      <c r="I414" s="4">
        <v>19.712</v>
      </c>
      <c r="J414" s="5">
        <f t="shared" si="12"/>
        <v>18.233599999999999</v>
      </c>
      <c r="K414" s="5">
        <v>17.988</v>
      </c>
      <c r="L414" s="5">
        <f t="shared" si="13"/>
        <v>0.2455999999999996</v>
      </c>
      <c r="M414" s="10">
        <v>46036</v>
      </c>
      <c r="N414" s="5"/>
    </row>
    <row r="415" spans="1:14" ht="14.4" customHeight="1" x14ac:dyDescent="0.3">
      <c r="A415" s="2">
        <v>416</v>
      </c>
      <c r="B415" s="2">
        <v>2011599</v>
      </c>
      <c r="C415" s="2" t="s">
        <v>179</v>
      </c>
      <c r="D415" s="2">
        <v>88320781</v>
      </c>
      <c r="E415" s="2" t="s">
        <v>19</v>
      </c>
      <c r="F415" s="3">
        <v>45998</v>
      </c>
      <c r="G415" s="4">
        <v>25.65</v>
      </c>
      <c r="H415" s="4">
        <v>5.13</v>
      </c>
      <c r="I415" s="4">
        <v>20.52</v>
      </c>
      <c r="J415" s="5">
        <f t="shared" si="12"/>
        <v>18.980999999999998</v>
      </c>
      <c r="K415" s="5">
        <v>18.724</v>
      </c>
      <c r="L415" s="5">
        <f t="shared" si="13"/>
        <v>0.2569999999999979</v>
      </c>
      <c r="M415" s="10">
        <v>46036</v>
      </c>
      <c r="N415" s="5"/>
    </row>
    <row r="416" spans="1:14" ht="14.4" customHeight="1" x14ac:dyDescent="0.3">
      <c r="A416" s="2">
        <v>414</v>
      </c>
      <c r="B416" s="2">
        <v>2013934</v>
      </c>
      <c r="C416" s="2" t="s">
        <v>298</v>
      </c>
      <c r="D416" s="2">
        <v>88322015</v>
      </c>
      <c r="E416" s="2" t="s">
        <v>15</v>
      </c>
      <c r="F416" s="3">
        <v>45998</v>
      </c>
      <c r="G416" s="4">
        <v>41.08</v>
      </c>
      <c r="H416" s="4">
        <v>8.2159999999999993</v>
      </c>
      <c r="I416" s="4">
        <v>32.863999999999997</v>
      </c>
      <c r="J416" s="5">
        <f t="shared" si="12"/>
        <v>30.399199999999993</v>
      </c>
      <c r="K416" s="5">
        <v>0.67900000000000005</v>
      </c>
      <c r="L416" s="5">
        <f t="shared" si="13"/>
        <v>29.720199999999995</v>
      </c>
      <c r="M416" s="10">
        <v>46036</v>
      </c>
      <c r="N416" s="5"/>
    </row>
    <row r="417" spans="1:14" ht="14.4" customHeight="1" x14ac:dyDescent="0.3">
      <c r="A417" s="2">
        <v>417</v>
      </c>
      <c r="B417" s="2">
        <v>1988552</v>
      </c>
      <c r="C417" s="2" t="s">
        <v>299</v>
      </c>
      <c r="D417" s="2">
        <v>86811048</v>
      </c>
      <c r="E417" s="2" t="s">
        <v>19</v>
      </c>
      <c r="F417" s="3">
        <v>46001</v>
      </c>
      <c r="G417" s="4">
        <v>38.72</v>
      </c>
      <c r="H417" s="4">
        <v>5.8079999999999998</v>
      </c>
      <c r="I417" s="4">
        <v>32.911999999999999</v>
      </c>
      <c r="J417" s="5">
        <f t="shared" si="12"/>
        <v>30.588799999999999</v>
      </c>
      <c r="K417" s="5">
        <v>30.206</v>
      </c>
      <c r="L417" s="5">
        <f t="shared" si="13"/>
        <v>0.38279999999999959</v>
      </c>
      <c r="M417" s="10">
        <v>46036</v>
      </c>
      <c r="N417" s="5"/>
    </row>
    <row r="418" spans="1:14" ht="14.4" customHeight="1" x14ac:dyDescent="0.3">
      <c r="A418" s="2">
        <v>418</v>
      </c>
      <c r="B418" s="2">
        <v>1902626</v>
      </c>
      <c r="C418" s="2" t="s">
        <v>231</v>
      </c>
      <c r="D418" s="2">
        <v>86116901</v>
      </c>
      <c r="E418" s="2" t="s">
        <v>15</v>
      </c>
      <c r="F418" s="3">
        <v>46002</v>
      </c>
      <c r="G418" s="4">
        <v>47.66</v>
      </c>
      <c r="H418" s="4">
        <v>9.532</v>
      </c>
      <c r="I418" s="4">
        <v>38.128</v>
      </c>
      <c r="J418" s="5">
        <f t="shared" si="12"/>
        <v>35.2684</v>
      </c>
      <c r="K418" s="5">
        <v>34.792000000000002</v>
      </c>
      <c r="L418" s="5">
        <f t="shared" si="13"/>
        <v>0.47639999999999816</v>
      </c>
      <c r="M418" s="10">
        <v>46036</v>
      </c>
      <c r="N418" s="5"/>
    </row>
    <row r="419" spans="1:14" ht="14.4" customHeight="1" x14ac:dyDescent="0.3">
      <c r="A419" s="2">
        <v>419</v>
      </c>
      <c r="B419" s="2">
        <v>1988692</v>
      </c>
      <c r="C419" s="2" t="s">
        <v>300</v>
      </c>
      <c r="D419" s="2">
        <v>86811213</v>
      </c>
      <c r="E419" s="2" t="s">
        <v>19</v>
      </c>
      <c r="F419" s="3">
        <v>46002</v>
      </c>
      <c r="G419" s="4">
        <v>50.6</v>
      </c>
      <c r="H419" s="4">
        <v>7.59</v>
      </c>
      <c r="I419" s="4">
        <v>43.01</v>
      </c>
      <c r="J419" s="5">
        <f t="shared" si="12"/>
        <v>39.974000000000004</v>
      </c>
      <c r="K419" s="5">
        <v>39.466999999999999</v>
      </c>
      <c r="L419" s="5">
        <f t="shared" si="13"/>
        <v>0.507000000000005</v>
      </c>
      <c r="M419" s="10">
        <v>46036</v>
      </c>
      <c r="N419" s="5"/>
    </row>
    <row r="420" spans="1:14" ht="14.4" customHeight="1" x14ac:dyDescent="0.3">
      <c r="A420" s="2">
        <v>420</v>
      </c>
      <c r="B420" s="2">
        <v>1948511</v>
      </c>
      <c r="C420" s="2" t="s">
        <v>47</v>
      </c>
      <c r="D420" s="2">
        <v>88671887</v>
      </c>
      <c r="E420" s="2" t="s">
        <v>19</v>
      </c>
      <c r="F420" s="3">
        <v>46005</v>
      </c>
      <c r="G420" s="4">
        <v>63.07</v>
      </c>
      <c r="H420" s="4">
        <v>12.614000000000001</v>
      </c>
      <c r="I420" s="4">
        <v>50.456000000000003</v>
      </c>
      <c r="J420" s="5">
        <f t="shared" si="12"/>
        <v>46.67179999999999</v>
      </c>
      <c r="K420" s="5">
        <v>46.042999999999999</v>
      </c>
      <c r="L420" s="5">
        <f t="shared" si="13"/>
        <v>0.62879999999999114</v>
      </c>
      <c r="M420" s="10">
        <v>46036</v>
      </c>
      <c r="N420" s="5"/>
    </row>
    <row r="421" spans="1:14" ht="14.4" customHeight="1" x14ac:dyDescent="0.3">
      <c r="A421" s="2">
        <v>421</v>
      </c>
      <c r="B421" s="2">
        <v>2038872</v>
      </c>
      <c r="C421" s="2" t="s">
        <v>301</v>
      </c>
      <c r="D421" s="2">
        <v>86813357</v>
      </c>
      <c r="E421" s="2" t="s">
        <v>15</v>
      </c>
      <c r="F421" s="3">
        <v>46006</v>
      </c>
      <c r="G421" s="4">
        <v>4.1500000000000004</v>
      </c>
      <c r="H421" s="4">
        <v>0.622</v>
      </c>
      <c r="I421" s="4">
        <v>3.528</v>
      </c>
      <c r="J421" s="5">
        <f t="shared" si="12"/>
        <v>3.2790000000000004</v>
      </c>
      <c r="K421" s="5">
        <v>3.2360000000000002</v>
      </c>
      <c r="L421" s="5">
        <f t="shared" si="13"/>
        <v>4.3000000000000149E-2</v>
      </c>
      <c r="M421" s="10">
        <v>46036</v>
      </c>
      <c r="N421" s="5"/>
    </row>
    <row r="422" spans="1:14" ht="14.4" customHeight="1" x14ac:dyDescent="0.3">
      <c r="A422" s="2">
        <v>423</v>
      </c>
      <c r="B422" s="2">
        <v>1474537</v>
      </c>
      <c r="C422" s="2" t="s">
        <v>200</v>
      </c>
      <c r="D422" s="2">
        <v>86340523</v>
      </c>
      <c r="E422" s="2" t="s">
        <v>19</v>
      </c>
      <c r="F422" s="3">
        <v>46007</v>
      </c>
      <c r="G422" s="4">
        <v>6.01</v>
      </c>
      <c r="H422" s="4">
        <v>1.202</v>
      </c>
      <c r="I422" s="4">
        <v>4.8079999999999998</v>
      </c>
      <c r="J422" s="5">
        <f t="shared" si="12"/>
        <v>4.4473999999999991</v>
      </c>
      <c r="K422" s="5">
        <v>4.3869999999999996</v>
      </c>
      <c r="L422" s="5">
        <f t="shared" si="13"/>
        <v>6.0399999999999565E-2</v>
      </c>
      <c r="M422" s="10">
        <v>46036</v>
      </c>
      <c r="N422" s="5"/>
    </row>
    <row r="423" spans="1:14" ht="14.4" customHeight="1" x14ac:dyDescent="0.3">
      <c r="A423" s="2">
        <v>422</v>
      </c>
      <c r="B423" s="2">
        <v>1849263</v>
      </c>
      <c r="C423" s="2" t="s">
        <v>302</v>
      </c>
      <c r="D423" s="2">
        <v>8683216</v>
      </c>
      <c r="E423" s="2" t="s">
        <v>19</v>
      </c>
      <c r="F423" s="3">
        <v>46007</v>
      </c>
      <c r="G423" s="4">
        <v>29.71</v>
      </c>
      <c r="H423" s="4">
        <v>5.9420000000000002</v>
      </c>
      <c r="I423" s="4">
        <v>23.768000000000001</v>
      </c>
      <c r="J423" s="5">
        <f t="shared" si="12"/>
        <v>21.985399999999998</v>
      </c>
      <c r="L423" s="5">
        <f t="shared" si="13"/>
        <v>21.985399999999998</v>
      </c>
      <c r="M423" s="5"/>
      <c r="N423" s="5"/>
    </row>
    <row r="424" spans="1:14" ht="14.4" customHeight="1" x14ac:dyDescent="0.3">
      <c r="A424" s="2">
        <v>424</v>
      </c>
      <c r="B424" s="2">
        <v>1772245</v>
      </c>
      <c r="C424" s="2" t="s">
        <v>239</v>
      </c>
      <c r="D424" s="2">
        <v>86680678</v>
      </c>
      <c r="E424" s="2" t="s">
        <v>15</v>
      </c>
      <c r="F424" s="3">
        <v>46008</v>
      </c>
      <c r="G424" s="4">
        <v>19.54</v>
      </c>
      <c r="H424" s="4">
        <v>2.931</v>
      </c>
      <c r="I424" s="4">
        <v>16.609000000000002</v>
      </c>
      <c r="J424" s="5">
        <f t="shared" si="12"/>
        <v>15.436599999999999</v>
      </c>
      <c r="K424" s="5">
        <v>15.24</v>
      </c>
      <c r="L424" s="5">
        <f t="shared" si="13"/>
        <v>0.19659999999999833</v>
      </c>
      <c r="M424" s="10">
        <v>46036</v>
      </c>
      <c r="N424" s="5"/>
    </row>
    <row r="425" spans="1:14" ht="14.4" customHeight="1" x14ac:dyDescent="0.3">
      <c r="A425" s="2">
        <v>426</v>
      </c>
      <c r="B425" s="2">
        <v>1634499</v>
      </c>
      <c r="C425" s="2" t="s">
        <v>303</v>
      </c>
      <c r="D425" s="2">
        <v>86680674</v>
      </c>
      <c r="E425" s="2" t="s">
        <v>15</v>
      </c>
      <c r="F425" s="3">
        <v>46008</v>
      </c>
      <c r="G425" s="4">
        <v>29.87</v>
      </c>
      <c r="H425" s="4">
        <v>4.4800000000000004</v>
      </c>
      <c r="I425" s="4">
        <v>25.39</v>
      </c>
      <c r="J425" s="5">
        <f t="shared" si="12"/>
        <v>23.597799999999999</v>
      </c>
      <c r="K425" s="5">
        <v>23.297000000000001</v>
      </c>
      <c r="L425" s="5">
        <f t="shared" si="13"/>
        <v>0.30079999999999885</v>
      </c>
      <c r="M425" s="10">
        <v>46036</v>
      </c>
      <c r="N425" s="5"/>
    </row>
    <row r="426" spans="1:14" ht="14.4" customHeight="1" x14ac:dyDescent="0.3">
      <c r="A426" s="2">
        <v>425</v>
      </c>
      <c r="B426" s="2">
        <v>288545</v>
      </c>
      <c r="C426" s="2" t="s">
        <v>148</v>
      </c>
      <c r="D426" s="2">
        <v>86668762</v>
      </c>
      <c r="E426" s="2" t="s">
        <v>15</v>
      </c>
      <c r="F426" s="3">
        <v>46008</v>
      </c>
      <c r="G426" s="4">
        <v>36.409999999999997</v>
      </c>
      <c r="H426" s="4">
        <v>5.4610000000000003</v>
      </c>
      <c r="I426" s="4">
        <v>30.949000000000002</v>
      </c>
      <c r="J426" s="5">
        <f t="shared" si="12"/>
        <v>28.764399999999995</v>
      </c>
      <c r="K426" s="5">
        <v>28.399000000000001</v>
      </c>
      <c r="L426" s="5">
        <f t="shared" si="13"/>
        <v>0.36539999999999395</v>
      </c>
      <c r="M426" s="10">
        <v>46036</v>
      </c>
      <c r="N426" s="5"/>
    </row>
    <row r="427" spans="1:14" ht="14.4" customHeight="1" x14ac:dyDescent="0.3">
      <c r="A427" s="2">
        <v>429</v>
      </c>
      <c r="B427" s="2">
        <v>1904564</v>
      </c>
      <c r="C427" s="2" t="s">
        <v>71</v>
      </c>
      <c r="D427" s="2">
        <v>85423158</v>
      </c>
      <c r="E427" s="2" t="s">
        <v>15</v>
      </c>
      <c r="F427" s="3">
        <v>46009</v>
      </c>
      <c r="G427" s="4">
        <v>10.65</v>
      </c>
      <c r="H427" s="4">
        <v>2.13</v>
      </c>
      <c r="I427" s="4">
        <v>8.52</v>
      </c>
      <c r="J427" s="5">
        <f t="shared" si="12"/>
        <v>7.8809999999999993</v>
      </c>
      <c r="K427" s="5">
        <v>7.7750000000000004</v>
      </c>
      <c r="L427" s="5">
        <f t="shared" si="13"/>
        <v>0.10599999999999898</v>
      </c>
      <c r="M427" s="10">
        <v>46036</v>
      </c>
      <c r="N427" s="5"/>
    </row>
    <row r="428" spans="1:14" ht="14.4" customHeight="1" x14ac:dyDescent="0.3">
      <c r="A428" s="2">
        <v>428</v>
      </c>
      <c r="B428" s="2">
        <v>1833948</v>
      </c>
      <c r="C428" s="2" t="s">
        <v>102</v>
      </c>
      <c r="D428" s="2">
        <v>85423179</v>
      </c>
      <c r="E428" s="2" t="s">
        <v>15</v>
      </c>
      <c r="F428" s="3">
        <v>46009</v>
      </c>
      <c r="G428" s="4">
        <v>25.35</v>
      </c>
      <c r="H428" s="4">
        <v>5.07</v>
      </c>
      <c r="I428" s="4">
        <v>20.28</v>
      </c>
      <c r="J428" s="5">
        <f t="shared" si="12"/>
        <v>18.759</v>
      </c>
      <c r="K428" s="5">
        <v>18.504999999999999</v>
      </c>
      <c r="L428" s="5">
        <f t="shared" si="13"/>
        <v>0.25400000000000134</v>
      </c>
      <c r="M428" s="10">
        <v>46036</v>
      </c>
      <c r="N428" s="5"/>
    </row>
    <row r="429" spans="1:14" ht="14.4" customHeight="1" x14ac:dyDescent="0.3">
      <c r="A429" s="2">
        <v>430</v>
      </c>
      <c r="B429" s="2">
        <v>1833947</v>
      </c>
      <c r="C429" s="2" t="s">
        <v>59</v>
      </c>
      <c r="D429" s="2">
        <v>85423169</v>
      </c>
      <c r="E429" s="2" t="s">
        <v>19</v>
      </c>
      <c r="F429" s="3">
        <v>46009</v>
      </c>
      <c r="G429" s="4">
        <v>28.1</v>
      </c>
      <c r="H429" s="4">
        <v>5.62</v>
      </c>
      <c r="I429" s="4">
        <v>22.48</v>
      </c>
      <c r="J429" s="5">
        <f t="shared" si="12"/>
        <v>20.794</v>
      </c>
      <c r="K429" s="5">
        <v>20.513000000000002</v>
      </c>
      <c r="L429" s="5">
        <f t="shared" si="13"/>
        <v>0.28099999999999881</v>
      </c>
      <c r="M429" s="10">
        <v>46036</v>
      </c>
      <c r="N429" s="5"/>
    </row>
    <row r="430" spans="1:14" ht="14.4" customHeight="1" x14ac:dyDescent="0.3">
      <c r="A430" s="2">
        <v>427</v>
      </c>
      <c r="B430" s="2">
        <v>1966818</v>
      </c>
      <c r="C430" s="2" t="s">
        <v>187</v>
      </c>
      <c r="D430" s="2">
        <v>85433732</v>
      </c>
      <c r="E430" s="2" t="s">
        <v>19</v>
      </c>
      <c r="F430" s="3">
        <v>46009</v>
      </c>
      <c r="G430" s="4">
        <v>60.47</v>
      </c>
      <c r="H430" s="4">
        <v>12.093999999999999</v>
      </c>
      <c r="I430" s="4">
        <v>48.375999999999998</v>
      </c>
      <c r="J430" s="5">
        <f t="shared" si="12"/>
        <v>44.747799999999998</v>
      </c>
      <c r="K430" s="5">
        <v>44.142000000000003</v>
      </c>
      <c r="L430" s="5">
        <f t="shared" si="13"/>
        <v>0.60579999999999501</v>
      </c>
      <c r="M430" s="10">
        <v>46036</v>
      </c>
      <c r="N430" s="5"/>
    </row>
    <row r="431" spans="1:14" ht="14.4" customHeight="1" x14ac:dyDescent="0.3">
      <c r="A431" s="2">
        <v>431</v>
      </c>
      <c r="B431" s="2">
        <v>1988642</v>
      </c>
      <c r="C431" s="2" t="s">
        <v>34</v>
      </c>
      <c r="D431" s="2">
        <v>86811083</v>
      </c>
      <c r="E431" s="2" t="s">
        <v>19</v>
      </c>
      <c r="F431" s="3">
        <v>46011</v>
      </c>
      <c r="G431" s="4">
        <v>24.81</v>
      </c>
      <c r="H431" s="4">
        <v>3.7210000000000001</v>
      </c>
      <c r="I431" s="4">
        <v>21.088999999999999</v>
      </c>
      <c r="J431" s="5">
        <f t="shared" si="12"/>
        <v>19.600399999999997</v>
      </c>
      <c r="K431" s="5">
        <v>19.350999999999999</v>
      </c>
      <c r="L431" s="5">
        <f t="shared" si="13"/>
        <v>0.24939999999999785</v>
      </c>
      <c r="M431" s="10">
        <v>46036</v>
      </c>
      <c r="N431" s="5"/>
    </row>
    <row r="432" spans="1:14" ht="14.4" customHeight="1" x14ac:dyDescent="0.3">
      <c r="A432" s="2">
        <v>432</v>
      </c>
      <c r="B432" s="2">
        <v>1988651</v>
      </c>
      <c r="C432" s="2" t="s">
        <v>304</v>
      </c>
      <c r="D432" s="2">
        <v>86812537</v>
      </c>
      <c r="E432" s="2" t="s">
        <v>15</v>
      </c>
      <c r="F432" s="3">
        <v>46013</v>
      </c>
      <c r="G432" s="4">
        <v>41.56</v>
      </c>
      <c r="H432" s="4">
        <v>6.234</v>
      </c>
      <c r="I432" s="4">
        <v>35.326000000000001</v>
      </c>
      <c r="J432" s="5">
        <f t="shared" si="12"/>
        <v>32.8324</v>
      </c>
      <c r="K432" s="5">
        <v>32.414000000000001</v>
      </c>
      <c r="L432" s="5">
        <f t="shared" si="13"/>
        <v>0.41839999999999833</v>
      </c>
      <c r="M432" s="10">
        <v>46036</v>
      </c>
      <c r="N432" s="5"/>
    </row>
    <row r="433" spans="1:14" ht="14.4" customHeight="1" x14ac:dyDescent="0.3">
      <c r="A433" s="2">
        <v>434</v>
      </c>
      <c r="B433" s="2">
        <v>1876003</v>
      </c>
      <c r="C433" s="2" t="s">
        <v>45</v>
      </c>
      <c r="D433" s="2">
        <v>88579573</v>
      </c>
      <c r="E433" s="2" t="s">
        <v>19</v>
      </c>
      <c r="F433" s="3">
        <v>46014</v>
      </c>
      <c r="G433" s="4">
        <v>41.75</v>
      </c>
      <c r="H433" s="4">
        <v>8.35</v>
      </c>
      <c r="I433" s="4">
        <v>33.4</v>
      </c>
      <c r="J433" s="5">
        <f t="shared" si="12"/>
        <v>30.894999999999996</v>
      </c>
      <c r="K433" s="5">
        <v>30.477</v>
      </c>
      <c r="L433" s="5">
        <f t="shared" si="13"/>
        <v>0.41799999999999571</v>
      </c>
      <c r="M433" s="10">
        <v>46036</v>
      </c>
      <c r="N433" s="5"/>
    </row>
    <row r="434" spans="1:14" ht="14.4" customHeight="1" x14ac:dyDescent="0.3">
      <c r="A434" s="2">
        <v>433</v>
      </c>
      <c r="B434" s="2">
        <v>2011682</v>
      </c>
      <c r="C434" s="2" t="s">
        <v>163</v>
      </c>
      <c r="D434" s="2">
        <v>88321147</v>
      </c>
      <c r="E434" s="2" t="s">
        <v>19</v>
      </c>
      <c r="F434" s="3">
        <v>46014</v>
      </c>
      <c r="G434" s="4">
        <v>42.45</v>
      </c>
      <c r="H434" s="4">
        <v>8.49</v>
      </c>
      <c r="I434" s="4">
        <v>33.96</v>
      </c>
      <c r="J434" s="5">
        <f t="shared" si="12"/>
        <v>31.412999999999997</v>
      </c>
      <c r="K434" s="5">
        <v>30.988</v>
      </c>
      <c r="L434" s="5">
        <f t="shared" si="13"/>
        <v>0.42499999999999716</v>
      </c>
      <c r="M434" s="10">
        <v>46036</v>
      </c>
      <c r="N434" s="5"/>
    </row>
    <row r="435" spans="1:14" ht="14.4" customHeight="1" x14ac:dyDescent="0.3">
      <c r="A435" s="2">
        <v>436</v>
      </c>
      <c r="B435" s="2">
        <v>1966428</v>
      </c>
      <c r="C435" s="2" t="s">
        <v>83</v>
      </c>
      <c r="D435" s="2">
        <v>85429646</v>
      </c>
      <c r="E435" s="2" t="s">
        <v>19</v>
      </c>
      <c r="F435" s="3">
        <v>46015</v>
      </c>
      <c r="G435" s="4">
        <v>70.569999999999993</v>
      </c>
      <c r="H435" s="4">
        <v>14.114000000000001</v>
      </c>
      <c r="I435" s="4">
        <v>56.456000000000003</v>
      </c>
      <c r="J435" s="5">
        <f t="shared" si="12"/>
        <v>52.221799999999988</v>
      </c>
      <c r="K435" s="5">
        <v>51.515999999999998</v>
      </c>
      <c r="L435" s="5">
        <f t="shared" si="13"/>
        <v>0.70579999999998932</v>
      </c>
      <c r="M435" s="10">
        <v>46036</v>
      </c>
      <c r="N435" s="5"/>
    </row>
    <row r="436" spans="1:14" ht="14.4" customHeight="1" x14ac:dyDescent="0.3">
      <c r="A436" s="2">
        <v>435</v>
      </c>
      <c r="B436" s="2">
        <v>1966429</v>
      </c>
      <c r="C436" s="2" t="s">
        <v>257</v>
      </c>
      <c r="D436" s="2">
        <v>85429654</v>
      </c>
      <c r="E436" s="2" t="s">
        <v>15</v>
      </c>
      <c r="F436" s="3">
        <v>46015</v>
      </c>
      <c r="G436" s="4">
        <v>77.849999999999994</v>
      </c>
      <c r="H436" s="4">
        <v>15.57</v>
      </c>
      <c r="I436" s="4">
        <v>62.28</v>
      </c>
      <c r="J436" s="5">
        <f t="shared" si="12"/>
        <v>57.608999999999988</v>
      </c>
      <c r="K436" s="5">
        <v>56.831000000000003</v>
      </c>
      <c r="L436" s="5">
        <f t="shared" si="13"/>
        <v>0.77799999999998448</v>
      </c>
      <c r="M436" s="10">
        <v>46036</v>
      </c>
      <c r="N436" s="5"/>
    </row>
    <row r="437" spans="1:14" ht="14.4" customHeight="1" x14ac:dyDescent="0.3">
      <c r="A437" s="2">
        <v>437</v>
      </c>
      <c r="B437" s="2">
        <v>2011644</v>
      </c>
      <c r="C437" s="2" t="s">
        <v>281</v>
      </c>
      <c r="D437" s="2">
        <v>88321703</v>
      </c>
      <c r="E437" s="2" t="s">
        <v>15</v>
      </c>
      <c r="F437" s="3">
        <v>46018</v>
      </c>
      <c r="G437" s="4">
        <v>35.93</v>
      </c>
      <c r="H437" s="4">
        <v>7.1859999999999999</v>
      </c>
      <c r="I437" s="4">
        <v>28.744</v>
      </c>
      <c r="J437" s="5">
        <f t="shared" si="12"/>
        <v>26.588200000000001</v>
      </c>
      <c r="K437" s="5">
        <v>26.228999999999999</v>
      </c>
      <c r="L437" s="5">
        <f t="shared" si="13"/>
        <v>0.3592000000000013</v>
      </c>
      <c r="M437" s="10">
        <v>46036</v>
      </c>
      <c r="N437" s="5"/>
    </row>
    <row r="438" spans="1:14" ht="14.4" customHeight="1" x14ac:dyDescent="0.3">
      <c r="A438" s="2">
        <v>438</v>
      </c>
      <c r="B438" s="2">
        <v>2011645</v>
      </c>
      <c r="C438" s="2" t="s">
        <v>285</v>
      </c>
      <c r="D438" s="2">
        <v>88321700</v>
      </c>
      <c r="E438" s="2" t="s">
        <v>19</v>
      </c>
      <c r="F438" s="3">
        <v>46018</v>
      </c>
      <c r="G438" s="4">
        <v>36.01</v>
      </c>
      <c r="H438" s="4">
        <v>7.202</v>
      </c>
      <c r="I438" s="4">
        <v>28.808</v>
      </c>
      <c r="J438" s="5">
        <f t="shared" si="12"/>
        <v>26.647399999999998</v>
      </c>
      <c r="K438" s="5">
        <v>26.286000000000001</v>
      </c>
      <c r="L438" s="5">
        <f t="shared" si="13"/>
        <v>0.36139999999999617</v>
      </c>
      <c r="M438" s="10">
        <v>46036</v>
      </c>
      <c r="N438" s="5"/>
    </row>
    <row r="439" spans="1:14" ht="14.4" customHeight="1" x14ac:dyDescent="0.3">
      <c r="A439" s="2">
        <v>439</v>
      </c>
      <c r="B439" s="2">
        <v>2011642</v>
      </c>
      <c r="C439" s="2" t="s">
        <v>279</v>
      </c>
      <c r="D439" s="2">
        <v>88321999</v>
      </c>
      <c r="E439" s="2" t="s">
        <v>19</v>
      </c>
      <c r="F439" s="3">
        <v>46018</v>
      </c>
      <c r="G439" s="4">
        <v>41.41</v>
      </c>
      <c r="H439" s="4">
        <v>8.282</v>
      </c>
      <c r="I439" s="4">
        <v>33.128</v>
      </c>
      <c r="J439" s="5">
        <f t="shared" si="12"/>
        <v>30.643399999999996</v>
      </c>
      <c r="K439" s="5">
        <v>30.228999999999999</v>
      </c>
      <c r="L439" s="5">
        <f t="shared" si="13"/>
        <v>0.41439999999999699</v>
      </c>
      <c r="M439" s="10">
        <v>46036</v>
      </c>
      <c r="N439" s="5"/>
    </row>
    <row r="440" spans="1:14" ht="14.4" customHeight="1" x14ac:dyDescent="0.3">
      <c r="A440" s="2">
        <v>441</v>
      </c>
      <c r="B440" s="2">
        <v>1988681</v>
      </c>
      <c r="C440" s="2" t="s">
        <v>305</v>
      </c>
      <c r="D440" s="2">
        <v>86813451</v>
      </c>
      <c r="E440" s="2" t="s">
        <v>15</v>
      </c>
      <c r="F440" s="3">
        <v>46019</v>
      </c>
      <c r="G440" s="4">
        <v>36.36</v>
      </c>
      <c r="H440" s="4">
        <v>5.4539999999999997</v>
      </c>
      <c r="I440" s="4">
        <v>30.905999999999999</v>
      </c>
      <c r="J440" s="5">
        <f t="shared" si="12"/>
        <v>28.724399999999996</v>
      </c>
      <c r="K440" s="5">
        <v>28.361000000000001</v>
      </c>
      <c r="L440" s="5">
        <f t="shared" si="13"/>
        <v>0.36339999999999506</v>
      </c>
      <c r="M440" s="10">
        <v>46036</v>
      </c>
      <c r="N440" s="5"/>
    </row>
    <row r="441" spans="1:14" ht="14.4" customHeight="1" x14ac:dyDescent="0.3">
      <c r="A441" s="2">
        <v>442</v>
      </c>
      <c r="B441" s="2">
        <v>1939766</v>
      </c>
      <c r="C441" s="2" t="s">
        <v>129</v>
      </c>
      <c r="D441" s="2">
        <v>88463588</v>
      </c>
      <c r="E441" s="2" t="s">
        <v>19</v>
      </c>
      <c r="F441" s="3">
        <v>46019</v>
      </c>
      <c r="G441" s="4">
        <v>46.41</v>
      </c>
      <c r="H441" s="4">
        <v>13.923</v>
      </c>
      <c r="I441" s="4">
        <v>32.487000000000002</v>
      </c>
      <c r="J441" s="5">
        <f t="shared" si="12"/>
        <v>29.70239999999999</v>
      </c>
      <c r="K441" s="5">
        <v>29.238</v>
      </c>
      <c r="L441" s="5">
        <f t="shared" si="13"/>
        <v>0.4643999999999906</v>
      </c>
      <c r="M441" s="10">
        <v>46036</v>
      </c>
      <c r="N441" s="5"/>
    </row>
    <row r="442" spans="1:14" ht="14.4" customHeight="1" x14ac:dyDescent="0.3">
      <c r="A442" s="2">
        <v>440</v>
      </c>
      <c r="B442" s="2">
        <v>1988680</v>
      </c>
      <c r="C442" s="2" t="s">
        <v>122</v>
      </c>
      <c r="D442" s="2">
        <v>86811309</v>
      </c>
      <c r="E442" s="2" t="s">
        <v>19</v>
      </c>
      <c r="F442" s="3">
        <v>46019</v>
      </c>
      <c r="G442" s="4">
        <v>56.8</v>
      </c>
      <c r="H442" s="4">
        <v>8.52</v>
      </c>
      <c r="I442" s="4">
        <v>48.28</v>
      </c>
      <c r="J442" s="5">
        <f t="shared" si="12"/>
        <v>44.872</v>
      </c>
      <c r="K442" s="5">
        <v>44.302999999999997</v>
      </c>
      <c r="L442" s="5">
        <f t="shared" si="13"/>
        <v>0.56900000000000261</v>
      </c>
      <c r="M442" s="10">
        <v>46036</v>
      </c>
      <c r="N442" s="5"/>
    </row>
    <row r="443" spans="1:14" ht="14.4" customHeight="1" x14ac:dyDescent="0.3">
      <c r="A443" s="2">
        <v>443</v>
      </c>
      <c r="B443" s="2">
        <v>1745813</v>
      </c>
      <c r="C443" s="2" t="s">
        <v>306</v>
      </c>
      <c r="D443" s="2">
        <v>86089531</v>
      </c>
      <c r="E443" s="2" t="s">
        <v>15</v>
      </c>
      <c r="F443" s="3">
        <v>46020</v>
      </c>
      <c r="G443" s="4">
        <v>59.68</v>
      </c>
      <c r="H443" s="4">
        <v>8.952</v>
      </c>
      <c r="I443" s="4">
        <v>50.728000000000002</v>
      </c>
      <c r="J443" s="5">
        <f t="shared" si="12"/>
        <v>47.147199999999998</v>
      </c>
      <c r="K443" s="5">
        <v>46.548999999999999</v>
      </c>
      <c r="L443" s="5">
        <f t="shared" si="13"/>
        <v>0.59819999999999851</v>
      </c>
      <c r="M443" s="10">
        <v>46036</v>
      </c>
      <c r="N443" s="5"/>
    </row>
    <row r="444" spans="1:14" ht="14.4" customHeight="1" x14ac:dyDescent="0.3">
      <c r="A444" s="2">
        <v>446</v>
      </c>
      <c r="B444" s="2">
        <v>1966430</v>
      </c>
      <c r="C444" s="2" t="s">
        <v>52</v>
      </c>
      <c r="D444" s="2">
        <v>85429650</v>
      </c>
      <c r="E444" s="2" t="s">
        <v>15</v>
      </c>
      <c r="F444" s="3">
        <v>46021</v>
      </c>
      <c r="G444" s="4">
        <v>38.17</v>
      </c>
      <c r="H444" s="4">
        <v>7.6340000000000003</v>
      </c>
      <c r="I444" s="4">
        <v>30.536000000000001</v>
      </c>
      <c r="J444" s="5">
        <f t="shared" si="12"/>
        <v>28.245800000000003</v>
      </c>
      <c r="K444" s="5">
        <v>27.928999999999998</v>
      </c>
      <c r="L444" s="5">
        <f t="shared" si="13"/>
        <v>0.31680000000000419</v>
      </c>
      <c r="M444" s="10">
        <v>46036</v>
      </c>
      <c r="N444" s="5"/>
    </row>
    <row r="445" spans="1:14" ht="14.4" customHeight="1" x14ac:dyDescent="0.3">
      <c r="A445" s="2">
        <v>444</v>
      </c>
      <c r="B445" s="2">
        <v>2033733</v>
      </c>
      <c r="C445" s="2" t="s">
        <v>269</v>
      </c>
      <c r="D445" s="2">
        <v>86813587</v>
      </c>
      <c r="E445" s="2" t="s">
        <v>15</v>
      </c>
      <c r="F445" s="3">
        <v>46021</v>
      </c>
      <c r="G445" s="4">
        <v>37.82</v>
      </c>
      <c r="H445" s="4">
        <v>5.673</v>
      </c>
      <c r="I445" s="4">
        <v>32.146999999999998</v>
      </c>
      <c r="J445" s="5">
        <f t="shared" si="12"/>
        <v>29.877799999999993</v>
      </c>
      <c r="K445" s="5">
        <v>29.498000000000001</v>
      </c>
      <c r="L445" s="5">
        <f t="shared" si="13"/>
        <v>0.37979999999999237</v>
      </c>
      <c r="M445" s="10">
        <v>46036</v>
      </c>
      <c r="N445" s="5"/>
    </row>
    <row r="446" spans="1:14" ht="14.4" customHeight="1" x14ac:dyDescent="0.3">
      <c r="A446" s="2">
        <v>445</v>
      </c>
      <c r="B446" s="2">
        <v>1966431</v>
      </c>
      <c r="C446" s="2" t="s">
        <v>270</v>
      </c>
      <c r="D446" s="2">
        <v>85429647</v>
      </c>
      <c r="E446" s="2" t="s">
        <v>15</v>
      </c>
      <c r="F446" s="3">
        <v>46021</v>
      </c>
      <c r="G446" s="4">
        <v>38.97</v>
      </c>
      <c r="H446" s="4">
        <v>7.7939999999999996</v>
      </c>
      <c r="I446" s="4">
        <v>31.175999999999998</v>
      </c>
      <c r="J446" s="5">
        <f t="shared" si="12"/>
        <v>28.837799999999998</v>
      </c>
      <c r="K446" s="5">
        <v>28.446999999999999</v>
      </c>
      <c r="L446" s="5">
        <f t="shared" si="13"/>
        <v>0.3907999999999987</v>
      </c>
      <c r="M446" s="10">
        <v>46036</v>
      </c>
      <c r="N446" s="5"/>
    </row>
    <row r="447" spans="1:14" ht="14.4" customHeight="1" x14ac:dyDescent="0.3">
      <c r="A447" s="2">
        <v>449</v>
      </c>
      <c r="B447" s="2">
        <v>2032859</v>
      </c>
      <c r="C447" s="2" t="s">
        <v>307</v>
      </c>
      <c r="D447" s="2">
        <v>88838571</v>
      </c>
      <c r="E447" s="2" t="s">
        <v>19</v>
      </c>
      <c r="F447" s="3">
        <v>46022</v>
      </c>
      <c r="G447" s="4">
        <v>11.65</v>
      </c>
      <c r="H447" s="4">
        <v>1.165</v>
      </c>
      <c r="I447" s="4">
        <v>10.484999999999999</v>
      </c>
      <c r="J447" s="5">
        <f t="shared" si="12"/>
        <v>9.7860000000000014</v>
      </c>
      <c r="K447" s="5">
        <v>9.6690000000000005</v>
      </c>
      <c r="L447" s="5">
        <f t="shared" si="13"/>
        <v>0.11700000000000088</v>
      </c>
      <c r="M447" s="10">
        <v>46036</v>
      </c>
      <c r="N447" s="5"/>
    </row>
    <row r="448" spans="1:14" ht="14.4" customHeight="1" x14ac:dyDescent="0.3">
      <c r="A448" s="2">
        <v>447</v>
      </c>
      <c r="B448" s="2">
        <v>1862235</v>
      </c>
      <c r="C448" s="2" t="s">
        <v>308</v>
      </c>
      <c r="D448" s="2">
        <v>87312843</v>
      </c>
      <c r="E448" s="2" t="s">
        <v>15</v>
      </c>
      <c r="F448" s="3">
        <v>46022</v>
      </c>
      <c r="G448" s="4">
        <v>15</v>
      </c>
      <c r="H448" s="4">
        <v>0</v>
      </c>
      <c r="I448" s="4">
        <v>15</v>
      </c>
      <c r="J448" s="5">
        <f t="shared" si="12"/>
        <v>14.1</v>
      </c>
      <c r="K448" s="5">
        <v>13.95</v>
      </c>
      <c r="L448" s="5">
        <f t="shared" si="13"/>
        <v>0.15000000000000036</v>
      </c>
      <c r="M448" s="10">
        <v>46036</v>
      </c>
      <c r="N448" s="5"/>
    </row>
    <row r="449" spans="1:14" ht="14.4" customHeight="1" x14ac:dyDescent="0.3">
      <c r="A449" s="2">
        <v>448</v>
      </c>
      <c r="B449" s="2">
        <v>1988713</v>
      </c>
      <c r="C449" s="2" t="s">
        <v>33</v>
      </c>
      <c r="D449" s="2">
        <v>86815318</v>
      </c>
      <c r="E449" s="2" t="s">
        <v>19</v>
      </c>
      <c r="F449" s="3">
        <v>46022</v>
      </c>
      <c r="G449" s="4">
        <v>58.44</v>
      </c>
      <c r="H449" s="4">
        <v>8.766</v>
      </c>
      <c r="I449" s="4">
        <v>49.673999999999999</v>
      </c>
      <c r="J449" s="5">
        <f t="shared" si="12"/>
        <v>46.167599999999993</v>
      </c>
      <c r="K449" s="5">
        <v>45.582000000000001</v>
      </c>
      <c r="L449" s="5">
        <f t="shared" si="13"/>
        <v>0.58559999999999235</v>
      </c>
      <c r="M449" s="10">
        <v>46036</v>
      </c>
      <c r="N449" s="5"/>
    </row>
    <row r="450" spans="1:14" ht="14.4" customHeight="1" x14ac:dyDescent="0.3">
      <c r="A450" s="2">
        <v>450</v>
      </c>
      <c r="B450" s="2">
        <v>1840199</v>
      </c>
      <c r="C450" s="2" t="s">
        <v>294</v>
      </c>
      <c r="D450" s="2">
        <v>86718024</v>
      </c>
      <c r="E450" s="2" t="s">
        <v>19</v>
      </c>
      <c r="F450" s="3">
        <v>46026</v>
      </c>
      <c r="G450" s="4">
        <v>64.11</v>
      </c>
      <c r="H450" s="4">
        <v>9.6159999999999997</v>
      </c>
      <c r="I450" s="4">
        <v>54.494</v>
      </c>
      <c r="J450" s="5">
        <f t="shared" ref="J450:J513" si="14">G450*0.94-H450</f>
        <v>50.647399999999998</v>
      </c>
      <c r="K450" s="5">
        <v>49.996000000000002</v>
      </c>
      <c r="L450" s="5">
        <f t="shared" ref="L450:L513" si="15">J450-K450</f>
        <v>0.65139999999999532</v>
      </c>
      <c r="M450" s="10">
        <v>46070</v>
      </c>
      <c r="N450" s="5"/>
    </row>
    <row r="451" spans="1:14" ht="14.4" customHeight="1" x14ac:dyDescent="0.3">
      <c r="A451" s="2">
        <v>452</v>
      </c>
      <c r="B451" s="2">
        <v>1988585</v>
      </c>
      <c r="C451" s="2" t="s">
        <v>75</v>
      </c>
      <c r="D451" s="2">
        <v>86812224</v>
      </c>
      <c r="E451" s="2" t="s">
        <v>15</v>
      </c>
      <c r="F451" s="3">
        <v>46027</v>
      </c>
      <c r="G451" s="4">
        <v>46.45</v>
      </c>
      <c r="H451" s="4">
        <v>6.9669999999999996</v>
      </c>
      <c r="I451" s="4">
        <v>39.482999999999997</v>
      </c>
      <c r="J451" s="5">
        <f t="shared" si="14"/>
        <v>36.695999999999998</v>
      </c>
      <c r="K451" s="5">
        <v>36.231000000000002</v>
      </c>
      <c r="L451" s="5">
        <f t="shared" si="15"/>
        <v>0.46499999999999631</v>
      </c>
      <c r="M451" s="10">
        <v>46070</v>
      </c>
      <c r="N451" s="5"/>
    </row>
    <row r="452" spans="1:14" ht="14.4" customHeight="1" x14ac:dyDescent="0.3">
      <c r="A452" s="2">
        <v>451</v>
      </c>
      <c r="B452" s="2">
        <v>2011676</v>
      </c>
      <c r="C452" s="2" t="s">
        <v>221</v>
      </c>
      <c r="D452" s="2">
        <v>88320907</v>
      </c>
      <c r="E452" s="2" t="s">
        <v>15</v>
      </c>
      <c r="F452" s="3">
        <v>46027</v>
      </c>
      <c r="G452" s="4">
        <v>101.79</v>
      </c>
      <c r="H452" s="4">
        <v>20.358000000000001</v>
      </c>
      <c r="I452" s="4">
        <v>81.432000000000002</v>
      </c>
      <c r="J452" s="5">
        <f t="shared" si="14"/>
        <v>75.32459999999999</v>
      </c>
      <c r="K452" s="5">
        <v>74.307000000000002</v>
      </c>
      <c r="L452" s="5">
        <f t="shared" si="15"/>
        <v>1.0175999999999874</v>
      </c>
      <c r="M452" s="10">
        <v>46070</v>
      </c>
      <c r="N452" s="5"/>
    </row>
    <row r="453" spans="1:14" ht="14.4" customHeight="1" x14ac:dyDescent="0.3">
      <c r="A453" s="2">
        <v>454</v>
      </c>
      <c r="B453" s="2">
        <v>2033735</v>
      </c>
      <c r="C453" s="2" t="s">
        <v>271</v>
      </c>
      <c r="D453" s="2">
        <v>86813585</v>
      </c>
      <c r="E453" s="2" t="s">
        <v>15</v>
      </c>
      <c r="F453" s="3">
        <v>46028</v>
      </c>
      <c r="G453" s="4">
        <v>25.19</v>
      </c>
      <c r="H453" s="4">
        <v>3.778</v>
      </c>
      <c r="I453" s="4">
        <v>21.411999999999999</v>
      </c>
      <c r="J453" s="5">
        <f t="shared" si="14"/>
        <v>19.900600000000001</v>
      </c>
      <c r="K453" s="5">
        <v>19.600000000000001</v>
      </c>
      <c r="L453" s="5">
        <f t="shared" si="15"/>
        <v>0.30059999999999931</v>
      </c>
      <c r="M453" s="10">
        <v>46036</v>
      </c>
      <c r="N453" s="5"/>
    </row>
    <row r="454" spans="1:14" ht="14.4" customHeight="1" x14ac:dyDescent="0.3">
      <c r="A454" s="2">
        <v>453</v>
      </c>
      <c r="B454" s="2">
        <v>1849233</v>
      </c>
      <c r="C454" s="2" t="s">
        <v>77</v>
      </c>
      <c r="D454" s="2">
        <v>86863532</v>
      </c>
      <c r="E454" s="2" t="s">
        <v>19</v>
      </c>
      <c r="F454" s="3">
        <v>46028</v>
      </c>
      <c r="G454" s="4">
        <v>43.7</v>
      </c>
      <c r="H454" s="4">
        <v>8.74</v>
      </c>
      <c r="I454" s="4">
        <v>34.96</v>
      </c>
      <c r="J454" s="5">
        <f t="shared" si="14"/>
        <v>32.338000000000001</v>
      </c>
      <c r="K454" s="5">
        <v>31.901</v>
      </c>
      <c r="L454" s="5">
        <f t="shared" si="15"/>
        <v>0.43700000000000117</v>
      </c>
      <c r="M454" s="10">
        <v>46070</v>
      </c>
      <c r="N454" s="5"/>
    </row>
    <row r="455" spans="1:14" ht="14.4" customHeight="1" x14ac:dyDescent="0.3">
      <c r="A455" s="2">
        <v>455</v>
      </c>
      <c r="B455" s="2">
        <v>1988670</v>
      </c>
      <c r="C455" s="2" t="s">
        <v>309</v>
      </c>
      <c r="D455" s="2">
        <v>86812579</v>
      </c>
      <c r="E455" s="2" t="s">
        <v>15</v>
      </c>
      <c r="F455" s="3">
        <v>46029</v>
      </c>
      <c r="G455" s="4">
        <v>65.989999999999995</v>
      </c>
      <c r="H455" s="4">
        <v>9.8979999999999997</v>
      </c>
      <c r="I455" s="4">
        <v>56.091999999999999</v>
      </c>
      <c r="J455" s="5">
        <f t="shared" si="14"/>
        <v>52.132599999999996</v>
      </c>
      <c r="K455" s="5">
        <v>51.472000000000001</v>
      </c>
      <c r="L455" s="5">
        <f t="shared" si="15"/>
        <v>0.66059999999999519</v>
      </c>
      <c r="M455" s="10">
        <v>46070</v>
      </c>
      <c r="N455" s="5"/>
    </row>
    <row r="456" spans="1:14" ht="14.4" customHeight="1" x14ac:dyDescent="0.3">
      <c r="A456" s="2">
        <v>456</v>
      </c>
      <c r="B456" s="2">
        <v>2040106</v>
      </c>
      <c r="C456" s="2" t="s">
        <v>311</v>
      </c>
      <c r="D456" s="2">
        <v>86815355</v>
      </c>
      <c r="E456" s="2" t="s">
        <v>19</v>
      </c>
      <c r="F456" s="3">
        <v>46030</v>
      </c>
      <c r="G456" s="4">
        <v>24.57</v>
      </c>
      <c r="H456" s="4">
        <v>3.6850000000000001</v>
      </c>
      <c r="I456" s="4">
        <v>20.885000000000002</v>
      </c>
      <c r="J456" s="5">
        <f t="shared" si="14"/>
        <v>19.410800000000002</v>
      </c>
      <c r="K456" s="5">
        <v>19.163</v>
      </c>
      <c r="L456" s="5">
        <f t="shared" si="15"/>
        <v>0.24780000000000157</v>
      </c>
      <c r="M456" s="10">
        <v>46070</v>
      </c>
      <c r="N456" s="5"/>
    </row>
    <row r="457" spans="1:14" ht="14.4" customHeight="1" x14ac:dyDescent="0.3">
      <c r="A457" s="2">
        <v>457</v>
      </c>
      <c r="B457" s="2">
        <v>2033729</v>
      </c>
      <c r="C457" s="2" t="s">
        <v>310</v>
      </c>
      <c r="D457" s="2">
        <v>86813304</v>
      </c>
      <c r="E457" s="2" t="s">
        <v>15</v>
      </c>
      <c r="F457" s="3">
        <v>46030</v>
      </c>
      <c r="G457" s="4">
        <v>28.54</v>
      </c>
      <c r="H457" s="4">
        <v>4.2809999999999997</v>
      </c>
      <c r="I457" s="4">
        <v>24.259</v>
      </c>
      <c r="J457" s="5">
        <f t="shared" si="14"/>
        <v>22.546599999999998</v>
      </c>
      <c r="K457" s="5">
        <v>22.260999999999999</v>
      </c>
      <c r="L457" s="5">
        <f t="shared" si="15"/>
        <v>0.28559999999999874</v>
      </c>
      <c r="M457" s="10">
        <v>46070</v>
      </c>
      <c r="N457" s="5"/>
    </row>
    <row r="458" spans="1:14" ht="14.4" customHeight="1" x14ac:dyDescent="0.3">
      <c r="A458" s="2">
        <v>458</v>
      </c>
      <c r="B458" s="2">
        <v>2011686</v>
      </c>
      <c r="C458" s="2" t="s">
        <v>156</v>
      </c>
      <c r="D458" s="2">
        <v>88321153</v>
      </c>
      <c r="E458" s="2" t="s">
        <v>19</v>
      </c>
      <c r="F458" s="3">
        <v>46032</v>
      </c>
      <c r="G458" s="4">
        <v>41.82</v>
      </c>
      <c r="H458" s="4">
        <v>8.3640000000000008</v>
      </c>
      <c r="I458" s="4">
        <v>33.456000000000003</v>
      </c>
      <c r="J458" s="5">
        <f t="shared" si="14"/>
        <v>30.9468</v>
      </c>
      <c r="K458" s="5">
        <v>29.802</v>
      </c>
      <c r="L458" s="5">
        <f t="shared" si="15"/>
        <v>1.1448</v>
      </c>
      <c r="M458" s="10">
        <v>46070</v>
      </c>
      <c r="N458" s="5"/>
    </row>
    <row r="459" spans="1:14" ht="14.4" customHeight="1" x14ac:dyDescent="0.3">
      <c r="A459" s="2">
        <v>459</v>
      </c>
      <c r="B459" s="2">
        <v>1988644</v>
      </c>
      <c r="C459" s="2" t="s">
        <v>110</v>
      </c>
      <c r="D459" s="2">
        <v>86811301</v>
      </c>
      <c r="E459" s="2" t="s">
        <v>19</v>
      </c>
      <c r="F459" s="3">
        <v>46034</v>
      </c>
      <c r="G459" s="4">
        <v>56.93</v>
      </c>
      <c r="H459" s="4">
        <v>8.5389999999999997</v>
      </c>
      <c r="I459" s="4">
        <v>48.390999999999998</v>
      </c>
      <c r="J459" s="5">
        <f t="shared" si="14"/>
        <v>44.975199999999994</v>
      </c>
      <c r="K459" s="5">
        <v>43.677999999999997</v>
      </c>
      <c r="L459" s="5">
        <f t="shared" si="15"/>
        <v>1.2971999999999966</v>
      </c>
      <c r="M459" s="10">
        <v>46070</v>
      </c>
      <c r="N459" s="5"/>
    </row>
    <row r="460" spans="1:14" ht="14.4" customHeight="1" x14ac:dyDescent="0.3">
      <c r="A460" s="2">
        <v>463</v>
      </c>
      <c r="B460" s="2">
        <v>1988555</v>
      </c>
      <c r="C460" s="2" t="s">
        <v>210</v>
      </c>
      <c r="D460" s="2">
        <v>86812181</v>
      </c>
      <c r="E460" s="2" t="s">
        <v>15</v>
      </c>
      <c r="F460" s="3">
        <v>46036</v>
      </c>
      <c r="G460" s="4">
        <v>6.04</v>
      </c>
      <c r="H460" s="4">
        <v>0.90600000000000003</v>
      </c>
      <c r="I460" s="4">
        <v>5.1340000000000003</v>
      </c>
      <c r="J460" s="5">
        <f t="shared" si="14"/>
        <v>4.7716000000000003</v>
      </c>
      <c r="K460" s="5">
        <v>4.7110000000000003</v>
      </c>
      <c r="L460" s="5">
        <f t="shared" si="15"/>
        <v>6.0599999999999987E-2</v>
      </c>
      <c r="M460" s="10">
        <v>46070</v>
      </c>
      <c r="N460" s="5"/>
    </row>
    <row r="461" spans="1:14" ht="14.4" customHeight="1" x14ac:dyDescent="0.3">
      <c r="A461" s="2">
        <v>460</v>
      </c>
      <c r="B461" s="2">
        <v>2011599</v>
      </c>
      <c r="C461" s="2" t="s">
        <v>179</v>
      </c>
      <c r="D461" s="2">
        <v>88321013</v>
      </c>
      <c r="E461" s="2" t="s">
        <v>19</v>
      </c>
      <c r="F461" s="3">
        <v>46036</v>
      </c>
      <c r="G461" s="4">
        <v>16.62</v>
      </c>
      <c r="H461" s="4">
        <v>3.3239999999999998</v>
      </c>
      <c r="I461" s="4">
        <v>13.295999999999999</v>
      </c>
      <c r="J461" s="5">
        <f t="shared" si="14"/>
        <v>12.2988</v>
      </c>
      <c r="K461" s="5">
        <v>12.132999999999999</v>
      </c>
      <c r="L461" s="5">
        <f t="shared" si="15"/>
        <v>0.16580000000000084</v>
      </c>
      <c r="M461" s="10">
        <v>46070</v>
      </c>
      <c r="N461" s="5"/>
    </row>
    <row r="462" spans="1:14" ht="14.4" customHeight="1" x14ac:dyDescent="0.3">
      <c r="A462" s="2">
        <v>462</v>
      </c>
      <c r="B462" s="2">
        <v>1809422</v>
      </c>
      <c r="C462" s="2" t="s">
        <v>131</v>
      </c>
      <c r="D462" s="2">
        <v>86340525</v>
      </c>
      <c r="E462" s="2" t="s">
        <v>15</v>
      </c>
      <c r="F462" s="3">
        <v>46036</v>
      </c>
      <c r="G462" s="4">
        <v>64.36</v>
      </c>
      <c r="H462" s="4">
        <v>12.872</v>
      </c>
      <c r="I462" s="4">
        <v>51.488</v>
      </c>
      <c r="J462" s="5">
        <f t="shared" si="14"/>
        <v>47.626399999999997</v>
      </c>
      <c r="K462" s="5">
        <v>45.996000000000002</v>
      </c>
      <c r="L462" s="5">
        <f t="shared" si="15"/>
        <v>1.6303999999999945</v>
      </c>
      <c r="M462" s="10">
        <v>46070</v>
      </c>
      <c r="N462" s="5"/>
    </row>
    <row r="463" spans="1:14" ht="14.4" customHeight="1" x14ac:dyDescent="0.3">
      <c r="A463" s="2">
        <v>461</v>
      </c>
      <c r="B463" s="2">
        <v>1474537</v>
      </c>
      <c r="C463" s="2" t="s">
        <v>200</v>
      </c>
      <c r="D463" s="2">
        <v>86342380</v>
      </c>
      <c r="E463" s="2" t="s">
        <v>19</v>
      </c>
      <c r="F463" s="3">
        <v>46036</v>
      </c>
      <c r="G463" s="4">
        <v>51.79</v>
      </c>
      <c r="H463" s="4">
        <v>10.358000000000001</v>
      </c>
      <c r="I463" s="4">
        <v>41.432000000000002</v>
      </c>
      <c r="J463" s="5">
        <f t="shared" si="14"/>
        <v>38.32459999999999</v>
      </c>
      <c r="K463" s="5">
        <v>36.094000000000001</v>
      </c>
      <c r="L463" s="5">
        <f t="shared" si="15"/>
        <v>2.2305999999999884</v>
      </c>
      <c r="M463" s="10">
        <v>46070</v>
      </c>
      <c r="N463" s="5"/>
    </row>
    <row r="464" spans="1:14" ht="14.4" customHeight="1" x14ac:dyDescent="0.3">
      <c r="A464" s="2">
        <v>464</v>
      </c>
      <c r="B464" s="2">
        <v>2011695</v>
      </c>
      <c r="C464" s="2" t="s">
        <v>188</v>
      </c>
      <c r="D464" s="2">
        <v>88320941</v>
      </c>
      <c r="E464" s="2" t="s">
        <v>19</v>
      </c>
      <c r="F464" s="3">
        <v>46037</v>
      </c>
      <c r="G464" s="4">
        <v>19.68</v>
      </c>
      <c r="H464" s="4">
        <v>3.9359999999999999</v>
      </c>
      <c r="I464" s="4">
        <v>15.744</v>
      </c>
      <c r="J464" s="5">
        <f t="shared" si="14"/>
        <v>14.563199999999998</v>
      </c>
      <c r="K464" s="5">
        <v>14.366</v>
      </c>
      <c r="L464" s="5">
        <f t="shared" si="15"/>
        <v>0.19719999999999871</v>
      </c>
      <c r="M464" s="10">
        <v>46070</v>
      </c>
      <c r="N464" s="5"/>
    </row>
    <row r="465" spans="1:14" ht="14.4" customHeight="1" x14ac:dyDescent="0.3">
      <c r="A465" s="2">
        <v>465</v>
      </c>
      <c r="B465" s="2">
        <v>2034422</v>
      </c>
      <c r="C465" s="2" t="s">
        <v>312</v>
      </c>
      <c r="D465" s="2">
        <v>86813589</v>
      </c>
      <c r="E465" s="2" t="s">
        <v>15</v>
      </c>
      <c r="F465" s="3">
        <v>46039</v>
      </c>
      <c r="G465" s="4">
        <v>15.25</v>
      </c>
      <c r="H465" s="4">
        <v>2.2869999999999999</v>
      </c>
      <c r="I465" s="4">
        <v>12.962999999999999</v>
      </c>
      <c r="J465" s="5">
        <f t="shared" si="14"/>
        <v>12.047999999999998</v>
      </c>
      <c r="K465" s="5">
        <v>11.916</v>
      </c>
      <c r="L465" s="5">
        <f t="shared" si="15"/>
        <v>0.1319999999999979</v>
      </c>
      <c r="M465" s="10">
        <v>46070</v>
      </c>
      <c r="N465" s="5"/>
    </row>
    <row r="466" spans="1:14" ht="14.4" customHeight="1" x14ac:dyDescent="0.3">
      <c r="A466" s="2">
        <v>466</v>
      </c>
      <c r="B466" s="2">
        <v>1904564</v>
      </c>
      <c r="C466" s="2" t="s">
        <v>60</v>
      </c>
      <c r="D466" s="2">
        <v>89682888</v>
      </c>
      <c r="E466" s="2" t="s">
        <v>15</v>
      </c>
      <c r="F466" s="3">
        <v>46040</v>
      </c>
      <c r="G466" s="4">
        <v>17.72</v>
      </c>
      <c r="H466" s="4">
        <v>3.544</v>
      </c>
      <c r="I466" s="4">
        <v>14.176</v>
      </c>
      <c r="J466" s="5">
        <f t="shared" si="14"/>
        <v>13.112799999999996</v>
      </c>
      <c r="K466" s="5">
        <v>12.935</v>
      </c>
      <c r="L466" s="5">
        <f t="shared" si="15"/>
        <v>0.17779999999999596</v>
      </c>
      <c r="M466" s="10">
        <v>46070</v>
      </c>
      <c r="N466" s="5"/>
    </row>
    <row r="467" spans="1:14" ht="14.4" customHeight="1" x14ac:dyDescent="0.3">
      <c r="A467" s="2">
        <v>468</v>
      </c>
      <c r="B467" s="2">
        <v>1833947</v>
      </c>
      <c r="C467" s="2" t="s">
        <v>196</v>
      </c>
      <c r="D467" s="2">
        <v>89682860</v>
      </c>
      <c r="E467" s="2" t="s">
        <v>19</v>
      </c>
      <c r="F467" s="3">
        <v>46040</v>
      </c>
      <c r="G467" s="4">
        <v>28.07</v>
      </c>
      <c r="H467" s="4">
        <v>5.6139999999999999</v>
      </c>
      <c r="I467" s="4">
        <v>22.456</v>
      </c>
      <c r="J467" s="5">
        <f t="shared" si="14"/>
        <v>20.771799999999999</v>
      </c>
      <c r="K467" s="5">
        <v>20.49</v>
      </c>
      <c r="L467" s="5">
        <f t="shared" si="15"/>
        <v>0.28180000000000049</v>
      </c>
      <c r="M467" s="10">
        <v>46070</v>
      </c>
      <c r="N467" s="5"/>
    </row>
    <row r="468" spans="1:14" ht="14.4" customHeight="1" x14ac:dyDescent="0.3">
      <c r="A468" s="2">
        <v>470</v>
      </c>
      <c r="B468" s="2">
        <v>1474537</v>
      </c>
      <c r="C468" s="2" t="s">
        <v>200</v>
      </c>
      <c r="D468" s="2">
        <v>86342379</v>
      </c>
      <c r="E468" s="2" t="s">
        <v>19</v>
      </c>
      <c r="F468" s="3">
        <v>46040</v>
      </c>
      <c r="G468" s="4">
        <v>42.53</v>
      </c>
      <c r="H468" s="4">
        <v>8.5060000000000002</v>
      </c>
      <c r="I468" s="4">
        <v>34.024000000000001</v>
      </c>
      <c r="J468" s="5">
        <f t="shared" si="14"/>
        <v>31.472200000000001</v>
      </c>
      <c r="K468" s="5">
        <v>31.045999999999999</v>
      </c>
      <c r="L468" s="5">
        <f t="shared" si="15"/>
        <v>0.42620000000000147</v>
      </c>
      <c r="M468" s="10">
        <v>46070</v>
      </c>
      <c r="N468" s="5"/>
    </row>
    <row r="469" spans="1:14" ht="14.4" customHeight="1" x14ac:dyDescent="0.3">
      <c r="A469" s="2">
        <v>469</v>
      </c>
      <c r="B469" s="2">
        <v>1809422</v>
      </c>
      <c r="C469" s="2" t="s">
        <v>131</v>
      </c>
      <c r="D469" s="2">
        <v>86339159</v>
      </c>
      <c r="E469" s="2" t="s">
        <v>15</v>
      </c>
      <c r="F469" s="3">
        <v>46040</v>
      </c>
      <c r="G469" s="4">
        <v>44.4</v>
      </c>
      <c r="H469" s="4">
        <v>8.8800000000000008</v>
      </c>
      <c r="I469" s="4">
        <v>35.520000000000003</v>
      </c>
      <c r="J469" s="5">
        <f t="shared" si="14"/>
        <v>32.855999999999995</v>
      </c>
      <c r="K469" s="5">
        <v>32.411000000000001</v>
      </c>
      <c r="L469" s="5">
        <f t="shared" si="15"/>
        <v>0.44499999999999318</v>
      </c>
      <c r="M469" s="10">
        <v>46070</v>
      </c>
      <c r="N469" s="5"/>
    </row>
    <row r="470" spans="1:14" ht="14.4" customHeight="1" x14ac:dyDescent="0.3">
      <c r="A470" s="2">
        <v>467</v>
      </c>
      <c r="B470" s="2">
        <v>1833948</v>
      </c>
      <c r="C470" s="2" t="s">
        <v>50</v>
      </c>
      <c r="D470" s="2">
        <v>89682874</v>
      </c>
      <c r="E470" s="2" t="s">
        <v>15</v>
      </c>
      <c r="F470" s="3">
        <v>46040</v>
      </c>
      <c r="G470" s="4">
        <v>52.25</v>
      </c>
      <c r="H470" s="4">
        <v>10.45</v>
      </c>
      <c r="I470" s="4">
        <v>41.8</v>
      </c>
      <c r="J470" s="5">
        <f t="shared" si="14"/>
        <v>38.664999999999992</v>
      </c>
      <c r="K470" s="5">
        <v>38.133000000000003</v>
      </c>
      <c r="L470" s="5">
        <f t="shared" si="15"/>
        <v>0.53199999999998937</v>
      </c>
      <c r="M470" s="10">
        <v>46070</v>
      </c>
      <c r="N470" s="5"/>
    </row>
    <row r="471" spans="1:14" ht="14.4" customHeight="1" x14ac:dyDescent="0.3">
      <c r="A471" s="2">
        <v>473</v>
      </c>
      <c r="B471" s="2">
        <v>2034693</v>
      </c>
      <c r="C471" s="2" t="s">
        <v>313</v>
      </c>
      <c r="D471" s="2">
        <v>86813323</v>
      </c>
      <c r="E471" s="2" t="s">
        <v>15</v>
      </c>
      <c r="F471" s="3">
        <v>46041</v>
      </c>
      <c r="G471" s="4">
        <v>44.45</v>
      </c>
      <c r="H471" s="4">
        <v>6.6669999999999998</v>
      </c>
      <c r="I471" s="4">
        <v>37.783000000000001</v>
      </c>
      <c r="J471" s="5">
        <f t="shared" si="14"/>
        <v>35.116</v>
      </c>
      <c r="K471" s="5">
        <v>34.670999999999999</v>
      </c>
      <c r="L471" s="5">
        <f t="shared" si="15"/>
        <v>0.44500000000000028</v>
      </c>
      <c r="M471" s="10">
        <v>46070</v>
      </c>
      <c r="N471" s="5"/>
    </row>
    <row r="472" spans="1:14" ht="14.4" customHeight="1" x14ac:dyDescent="0.3">
      <c r="A472" s="2">
        <v>471</v>
      </c>
      <c r="B472" s="2">
        <v>1902625</v>
      </c>
      <c r="C472" s="2" t="s">
        <v>141</v>
      </c>
      <c r="D472" s="2">
        <v>89801984</v>
      </c>
      <c r="E472" s="2" t="s">
        <v>19</v>
      </c>
      <c r="F472" s="3">
        <v>46041</v>
      </c>
      <c r="G472" s="4">
        <v>46.4</v>
      </c>
      <c r="H472" s="4">
        <v>9.2799999999999994</v>
      </c>
      <c r="I472" s="4">
        <v>37.119999999999997</v>
      </c>
      <c r="J472" s="5">
        <f t="shared" si="14"/>
        <v>34.335999999999999</v>
      </c>
      <c r="K472" s="5">
        <v>33.872</v>
      </c>
      <c r="L472" s="5">
        <f t="shared" si="15"/>
        <v>0.46399999999999864</v>
      </c>
      <c r="M472" s="10">
        <v>46070</v>
      </c>
      <c r="N472" s="5"/>
    </row>
    <row r="473" spans="1:14" ht="14.4" customHeight="1" x14ac:dyDescent="0.3">
      <c r="A473" s="2">
        <v>474</v>
      </c>
      <c r="B473" s="2">
        <v>2034682</v>
      </c>
      <c r="C473" s="2" t="s">
        <v>314</v>
      </c>
      <c r="D473" s="2">
        <v>86813322</v>
      </c>
      <c r="E473" s="2" t="s">
        <v>15</v>
      </c>
      <c r="F473" s="3">
        <v>46041</v>
      </c>
      <c r="G473" s="4">
        <v>36.82</v>
      </c>
      <c r="H473" s="4">
        <v>5.5229999999999997</v>
      </c>
      <c r="I473" s="4">
        <v>31.297000000000001</v>
      </c>
      <c r="J473" s="5">
        <f t="shared" si="14"/>
        <v>29.087799999999998</v>
      </c>
      <c r="K473" s="5">
        <v>27.992000000000001</v>
      </c>
      <c r="L473" s="5">
        <f t="shared" si="15"/>
        <v>1.095799999999997</v>
      </c>
      <c r="M473" s="10">
        <v>46070</v>
      </c>
      <c r="N473" s="5"/>
    </row>
    <row r="474" spans="1:14" ht="14.4" customHeight="1" x14ac:dyDescent="0.3">
      <c r="A474" s="2">
        <v>472</v>
      </c>
      <c r="B474" s="2">
        <v>2034692</v>
      </c>
      <c r="C474" s="2" t="s">
        <v>315</v>
      </c>
      <c r="D474" s="2">
        <v>86813319</v>
      </c>
      <c r="E474" s="2" t="s">
        <v>15</v>
      </c>
      <c r="F474" s="3">
        <v>46041</v>
      </c>
      <c r="G474" s="4">
        <v>33.57</v>
      </c>
      <c r="H474" s="4">
        <v>5.0350000000000001</v>
      </c>
      <c r="I474" s="4">
        <v>28.535</v>
      </c>
      <c r="J474" s="5">
        <f t="shared" si="14"/>
        <v>26.520799999999998</v>
      </c>
      <c r="K474" s="5">
        <v>24.472999999999999</v>
      </c>
      <c r="L474" s="5">
        <f t="shared" si="15"/>
        <v>2.0477999999999987</v>
      </c>
      <c r="M474" s="10">
        <v>46070</v>
      </c>
      <c r="N474" s="5"/>
    </row>
    <row r="475" spans="1:14" ht="14.4" customHeight="1" x14ac:dyDescent="0.3">
      <c r="A475" s="2">
        <v>476</v>
      </c>
      <c r="B475" s="2">
        <v>2011610</v>
      </c>
      <c r="C475" s="2" t="s">
        <v>153</v>
      </c>
      <c r="D475" s="2">
        <v>88321032</v>
      </c>
      <c r="E475" s="2" t="s">
        <v>19</v>
      </c>
      <c r="F475" s="3">
        <v>46042</v>
      </c>
      <c r="G475" s="4">
        <v>61.22</v>
      </c>
      <c r="H475" s="4">
        <v>12.244</v>
      </c>
      <c r="I475" s="4">
        <v>48.975999999999999</v>
      </c>
      <c r="J475" s="5">
        <f t="shared" si="14"/>
        <v>45.302799999999998</v>
      </c>
      <c r="K475" s="5">
        <v>43.62</v>
      </c>
      <c r="L475" s="5">
        <f t="shared" si="15"/>
        <v>1.6828000000000003</v>
      </c>
      <c r="M475" s="10">
        <v>46070</v>
      </c>
      <c r="N475" s="5"/>
    </row>
    <row r="476" spans="1:14" ht="14.4" customHeight="1" x14ac:dyDescent="0.3">
      <c r="A476" s="2">
        <v>475</v>
      </c>
      <c r="B476" s="2">
        <v>2011676</v>
      </c>
      <c r="C476" s="2" t="s">
        <v>316</v>
      </c>
      <c r="D476" s="2">
        <v>88321139</v>
      </c>
      <c r="E476" s="2" t="s">
        <v>15</v>
      </c>
      <c r="F476" s="3">
        <v>46042</v>
      </c>
      <c r="G476" s="4">
        <v>35.700000000000003</v>
      </c>
      <c r="H476" s="4">
        <v>7.14</v>
      </c>
      <c r="I476" s="4">
        <v>28.56</v>
      </c>
      <c r="J476" s="5">
        <f t="shared" si="14"/>
        <v>26.417999999999999</v>
      </c>
      <c r="K476" s="5">
        <v>9.9280000000000008</v>
      </c>
      <c r="L476" s="5">
        <f t="shared" si="15"/>
        <v>16.489999999999998</v>
      </c>
      <c r="M476" s="10">
        <v>46070</v>
      </c>
      <c r="N476" s="5"/>
    </row>
    <row r="477" spans="1:14" ht="14.4" customHeight="1" x14ac:dyDescent="0.3">
      <c r="A477" s="2">
        <v>479</v>
      </c>
      <c r="B477" s="2">
        <v>1988690</v>
      </c>
      <c r="C477" s="2" t="s">
        <v>193</v>
      </c>
      <c r="D477" s="2">
        <v>86812596</v>
      </c>
      <c r="E477" s="2" t="s">
        <v>15</v>
      </c>
      <c r="F477" s="3">
        <v>46043</v>
      </c>
      <c r="G477" s="4">
        <v>3.96</v>
      </c>
      <c r="H477" s="4">
        <v>0.59399999999999997</v>
      </c>
      <c r="I477" s="4">
        <v>3.3660000000000001</v>
      </c>
      <c r="J477" s="5">
        <f t="shared" si="14"/>
        <v>3.1284000000000001</v>
      </c>
      <c r="K477" s="5">
        <v>3.089</v>
      </c>
      <c r="L477" s="5">
        <f t="shared" si="15"/>
        <v>3.9400000000000102E-2</v>
      </c>
      <c r="M477" s="10">
        <v>46070</v>
      </c>
      <c r="N477" s="5"/>
    </row>
    <row r="478" spans="1:14" ht="14.4" customHeight="1" x14ac:dyDescent="0.3">
      <c r="A478" s="2">
        <v>478</v>
      </c>
      <c r="B478" s="2">
        <v>2011668</v>
      </c>
      <c r="C478" s="2" t="s">
        <v>287</v>
      </c>
      <c r="D478" s="2">
        <v>88320891</v>
      </c>
      <c r="E478" s="2" t="s">
        <v>19</v>
      </c>
      <c r="F478" s="3">
        <v>46043</v>
      </c>
      <c r="G478" s="4">
        <v>17.760000000000002</v>
      </c>
      <c r="H478" s="4">
        <v>3.552</v>
      </c>
      <c r="I478" s="4">
        <v>14.208</v>
      </c>
      <c r="J478" s="5">
        <f t="shared" si="14"/>
        <v>13.142400000000002</v>
      </c>
      <c r="K478" s="5">
        <v>12.965</v>
      </c>
      <c r="L478" s="5">
        <f t="shared" si="15"/>
        <v>0.17740000000000222</v>
      </c>
      <c r="M478" s="10">
        <v>46070</v>
      </c>
      <c r="N478" s="5"/>
    </row>
    <row r="479" spans="1:14" ht="14.4" customHeight="1" x14ac:dyDescent="0.3">
      <c r="A479" s="2">
        <v>477</v>
      </c>
      <c r="B479" s="2">
        <v>1876018</v>
      </c>
      <c r="C479" s="2" t="s">
        <v>249</v>
      </c>
      <c r="D479" s="2">
        <v>88579498</v>
      </c>
      <c r="E479" s="2" t="s">
        <v>19</v>
      </c>
      <c r="F479" s="3">
        <v>46043</v>
      </c>
      <c r="G479" s="4">
        <v>62.34</v>
      </c>
      <c r="H479" s="4">
        <v>12.468</v>
      </c>
      <c r="I479" s="4">
        <v>49.872</v>
      </c>
      <c r="J479" s="5">
        <f t="shared" si="14"/>
        <v>46.131600000000006</v>
      </c>
      <c r="K479" s="5">
        <v>45.506999999999998</v>
      </c>
      <c r="L479" s="5">
        <f t="shared" si="15"/>
        <v>0.62460000000000804</v>
      </c>
      <c r="M479" s="10">
        <v>46070</v>
      </c>
      <c r="N479" s="5"/>
    </row>
    <row r="480" spans="1:14" ht="14.4" customHeight="1" x14ac:dyDescent="0.3">
      <c r="A480" s="2">
        <v>481</v>
      </c>
      <c r="B480" s="2">
        <v>1988697</v>
      </c>
      <c r="C480" s="2" t="s">
        <v>35</v>
      </c>
      <c r="D480" s="2">
        <v>86811313</v>
      </c>
      <c r="E480" s="2" t="s">
        <v>19</v>
      </c>
      <c r="F480" s="3">
        <v>46044</v>
      </c>
      <c r="G480" s="4">
        <v>46.55</v>
      </c>
      <c r="H480" s="4">
        <v>6.9820000000000002</v>
      </c>
      <c r="I480" s="4">
        <v>39.567999999999998</v>
      </c>
      <c r="J480" s="5">
        <f t="shared" si="14"/>
        <v>36.774999999999999</v>
      </c>
      <c r="K480" s="5">
        <v>36.307000000000002</v>
      </c>
      <c r="L480" s="5">
        <f t="shared" si="15"/>
        <v>0.46799999999999642</v>
      </c>
      <c r="M480" s="10">
        <v>46070</v>
      </c>
      <c r="N480" s="5"/>
    </row>
    <row r="481" spans="1:14" ht="14.4" customHeight="1" x14ac:dyDescent="0.3">
      <c r="A481" s="2">
        <v>480</v>
      </c>
      <c r="B481" s="2">
        <v>2011668</v>
      </c>
      <c r="C481" s="2" t="s">
        <v>287</v>
      </c>
      <c r="D481" s="2">
        <v>883208911</v>
      </c>
      <c r="E481" s="2" t="s">
        <v>19</v>
      </c>
      <c r="F481" s="3">
        <v>46044</v>
      </c>
      <c r="G481" s="4">
        <v>34.74</v>
      </c>
      <c r="H481" s="4">
        <v>6.9480000000000004</v>
      </c>
      <c r="I481" s="4">
        <v>27.792000000000002</v>
      </c>
      <c r="J481" s="5">
        <f t="shared" si="14"/>
        <v>25.707599999999999</v>
      </c>
      <c r="L481" s="5">
        <f t="shared" si="15"/>
        <v>25.707599999999999</v>
      </c>
      <c r="M481" s="5"/>
      <c r="N481" s="5"/>
    </row>
    <row r="482" spans="1:14" ht="14.4" customHeight="1" x14ac:dyDescent="0.3">
      <c r="A482" s="2">
        <v>482</v>
      </c>
      <c r="B482" s="2">
        <v>1988659</v>
      </c>
      <c r="C482" s="2" t="s">
        <v>94</v>
      </c>
      <c r="D482" s="2">
        <v>86812038</v>
      </c>
      <c r="E482" s="2" t="s">
        <v>15</v>
      </c>
      <c r="F482" s="3">
        <v>46046</v>
      </c>
      <c r="G482" s="4">
        <v>32.56</v>
      </c>
      <c r="H482" s="4">
        <v>4.8840000000000003</v>
      </c>
      <c r="I482" s="4">
        <v>27.675999999999998</v>
      </c>
      <c r="J482" s="5">
        <f t="shared" si="14"/>
        <v>25.7224</v>
      </c>
      <c r="K482" s="5">
        <v>25.396999999999998</v>
      </c>
      <c r="L482" s="5">
        <f t="shared" si="15"/>
        <v>0.32540000000000191</v>
      </c>
      <c r="M482" s="10">
        <v>46070</v>
      </c>
      <c r="N482" s="5"/>
    </row>
    <row r="483" spans="1:14" ht="14.4" customHeight="1" x14ac:dyDescent="0.3">
      <c r="A483" s="2">
        <v>483</v>
      </c>
      <c r="B483" s="2">
        <v>1988586</v>
      </c>
      <c r="C483" s="2" t="s">
        <v>74</v>
      </c>
      <c r="D483" s="2">
        <v>86812446</v>
      </c>
      <c r="E483" s="2" t="s">
        <v>15</v>
      </c>
      <c r="F483" s="3">
        <v>46048</v>
      </c>
      <c r="G483" s="4">
        <v>34.93</v>
      </c>
      <c r="H483" s="4">
        <v>5.2389999999999999</v>
      </c>
      <c r="I483" s="4">
        <v>29.690999999999999</v>
      </c>
      <c r="J483" s="5">
        <f t="shared" si="14"/>
        <v>27.595199999999995</v>
      </c>
      <c r="K483" s="5">
        <v>27.244</v>
      </c>
      <c r="L483" s="5">
        <f t="shared" si="15"/>
        <v>0.35119999999999507</v>
      </c>
      <c r="M483" s="10">
        <v>46070</v>
      </c>
      <c r="N483" s="5"/>
    </row>
    <row r="484" spans="1:14" ht="14.4" customHeight="1" x14ac:dyDescent="0.3">
      <c r="A484" s="2">
        <v>484</v>
      </c>
      <c r="B484" s="2">
        <v>1988642</v>
      </c>
      <c r="C484" s="2" t="s">
        <v>317</v>
      </c>
      <c r="D484" s="2">
        <v>86811190</v>
      </c>
      <c r="E484" s="2" t="s">
        <v>19</v>
      </c>
      <c r="F484" s="3">
        <v>46048</v>
      </c>
      <c r="G484" s="4">
        <v>40.799999999999997</v>
      </c>
      <c r="H484" s="4">
        <v>6.12</v>
      </c>
      <c r="I484" s="4">
        <v>34.68</v>
      </c>
      <c r="J484" s="5">
        <f t="shared" si="14"/>
        <v>32.231999999999999</v>
      </c>
      <c r="K484" s="5">
        <v>31.097000000000001</v>
      </c>
      <c r="L484" s="5">
        <f t="shared" si="15"/>
        <v>1.134999999999998</v>
      </c>
      <c r="M484" s="10">
        <v>46070</v>
      </c>
      <c r="N484" s="5"/>
    </row>
    <row r="485" spans="1:14" ht="14.4" customHeight="1" x14ac:dyDescent="0.3">
      <c r="A485" s="2">
        <v>485</v>
      </c>
      <c r="B485" s="2">
        <v>2011677</v>
      </c>
      <c r="C485" s="2" t="s">
        <v>318</v>
      </c>
      <c r="D485" s="2">
        <v>88321141</v>
      </c>
      <c r="E485" s="2" t="s">
        <v>19</v>
      </c>
      <c r="F485" s="3">
        <v>46050</v>
      </c>
      <c r="G485" s="4">
        <v>61.19</v>
      </c>
      <c r="H485" s="4">
        <v>12.238</v>
      </c>
      <c r="I485" s="4">
        <v>48.951999999999998</v>
      </c>
      <c r="J485" s="5">
        <f t="shared" si="14"/>
        <v>45.280599999999993</v>
      </c>
      <c r="K485" s="5">
        <v>44.668999999999997</v>
      </c>
      <c r="L485" s="5">
        <f t="shared" si="15"/>
        <v>0.6115999999999957</v>
      </c>
      <c r="M485" s="10">
        <v>46070</v>
      </c>
      <c r="N485" s="5"/>
    </row>
    <row r="486" spans="1:14" ht="14.4" customHeight="1" x14ac:dyDescent="0.3">
      <c r="A486" s="2">
        <v>486</v>
      </c>
      <c r="B486" s="2">
        <v>2045913</v>
      </c>
      <c r="C486" s="2" t="s">
        <v>319</v>
      </c>
      <c r="D486" s="2">
        <v>86813676</v>
      </c>
      <c r="E486" s="2" t="s">
        <v>19</v>
      </c>
      <c r="F486" s="3">
        <v>46050</v>
      </c>
      <c r="G486" s="4">
        <v>74.84</v>
      </c>
      <c r="H486" s="4">
        <v>11.226000000000001</v>
      </c>
      <c r="I486" s="4">
        <v>63.613999999999997</v>
      </c>
      <c r="J486" s="5">
        <f t="shared" si="14"/>
        <v>59.123599999999996</v>
      </c>
      <c r="K486" s="5">
        <v>58.371000000000002</v>
      </c>
      <c r="L486" s="5">
        <f t="shared" si="15"/>
        <v>0.75259999999999394</v>
      </c>
      <c r="M486" s="10">
        <v>46070</v>
      </c>
      <c r="N486" s="5"/>
    </row>
    <row r="487" spans="1:14" ht="14.4" customHeight="1" x14ac:dyDescent="0.3">
      <c r="A487" s="2">
        <v>487</v>
      </c>
      <c r="B487" s="2">
        <v>1988658</v>
      </c>
      <c r="C487" s="2" t="s">
        <v>320</v>
      </c>
      <c r="D487" s="2">
        <v>86812993</v>
      </c>
      <c r="E487" s="2" t="s">
        <v>19</v>
      </c>
      <c r="F487" s="3">
        <v>46050</v>
      </c>
      <c r="G487" s="4">
        <v>27.06</v>
      </c>
      <c r="H487" s="4">
        <v>4.0590000000000002</v>
      </c>
      <c r="I487" s="4">
        <v>23.001000000000001</v>
      </c>
      <c r="J487" s="5">
        <f t="shared" si="14"/>
        <v>21.377399999999998</v>
      </c>
      <c r="K487" s="5">
        <v>19.878</v>
      </c>
      <c r="L487" s="5">
        <f t="shared" si="15"/>
        <v>1.4993999999999978</v>
      </c>
      <c r="M487" s="10">
        <v>46070</v>
      </c>
      <c r="N487" s="5"/>
    </row>
    <row r="488" spans="1:14" ht="14.4" customHeight="1" x14ac:dyDescent="0.3">
      <c r="A488" s="2">
        <v>488</v>
      </c>
      <c r="B488" s="2">
        <v>2038870</v>
      </c>
      <c r="C488" s="2" t="s">
        <v>323</v>
      </c>
      <c r="D488" s="2">
        <v>86813355</v>
      </c>
      <c r="E488" s="2" t="s">
        <v>15</v>
      </c>
      <c r="F488" s="3">
        <v>46051</v>
      </c>
      <c r="G488" s="4">
        <v>32.65</v>
      </c>
      <c r="H488" s="4">
        <v>4.8970000000000002</v>
      </c>
      <c r="I488" s="4">
        <v>27.753</v>
      </c>
      <c r="J488" s="5">
        <f t="shared" si="14"/>
        <v>25.793999999999997</v>
      </c>
      <c r="K488" s="5">
        <v>25.466000000000001</v>
      </c>
      <c r="L488" s="5">
        <f t="shared" si="15"/>
        <v>0.32799999999999585</v>
      </c>
      <c r="M488" s="10">
        <v>46070</v>
      </c>
      <c r="N488" s="5"/>
    </row>
    <row r="489" spans="1:14" ht="14.4" customHeight="1" x14ac:dyDescent="0.3">
      <c r="A489" s="2">
        <v>489</v>
      </c>
      <c r="B489" s="2">
        <v>2038867</v>
      </c>
      <c r="C489" s="2" t="s">
        <v>322</v>
      </c>
      <c r="D489" s="2">
        <v>86811284</v>
      </c>
      <c r="E489" s="2" t="s">
        <v>19</v>
      </c>
      <c r="F489" s="3">
        <v>46051</v>
      </c>
      <c r="G489" s="4">
        <v>34.17</v>
      </c>
      <c r="H489" s="4">
        <v>5.125</v>
      </c>
      <c r="I489" s="4">
        <v>29.045000000000002</v>
      </c>
      <c r="J489" s="5">
        <f t="shared" si="14"/>
        <v>26.994799999999998</v>
      </c>
      <c r="K489" s="5">
        <v>26.652000000000001</v>
      </c>
      <c r="L489" s="5">
        <f t="shared" si="15"/>
        <v>0.34279999999999688</v>
      </c>
      <c r="M489" s="10">
        <v>46070</v>
      </c>
      <c r="N489" s="5"/>
    </row>
    <row r="490" spans="1:14" ht="14.4" customHeight="1" x14ac:dyDescent="0.3">
      <c r="A490" s="2">
        <v>490</v>
      </c>
      <c r="B490" s="2">
        <v>2038868</v>
      </c>
      <c r="C490" s="2" t="s">
        <v>321</v>
      </c>
      <c r="D490" s="2">
        <v>86813632</v>
      </c>
      <c r="E490" s="2" t="s">
        <v>15</v>
      </c>
      <c r="F490" s="3">
        <v>46051</v>
      </c>
      <c r="G490" s="4">
        <v>56.73</v>
      </c>
      <c r="H490" s="4">
        <v>8.5090000000000003</v>
      </c>
      <c r="I490" s="4">
        <v>48.220999999999997</v>
      </c>
      <c r="J490" s="5">
        <f t="shared" si="14"/>
        <v>44.817199999999993</v>
      </c>
      <c r="K490" s="5">
        <v>44.155999999999999</v>
      </c>
      <c r="L490" s="5">
        <f t="shared" si="15"/>
        <v>0.66119999999999379</v>
      </c>
      <c r="M490" s="10">
        <v>46070</v>
      </c>
      <c r="N490" s="5"/>
    </row>
    <row r="491" spans="1:14" ht="14.4" customHeight="1" x14ac:dyDescent="0.3">
      <c r="A491" s="2">
        <v>491</v>
      </c>
      <c r="B491" s="2">
        <v>1988796</v>
      </c>
      <c r="C491" s="2" t="s">
        <v>43</v>
      </c>
      <c r="D491" s="2">
        <v>86815328</v>
      </c>
      <c r="E491" s="2" t="s">
        <v>19</v>
      </c>
      <c r="F491" s="3">
        <v>46052</v>
      </c>
      <c r="G491" s="4">
        <v>24.94</v>
      </c>
      <c r="H491" s="4">
        <v>3.7410000000000001</v>
      </c>
      <c r="I491" s="4">
        <v>21.199000000000002</v>
      </c>
      <c r="J491" s="5">
        <f t="shared" si="14"/>
        <v>19.7026</v>
      </c>
      <c r="K491" s="5">
        <v>19.452000000000002</v>
      </c>
      <c r="L491" s="5">
        <f t="shared" si="15"/>
        <v>0.2505999999999986</v>
      </c>
      <c r="M491" s="10">
        <v>46070</v>
      </c>
      <c r="N491" s="5"/>
    </row>
    <row r="492" spans="1:14" ht="14.4" customHeight="1" x14ac:dyDescent="0.3">
      <c r="A492" s="2">
        <v>492</v>
      </c>
      <c r="B492" s="2">
        <v>2011609</v>
      </c>
      <c r="C492" s="2" t="s">
        <v>324</v>
      </c>
      <c r="D492" s="2">
        <v>88320801</v>
      </c>
      <c r="E492" s="2" t="s">
        <v>15</v>
      </c>
      <c r="F492" s="3">
        <v>46052</v>
      </c>
      <c r="G492" s="4">
        <v>34.67</v>
      </c>
      <c r="H492" s="4">
        <v>6.9340000000000002</v>
      </c>
      <c r="I492" s="4">
        <v>27.736000000000001</v>
      </c>
      <c r="J492" s="5">
        <f t="shared" si="14"/>
        <v>25.655799999999996</v>
      </c>
      <c r="K492" s="5">
        <v>25.308</v>
      </c>
      <c r="L492" s="5">
        <f t="shared" si="15"/>
        <v>0.34779999999999589</v>
      </c>
      <c r="M492" s="10">
        <v>46070</v>
      </c>
      <c r="N492" s="5"/>
    </row>
    <row r="493" spans="1:14" ht="14.4" customHeight="1" x14ac:dyDescent="0.3">
      <c r="A493" s="2">
        <v>493</v>
      </c>
      <c r="B493" s="2">
        <v>1988699</v>
      </c>
      <c r="C493" s="2" t="s">
        <v>78</v>
      </c>
      <c r="D493" s="2">
        <v>86812311</v>
      </c>
      <c r="E493" s="2" t="s">
        <v>15</v>
      </c>
      <c r="F493" s="3">
        <v>46053</v>
      </c>
      <c r="G493" s="4">
        <v>28.82</v>
      </c>
      <c r="H493" s="4">
        <v>4.3230000000000004</v>
      </c>
      <c r="I493" s="4">
        <v>24.497</v>
      </c>
      <c r="J493" s="5">
        <f t="shared" si="14"/>
        <v>22.767799999999998</v>
      </c>
      <c r="K493" s="5">
        <v>22.478999999999999</v>
      </c>
      <c r="L493" s="5">
        <f t="shared" si="15"/>
        <v>0.28879999999999839</v>
      </c>
      <c r="M493" s="10">
        <v>46070</v>
      </c>
      <c r="N493" s="5"/>
    </row>
    <row r="494" spans="1:14" ht="14.4" customHeight="1" x14ac:dyDescent="0.3">
      <c r="A494" s="2">
        <v>495</v>
      </c>
      <c r="B494" s="2">
        <v>2011648</v>
      </c>
      <c r="C494" s="2" t="s">
        <v>326</v>
      </c>
      <c r="D494" s="2">
        <v>88320854</v>
      </c>
      <c r="E494" s="2" t="s">
        <v>15</v>
      </c>
      <c r="F494" s="3">
        <v>46053</v>
      </c>
      <c r="G494" s="4">
        <v>44.81</v>
      </c>
      <c r="H494" s="4">
        <v>8.9619999999999997</v>
      </c>
      <c r="I494" s="4">
        <v>35.847999999999999</v>
      </c>
      <c r="J494" s="5">
        <f t="shared" si="14"/>
        <v>33.159400000000005</v>
      </c>
      <c r="K494" s="5">
        <v>32.712000000000003</v>
      </c>
      <c r="L494" s="5">
        <f t="shared" si="15"/>
        <v>0.4474000000000018</v>
      </c>
      <c r="M494" s="10">
        <v>46070</v>
      </c>
      <c r="N494" s="5"/>
    </row>
    <row r="495" spans="1:14" ht="14.4" customHeight="1" x14ac:dyDescent="0.3">
      <c r="A495" s="2">
        <v>494</v>
      </c>
      <c r="B495" s="2">
        <v>2011647</v>
      </c>
      <c r="C495" s="2" t="s">
        <v>325</v>
      </c>
      <c r="D495" s="2">
        <v>88320852</v>
      </c>
      <c r="E495" s="2" t="s">
        <v>19</v>
      </c>
      <c r="F495" s="3">
        <v>46053</v>
      </c>
      <c r="G495" s="4">
        <v>46.96</v>
      </c>
      <c r="H495" s="4">
        <v>9.3919999999999995</v>
      </c>
      <c r="I495" s="4">
        <v>37.567999999999998</v>
      </c>
      <c r="J495" s="5">
        <f t="shared" si="14"/>
        <v>34.750399999999999</v>
      </c>
      <c r="K495" s="5">
        <v>34.280999999999999</v>
      </c>
      <c r="L495" s="5">
        <f t="shared" si="15"/>
        <v>0.46940000000000026</v>
      </c>
      <c r="M495" s="10">
        <v>46070</v>
      </c>
      <c r="N495" s="5"/>
    </row>
    <row r="496" spans="1:14" ht="14.4" customHeight="1" x14ac:dyDescent="0.3">
      <c r="A496" s="2">
        <v>496</v>
      </c>
      <c r="B496" s="2">
        <v>2045902</v>
      </c>
      <c r="C496" s="2" t="s">
        <v>327</v>
      </c>
      <c r="D496" s="2">
        <v>86815362</v>
      </c>
      <c r="E496" s="2" t="s">
        <v>19</v>
      </c>
      <c r="F496" s="3">
        <v>46054</v>
      </c>
      <c r="G496" s="4">
        <v>30.99</v>
      </c>
      <c r="H496" s="4">
        <v>4.6479999999999997</v>
      </c>
      <c r="I496" s="4">
        <v>26.341999999999999</v>
      </c>
      <c r="J496" s="5">
        <f t="shared" si="14"/>
        <v>24.482599999999998</v>
      </c>
      <c r="K496" s="5">
        <v>24.172000000000001</v>
      </c>
      <c r="L496" s="5">
        <f t="shared" si="15"/>
        <v>0.31059999999999732</v>
      </c>
      <c r="M496" s="10">
        <v>46096</v>
      </c>
      <c r="N496" s="5"/>
    </row>
    <row r="497" spans="1:14" ht="14.4" customHeight="1" x14ac:dyDescent="0.3">
      <c r="A497" s="2">
        <v>497</v>
      </c>
      <c r="B497" s="2">
        <v>1988698</v>
      </c>
      <c r="C497" s="2" t="s">
        <v>328</v>
      </c>
      <c r="D497" s="2">
        <v>86811869</v>
      </c>
      <c r="E497" s="2" t="s">
        <v>15</v>
      </c>
      <c r="F497" s="3">
        <v>46056</v>
      </c>
      <c r="G497" s="4">
        <v>45.57</v>
      </c>
      <c r="H497" s="4">
        <v>6.835</v>
      </c>
      <c r="I497" s="4">
        <v>38.734999999999999</v>
      </c>
      <c r="J497" s="5">
        <f t="shared" si="14"/>
        <v>36.000799999999998</v>
      </c>
      <c r="K497" s="5">
        <v>35.536000000000001</v>
      </c>
      <c r="L497" s="5">
        <f t="shared" si="15"/>
        <v>0.46479999999999677</v>
      </c>
      <c r="M497" s="10">
        <v>46096</v>
      </c>
      <c r="N497" s="5"/>
    </row>
    <row r="498" spans="1:14" ht="14.4" customHeight="1" x14ac:dyDescent="0.3">
      <c r="A498" s="2">
        <v>498</v>
      </c>
      <c r="B498" s="2">
        <v>2016073</v>
      </c>
      <c r="C498" s="2" t="s">
        <v>330</v>
      </c>
      <c r="D498" s="2">
        <v>86815339</v>
      </c>
      <c r="E498" s="2" t="s">
        <v>19</v>
      </c>
      <c r="F498" s="3">
        <v>46058</v>
      </c>
      <c r="G498" s="4">
        <v>35.21</v>
      </c>
      <c r="H498" s="4">
        <v>5.2809999999999997</v>
      </c>
      <c r="I498" s="4">
        <v>29.928999999999998</v>
      </c>
      <c r="J498" s="5">
        <f t="shared" si="14"/>
        <v>27.816400000000002</v>
      </c>
      <c r="K498" s="5">
        <v>27.46</v>
      </c>
      <c r="L498" s="5">
        <f t="shared" si="15"/>
        <v>0.35640000000000072</v>
      </c>
      <c r="M498" s="10">
        <v>46096</v>
      </c>
      <c r="N498" s="5"/>
    </row>
    <row r="499" spans="1:14" ht="14.4" customHeight="1" x14ac:dyDescent="0.3">
      <c r="A499" s="2">
        <v>499</v>
      </c>
      <c r="B499" s="2">
        <v>1988585</v>
      </c>
      <c r="C499" s="2" t="s">
        <v>75</v>
      </c>
      <c r="D499" s="2">
        <v>86812442</v>
      </c>
      <c r="E499" s="2" t="s">
        <v>15</v>
      </c>
      <c r="F499" s="3">
        <v>46058</v>
      </c>
      <c r="G499" s="4">
        <v>36.299999999999997</v>
      </c>
      <c r="H499" s="4">
        <v>5.4450000000000003</v>
      </c>
      <c r="I499" s="4">
        <v>30.855</v>
      </c>
      <c r="J499" s="5">
        <f t="shared" si="14"/>
        <v>28.676999999999992</v>
      </c>
      <c r="K499" s="5">
        <v>28.312000000000001</v>
      </c>
      <c r="L499" s="5">
        <f t="shared" si="15"/>
        <v>0.36499999999999133</v>
      </c>
      <c r="M499" s="10">
        <v>46096</v>
      </c>
      <c r="N499" s="5"/>
    </row>
    <row r="500" spans="1:14" ht="14.4" customHeight="1" x14ac:dyDescent="0.3">
      <c r="A500" s="2">
        <v>500</v>
      </c>
      <c r="B500" s="2">
        <v>1988571</v>
      </c>
      <c r="C500" s="2" t="s">
        <v>329</v>
      </c>
      <c r="D500" s="2">
        <v>86811749</v>
      </c>
      <c r="E500" s="2" t="s">
        <v>15</v>
      </c>
      <c r="F500" s="3">
        <v>46058</v>
      </c>
      <c r="G500" s="4">
        <v>55.62</v>
      </c>
      <c r="H500" s="4">
        <v>8.343</v>
      </c>
      <c r="I500" s="4">
        <v>47.277000000000001</v>
      </c>
      <c r="J500" s="5">
        <f t="shared" si="14"/>
        <v>43.939799999999991</v>
      </c>
      <c r="K500" s="5">
        <v>42.655999999999999</v>
      </c>
      <c r="L500" s="5">
        <f t="shared" si="15"/>
        <v>1.2837999999999923</v>
      </c>
      <c r="M500" s="10">
        <v>46096</v>
      </c>
      <c r="N500" s="5"/>
    </row>
    <row r="501" spans="1:14" ht="14.4" customHeight="1" x14ac:dyDescent="0.3">
      <c r="A501" s="2">
        <v>501</v>
      </c>
      <c r="B501" s="2">
        <v>2034422</v>
      </c>
      <c r="C501" s="2" t="s">
        <v>331</v>
      </c>
      <c r="D501" s="2">
        <v>86853522</v>
      </c>
      <c r="E501" s="2" t="s">
        <v>15</v>
      </c>
      <c r="F501" s="3">
        <v>46061</v>
      </c>
      <c r="G501" s="4">
        <v>50.11</v>
      </c>
      <c r="H501" s="4">
        <v>7.516</v>
      </c>
      <c r="I501" s="4">
        <v>42.594000000000001</v>
      </c>
      <c r="J501" s="5">
        <f t="shared" si="14"/>
        <v>39.587399999999995</v>
      </c>
      <c r="K501" s="5">
        <v>39.082999999999998</v>
      </c>
      <c r="L501" s="5">
        <f t="shared" si="15"/>
        <v>0.50439999999999685</v>
      </c>
      <c r="M501" s="10">
        <v>46096</v>
      </c>
      <c r="N501" s="5"/>
    </row>
    <row r="502" spans="1:14" ht="14.4" customHeight="1" x14ac:dyDescent="0.3">
      <c r="A502" s="2">
        <v>502</v>
      </c>
      <c r="B502" s="2">
        <v>2011713</v>
      </c>
      <c r="C502" s="2" t="s">
        <v>275</v>
      </c>
      <c r="D502" s="2">
        <v>88321185</v>
      </c>
      <c r="E502" s="2" t="s">
        <v>15</v>
      </c>
      <c r="F502" s="3">
        <v>46063</v>
      </c>
      <c r="G502" s="4">
        <v>29.05</v>
      </c>
      <c r="H502" s="4">
        <v>5.81</v>
      </c>
      <c r="I502" s="4">
        <v>23.24</v>
      </c>
      <c r="J502" s="5">
        <f t="shared" si="14"/>
        <v>21.497</v>
      </c>
      <c r="K502" s="5">
        <v>21.207000000000001</v>
      </c>
      <c r="L502" s="5">
        <f t="shared" si="15"/>
        <v>0.28999999999999915</v>
      </c>
      <c r="M502" s="10">
        <v>46096</v>
      </c>
      <c r="N502" s="5"/>
    </row>
    <row r="503" spans="1:14" ht="14.4" customHeight="1" x14ac:dyDescent="0.3">
      <c r="A503" s="2">
        <v>503</v>
      </c>
      <c r="B503" s="2">
        <v>2011676</v>
      </c>
      <c r="C503" s="2" t="s">
        <v>221</v>
      </c>
      <c r="D503" s="2">
        <v>88321140</v>
      </c>
      <c r="E503" s="2" t="s">
        <v>15</v>
      </c>
      <c r="F503" s="3">
        <v>46063</v>
      </c>
      <c r="G503" s="4">
        <v>59.95</v>
      </c>
      <c r="H503" s="4">
        <v>11.99</v>
      </c>
      <c r="I503" s="4">
        <v>47.96</v>
      </c>
      <c r="J503" s="5">
        <f t="shared" si="14"/>
        <v>44.363</v>
      </c>
      <c r="K503" s="5">
        <v>43.762999999999998</v>
      </c>
      <c r="L503" s="5">
        <f t="shared" si="15"/>
        <v>0.60000000000000142</v>
      </c>
      <c r="M503" s="10">
        <v>46096</v>
      </c>
      <c r="N503" s="5"/>
    </row>
    <row r="504" spans="1:14" ht="14.4" customHeight="1" x14ac:dyDescent="0.3">
      <c r="A504" s="2">
        <v>506</v>
      </c>
      <c r="B504" s="2">
        <v>794218</v>
      </c>
      <c r="C504" s="2" t="s">
        <v>332</v>
      </c>
      <c r="D504" s="2">
        <v>88797447</v>
      </c>
      <c r="E504" s="2" t="s">
        <v>15</v>
      </c>
      <c r="F504" s="3">
        <v>46065</v>
      </c>
      <c r="G504" s="4">
        <v>47.4</v>
      </c>
      <c r="H504" s="4">
        <v>4.74</v>
      </c>
      <c r="I504" s="4">
        <v>42.66</v>
      </c>
      <c r="J504" s="5">
        <f t="shared" si="14"/>
        <v>39.815999999999995</v>
      </c>
      <c r="K504" s="5">
        <v>39.341999999999999</v>
      </c>
      <c r="L504" s="5">
        <f t="shared" si="15"/>
        <v>0.47399999999999665</v>
      </c>
      <c r="M504" s="10">
        <v>46096</v>
      </c>
      <c r="N504" s="5"/>
    </row>
    <row r="505" spans="1:14" ht="14.4" customHeight="1" x14ac:dyDescent="0.3">
      <c r="A505" s="2">
        <v>505</v>
      </c>
      <c r="B505" s="2">
        <v>1988681</v>
      </c>
      <c r="C505" s="2" t="s">
        <v>28</v>
      </c>
      <c r="D505" s="2">
        <v>86813793</v>
      </c>
      <c r="E505" s="2" t="s">
        <v>19</v>
      </c>
      <c r="F505" s="3">
        <v>46065</v>
      </c>
      <c r="G505" s="4">
        <v>49.25</v>
      </c>
      <c r="H505" s="4">
        <v>7.3869999999999996</v>
      </c>
      <c r="I505" s="4">
        <v>41.863</v>
      </c>
      <c r="J505" s="5">
        <f t="shared" si="14"/>
        <v>38.907999999999994</v>
      </c>
      <c r="K505" s="5">
        <v>38.405000000000001</v>
      </c>
      <c r="L505" s="5">
        <f t="shared" si="15"/>
        <v>0.50299999999999301</v>
      </c>
      <c r="M505" s="10">
        <v>46096</v>
      </c>
      <c r="N505" s="5"/>
    </row>
    <row r="506" spans="1:14" ht="14.4" customHeight="1" x14ac:dyDescent="0.3">
      <c r="A506" s="2">
        <v>504</v>
      </c>
      <c r="B506" s="2">
        <v>1988680</v>
      </c>
      <c r="C506" s="2" t="s">
        <v>29</v>
      </c>
      <c r="D506" s="2">
        <v>86811397</v>
      </c>
      <c r="E506" s="2" t="s">
        <v>19</v>
      </c>
      <c r="F506" s="3">
        <v>46065</v>
      </c>
      <c r="G506" s="4">
        <v>59</v>
      </c>
      <c r="H506" s="4">
        <v>8.85</v>
      </c>
      <c r="I506" s="4">
        <v>50.15</v>
      </c>
      <c r="J506" s="5">
        <f t="shared" si="14"/>
        <v>46.609999999999992</v>
      </c>
      <c r="K506" s="5">
        <v>46.018999999999998</v>
      </c>
      <c r="L506" s="5">
        <f t="shared" si="15"/>
        <v>0.59099999999999397</v>
      </c>
      <c r="M506" s="10">
        <v>46096</v>
      </c>
      <c r="N506" s="5"/>
    </row>
    <row r="507" spans="1:14" ht="14.4" customHeight="1" x14ac:dyDescent="0.3">
      <c r="A507" s="2">
        <v>507</v>
      </c>
      <c r="B507" s="2">
        <v>1988552</v>
      </c>
      <c r="C507" s="2" t="s">
        <v>140</v>
      </c>
      <c r="D507" s="2">
        <v>86811049</v>
      </c>
      <c r="E507" s="2" t="s">
        <v>19</v>
      </c>
      <c r="F507" s="3">
        <v>46065</v>
      </c>
      <c r="G507" s="4">
        <v>62.81</v>
      </c>
      <c r="H507" s="4">
        <v>9.4209999999999994</v>
      </c>
      <c r="I507" s="4">
        <v>53.389000000000003</v>
      </c>
      <c r="J507" s="5">
        <f t="shared" si="14"/>
        <v>49.620399999999997</v>
      </c>
      <c r="K507" s="5">
        <v>48.991999999999997</v>
      </c>
      <c r="L507" s="5">
        <f t="shared" si="15"/>
        <v>0.62839999999999918</v>
      </c>
      <c r="M507" s="10">
        <v>46096</v>
      </c>
      <c r="N507" s="5"/>
    </row>
    <row r="508" spans="1:14" ht="14.4" customHeight="1" x14ac:dyDescent="0.3">
      <c r="A508" s="2">
        <v>508</v>
      </c>
      <c r="B508" s="2">
        <v>1948511</v>
      </c>
      <c r="C508" s="2" t="s">
        <v>47</v>
      </c>
      <c r="D508" s="2">
        <v>88672412</v>
      </c>
      <c r="E508" s="2" t="s">
        <v>19</v>
      </c>
      <c r="F508" s="3">
        <v>46067</v>
      </c>
      <c r="G508" s="4">
        <v>59.57</v>
      </c>
      <c r="H508" s="4">
        <v>11.914</v>
      </c>
      <c r="I508" s="4">
        <v>47.655999999999999</v>
      </c>
      <c r="J508" s="5">
        <f t="shared" si="14"/>
        <v>44.081799999999994</v>
      </c>
      <c r="K508" s="5">
        <v>43.487000000000002</v>
      </c>
      <c r="L508" s="5">
        <f t="shared" si="15"/>
        <v>0.59479999999999222</v>
      </c>
      <c r="M508" s="10">
        <v>46096</v>
      </c>
      <c r="N508" s="5"/>
    </row>
    <row r="509" spans="1:14" ht="14.4" customHeight="1" x14ac:dyDescent="0.3">
      <c r="A509" s="2">
        <v>509</v>
      </c>
      <c r="B509" s="2">
        <v>2049553</v>
      </c>
      <c r="C509" s="2" t="s">
        <v>333</v>
      </c>
      <c r="D509" s="2">
        <v>98994183</v>
      </c>
      <c r="E509" s="2" t="s">
        <v>19</v>
      </c>
      <c r="F509" s="3">
        <v>46067</v>
      </c>
      <c r="G509" s="4">
        <v>43.22</v>
      </c>
      <c r="H509" s="4">
        <v>0</v>
      </c>
      <c r="I509" s="4">
        <v>43.22</v>
      </c>
      <c r="J509" s="5">
        <f t="shared" si="14"/>
        <v>40.626799999999996</v>
      </c>
      <c r="L509" s="5">
        <f t="shared" si="15"/>
        <v>40.626799999999996</v>
      </c>
      <c r="M509" s="5"/>
      <c r="N509" s="5"/>
    </row>
    <row r="510" spans="1:14" ht="14.4" customHeight="1" x14ac:dyDescent="0.3">
      <c r="A510" s="2">
        <v>512</v>
      </c>
      <c r="B510" s="2">
        <v>1988666</v>
      </c>
      <c r="C510" s="2" t="s">
        <v>335</v>
      </c>
      <c r="D510" s="2">
        <v>86812259</v>
      </c>
      <c r="E510" s="2" t="s">
        <v>15</v>
      </c>
      <c r="F510" s="3">
        <v>46068</v>
      </c>
      <c r="G510" s="4">
        <v>20.04</v>
      </c>
      <c r="H510" s="4">
        <v>3.0059999999999998</v>
      </c>
      <c r="I510" s="4">
        <v>17.033999999999999</v>
      </c>
      <c r="J510" s="5">
        <f t="shared" si="14"/>
        <v>15.831599999999998</v>
      </c>
      <c r="K510" s="5">
        <v>15.63</v>
      </c>
      <c r="L510" s="5">
        <f t="shared" si="15"/>
        <v>0.20159999999999734</v>
      </c>
      <c r="M510" s="10">
        <v>46096</v>
      </c>
      <c r="N510" s="5"/>
    </row>
    <row r="511" spans="1:14" ht="14.4" customHeight="1" x14ac:dyDescent="0.3">
      <c r="A511" s="2">
        <v>510</v>
      </c>
      <c r="B511" s="2">
        <v>2011606</v>
      </c>
      <c r="C511" s="2" t="s">
        <v>334</v>
      </c>
      <c r="D511" s="2">
        <v>88320795</v>
      </c>
      <c r="E511" s="2" t="s">
        <v>19</v>
      </c>
      <c r="F511" s="3">
        <v>46068</v>
      </c>
      <c r="G511" s="4">
        <v>46.95</v>
      </c>
      <c r="H511" s="4">
        <v>9.39</v>
      </c>
      <c r="I511" s="4">
        <v>37.56</v>
      </c>
      <c r="J511" s="5">
        <f t="shared" si="14"/>
        <v>34.743000000000002</v>
      </c>
      <c r="K511" s="5">
        <v>34.274000000000001</v>
      </c>
      <c r="L511" s="5">
        <f t="shared" si="15"/>
        <v>0.46900000000000119</v>
      </c>
      <c r="M511" s="10">
        <v>46096</v>
      </c>
      <c r="N511" s="5"/>
    </row>
    <row r="512" spans="1:14" ht="14.4" customHeight="1" x14ac:dyDescent="0.3">
      <c r="A512" s="2">
        <v>511</v>
      </c>
      <c r="B512" s="2">
        <v>1988664</v>
      </c>
      <c r="C512" s="2" t="s">
        <v>265</v>
      </c>
      <c r="D512" s="2">
        <v>86811093</v>
      </c>
      <c r="E512" s="2" t="s">
        <v>19</v>
      </c>
      <c r="F512" s="3">
        <v>46068</v>
      </c>
      <c r="G512" s="4">
        <v>59.57</v>
      </c>
      <c r="H512" s="4">
        <v>8.9350000000000005</v>
      </c>
      <c r="I512" s="4">
        <v>50.634999999999998</v>
      </c>
      <c r="J512" s="5">
        <f t="shared" si="14"/>
        <v>47.060799999999993</v>
      </c>
      <c r="K512" s="5">
        <v>46.463999999999999</v>
      </c>
      <c r="L512" s="5">
        <f t="shared" si="15"/>
        <v>0.59679999999999467</v>
      </c>
      <c r="M512" s="10">
        <v>46096</v>
      </c>
      <c r="N512" s="5"/>
    </row>
    <row r="513" spans="1:14" ht="14.4" customHeight="1" x14ac:dyDescent="0.3">
      <c r="A513" s="2">
        <v>514</v>
      </c>
      <c r="B513" s="2">
        <v>1988644</v>
      </c>
      <c r="C513" s="2" t="s">
        <v>110</v>
      </c>
      <c r="D513" s="2">
        <v>86811389</v>
      </c>
      <c r="E513" s="2" t="s">
        <v>19</v>
      </c>
      <c r="F513" s="3">
        <v>46070</v>
      </c>
      <c r="G513" s="4">
        <v>46.95</v>
      </c>
      <c r="H513" s="4">
        <v>7.0419999999999998</v>
      </c>
      <c r="I513" s="4">
        <v>39.908000000000001</v>
      </c>
      <c r="J513" s="5">
        <f t="shared" si="14"/>
        <v>37.091000000000001</v>
      </c>
      <c r="K513" s="5">
        <v>36.619999999999997</v>
      </c>
      <c r="L513" s="5">
        <f t="shared" si="15"/>
        <v>0.47100000000000364</v>
      </c>
      <c r="M513" s="10">
        <v>46096</v>
      </c>
      <c r="N513" s="5"/>
    </row>
    <row r="514" spans="1:14" ht="14.4" customHeight="1" x14ac:dyDescent="0.3">
      <c r="A514" s="2">
        <v>513</v>
      </c>
      <c r="B514" s="2">
        <v>2011668</v>
      </c>
      <c r="C514" s="2" t="s">
        <v>287</v>
      </c>
      <c r="D514" s="2">
        <v>88321123</v>
      </c>
      <c r="E514" s="2" t="s">
        <v>19</v>
      </c>
      <c r="F514" s="3">
        <v>46070</v>
      </c>
      <c r="G514" s="4">
        <v>89.82</v>
      </c>
      <c r="H514" s="4">
        <v>17.963999999999999</v>
      </c>
      <c r="I514" s="4">
        <v>71.855999999999995</v>
      </c>
      <c r="J514" s="5">
        <f t="shared" ref="J514:J577" si="16">G514*0.94-H514</f>
        <v>66.466799999999992</v>
      </c>
      <c r="K514" s="5">
        <v>65.569000000000003</v>
      </c>
      <c r="L514" s="5">
        <f t="shared" ref="L514:L577" si="17">J514-K514</f>
        <v>0.8977999999999895</v>
      </c>
      <c r="M514" s="10">
        <v>46096</v>
      </c>
      <c r="N514" s="5"/>
    </row>
    <row r="515" spans="1:14" ht="14.4" customHeight="1" x14ac:dyDescent="0.3">
      <c r="A515" s="2">
        <v>515</v>
      </c>
      <c r="B515" s="2">
        <v>1988586</v>
      </c>
      <c r="C515" s="2" t="s">
        <v>74</v>
      </c>
      <c r="D515" s="2">
        <v>86812447</v>
      </c>
      <c r="E515" s="2" t="s">
        <v>15</v>
      </c>
      <c r="F515" s="3">
        <v>46071</v>
      </c>
      <c r="G515" s="4">
        <v>37.18</v>
      </c>
      <c r="H515" s="4">
        <v>5.577</v>
      </c>
      <c r="I515" s="4">
        <v>31.603000000000002</v>
      </c>
      <c r="J515" s="5">
        <f t="shared" si="16"/>
        <v>29.372199999999999</v>
      </c>
      <c r="K515" s="5">
        <v>29</v>
      </c>
      <c r="L515" s="5">
        <f t="shared" si="17"/>
        <v>0.37219999999999942</v>
      </c>
      <c r="M515" s="10">
        <v>46096</v>
      </c>
      <c r="N515" s="5"/>
    </row>
    <row r="516" spans="1:14" ht="14.4" customHeight="1" x14ac:dyDescent="0.3">
      <c r="A516" s="2">
        <v>517</v>
      </c>
      <c r="B516" s="2">
        <v>2033729</v>
      </c>
      <c r="C516" s="2" t="s">
        <v>310</v>
      </c>
      <c r="D516" s="2">
        <v>86813586</v>
      </c>
      <c r="E516" s="2" t="s">
        <v>15</v>
      </c>
      <c r="F516" s="3">
        <v>46071</v>
      </c>
      <c r="G516" s="4">
        <v>69.81</v>
      </c>
      <c r="H516" s="4">
        <v>10.471</v>
      </c>
      <c r="I516" s="4">
        <v>59.338999999999999</v>
      </c>
      <c r="J516" s="5">
        <f t="shared" si="16"/>
        <v>55.150399999999991</v>
      </c>
      <c r="K516" s="5">
        <v>54.45</v>
      </c>
      <c r="L516" s="5">
        <f t="shared" si="17"/>
        <v>0.7003999999999877</v>
      </c>
      <c r="M516" s="10">
        <v>46096</v>
      </c>
      <c r="N516" s="5"/>
    </row>
    <row r="517" spans="1:14" ht="14.4" customHeight="1" x14ac:dyDescent="0.3">
      <c r="A517" s="2">
        <v>516</v>
      </c>
      <c r="B517" s="2">
        <v>1970946</v>
      </c>
      <c r="C517" s="2" t="s">
        <v>132</v>
      </c>
      <c r="D517" s="2">
        <v>89506359</v>
      </c>
      <c r="E517" s="2" t="s">
        <v>19</v>
      </c>
      <c r="F517" s="3">
        <v>46071</v>
      </c>
      <c r="G517" s="4">
        <v>35.380000000000003</v>
      </c>
      <c r="H517" s="4">
        <v>3.5379999999999998</v>
      </c>
      <c r="I517" s="4">
        <v>31.841999999999999</v>
      </c>
      <c r="J517" s="5">
        <f t="shared" si="16"/>
        <v>29.719199999999997</v>
      </c>
      <c r="K517" s="5">
        <v>26.89</v>
      </c>
      <c r="L517" s="5">
        <f t="shared" si="17"/>
        <v>2.8291999999999966</v>
      </c>
      <c r="M517" s="10">
        <v>46096</v>
      </c>
      <c r="N517" s="5"/>
    </row>
    <row r="518" spans="1:14" ht="14.4" customHeight="1" x14ac:dyDescent="0.3">
      <c r="A518" s="2">
        <v>518</v>
      </c>
      <c r="B518" s="2">
        <v>1988563</v>
      </c>
      <c r="C518" s="2" t="s">
        <v>337</v>
      </c>
      <c r="D518" s="2">
        <v>86812284</v>
      </c>
      <c r="E518" s="2" t="s">
        <v>15</v>
      </c>
      <c r="F518" s="3">
        <v>46072</v>
      </c>
      <c r="G518" s="4">
        <v>27.83</v>
      </c>
      <c r="H518" s="4">
        <v>4.1740000000000004</v>
      </c>
      <c r="I518" s="4">
        <v>23.655999999999999</v>
      </c>
      <c r="J518" s="5">
        <f t="shared" si="16"/>
        <v>21.986199999999997</v>
      </c>
      <c r="K518" s="5">
        <v>21.707000000000001</v>
      </c>
      <c r="L518" s="5">
        <f t="shared" si="17"/>
        <v>0.2791999999999959</v>
      </c>
      <c r="M518" s="10">
        <v>46096</v>
      </c>
      <c r="N518" s="5"/>
    </row>
    <row r="519" spans="1:14" ht="14.4" customHeight="1" x14ac:dyDescent="0.3">
      <c r="A519" s="2">
        <v>519</v>
      </c>
      <c r="B519" s="2">
        <v>1988560</v>
      </c>
      <c r="C519" s="2" t="s">
        <v>336</v>
      </c>
      <c r="D519" s="2">
        <v>86812410</v>
      </c>
      <c r="E519" s="2" t="s">
        <v>15</v>
      </c>
      <c r="F519" s="3">
        <v>46072</v>
      </c>
      <c r="G519" s="4">
        <v>55.24</v>
      </c>
      <c r="H519" s="4">
        <v>8.2859999999999996</v>
      </c>
      <c r="I519" s="4">
        <v>46.954000000000001</v>
      </c>
      <c r="J519" s="5">
        <f t="shared" si="16"/>
        <v>43.639599999999994</v>
      </c>
      <c r="K519" s="5">
        <v>43.087000000000003</v>
      </c>
      <c r="L519" s="5">
        <f t="shared" si="17"/>
        <v>0.5525999999999911</v>
      </c>
      <c r="M519" s="10">
        <v>46096</v>
      </c>
      <c r="N519" s="5"/>
    </row>
    <row r="520" spans="1:14" ht="14.4" customHeight="1" x14ac:dyDescent="0.3">
      <c r="A520" s="2">
        <v>521</v>
      </c>
      <c r="B520" s="2">
        <v>2011645</v>
      </c>
      <c r="C520" s="2" t="s">
        <v>285</v>
      </c>
      <c r="D520" s="2">
        <v>88321701</v>
      </c>
      <c r="E520" s="2" t="s">
        <v>15</v>
      </c>
      <c r="F520" s="3">
        <v>46074</v>
      </c>
      <c r="G520" s="4">
        <v>30.7</v>
      </c>
      <c r="H520" s="4">
        <v>6.14</v>
      </c>
      <c r="I520" s="4">
        <v>24.56</v>
      </c>
      <c r="J520" s="5">
        <f t="shared" si="16"/>
        <v>22.717999999999996</v>
      </c>
      <c r="K520" s="5">
        <v>22.41</v>
      </c>
      <c r="L520" s="5">
        <f t="shared" si="17"/>
        <v>0.30799999999999628</v>
      </c>
      <c r="M520" s="10">
        <v>46096</v>
      </c>
      <c r="N520" s="5"/>
    </row>
    <row r="521" spans="1:14" ht="14.4" customHeight="1" x14ac:dyDescent="0.3">
      <c r="A521" s="2">
        <v>522</v>
      </c>
      <c r="B521" s="2">
        <v>2011644</v>
      </c>
      <c r="C521" s="2" t="s">
        <v>281</v>
      </c>
      <c r="D521" s="2">
        <v>88321704</v>
      </c>
      <c r="E521" s="2" t="s">
        <v>15</v>
      </c>
      <c r="F521" s="3">
        <v>46074</v>
      </c>
      <c r="G521" s="4">
        <v>31.08</v>
      </c>
      <c r="H521" s="4">
        <v>6.2160000000000002</v>
      </c>
      <c r="I521" s="4">
        <v>24.864000000000001</v>
      </c>
      <c r="J521" s="5">
        <f t="shared" si="16"/>
        <v>22.999199999999995</v>
      </c>
      <c r="K521" s="5">
        <v>22.687000000000001</v>
      </c>
      <c r="L521" s="5">
        <f t="shared" si="17"/>
        <v>0.31219999999999359</v>
      </c>
      <c r="M521" s="10">
        <v>46096</v>
      </c>
      <c r="N521" s="5"/>
    </row>
    <row r="522" spans="1:14" ht="14.4" customHeight="1" x14ac:dyDescent="0.3">
      <c r="A522" s="2">
        <v>524</v>
      </c>
      <c r="B522" s="2">
        <v>2011643</v>
      </c>
      <c r="C522" s="2" t="s">
        <v>278</v>
      </c>
      <c r="D522" s="2">
        <v>88321698</v>
      </c>
      <c r="E522" s="2" t="s">
        <v>15</v>
      </c>
      <c r="F522" s="3">
        <v>46074</v>
      </c>
      <c r="G522" s="4">
        <v>41.02</v>
      </c>
      <c r="H522" s="4">
        <v>8.2040000000000006</v>
      </c>
      <c r="I522" s="4">
        <v>32.816000000000003</v>
      </c>
      <c r="J522" s="5">
        <f t="shared" si="16"/>
        <v>30.354799999999997</v>
      </c>
      <c r="K522" s="5">
        <v>29.943999999999999</v>
      </c>
      <c r="L522" s="5">
        <f t="shared" si="17"/>
        <v>0.41079999999999828</v>
      </c>
      <c r="M522" s="10">
        <v>46096</v>
      </c>
      <c r="N522" s="5"/>
    </row>
    <row r="523" spans="1:14" ht="14.4" customHeight="1" x14ac:dyDescent="0.3">
      <c r="A523" s="2">
        <v>523</v>
      </c>
      <c r="B523" s="2">
        <v>2011642</v>
      </c>
      <c r="C523" s="2" t="s">
        <v>279</v>
      </c>
      <c r="D523" s="2">
        <v>88322025</v>
      </c>
      <c r="E523" s="2" t="s">
        <v>19</v>
      </c>
      <c r="F523" s="3">
        <v>46074</v>
      </c>
      <c r="G523" s="4">
        <v>46.1</v>
      </c>
      <c r="H523" s="4">
        <v>9.2200000000000006</v>
      </c>
      <c r="I523" s="4">
        <v>36.880000000000003</v>
      </c>
      <c r="J523" s="5">
        <f t="shared" si="16"/>
        <v>34.113999999999997</v>
      </c>
      <c r="K523" s="5">
        <v>33.652000000000001</v>
      </c>
      <c r="L523" s="5">
        <f t="shared" si="17"/>
        <v>0.46199999999999619</v>
      </c>
      <c r="M523" s="10">
        <v>46096</v>
      </c>
      <c r="N523" s="5"/>
    </row>
    <row r="524" spans="1:14" ht="14.4" customHeight="1" x14ac:dyDescent="0.3">
      <c r="A524" s="2">
        <v>520</v>
      </c>
      <c r="B524" s="2">
        <v>2011646</v>
      </c>
      <c r="C524" s="2" t="s">
        <v>280</v>
      </c>
      <c r="D524" s="2">
        <v>88322023</v>
      </c>
      <c r="E524" s="2" t="s">
        <v>15</v>
      </c>
      <c r="F524" s="3">
        <v>46074</v>
      </c>
      <c r="G524" s="4">
        <v>60.73</v>
      </c>
      <c r="H524" s="4">
        <v>12.146000000000001</v>
      </c>
      <c r="I524" s="4">
        <v>48.584000000000003</v>
      </c>
      <c r="J524" s="5">
        <f t="shared" si="16"/>
        <v>44.94019999999999</v>
      </c>
      <c r="K524" s="5">
        <v>44.332000000000001</v>
      </c>
      <c r="L524" s="5">
        <f t="shared" si="17"/>
        <v>0.60819999999998942</v>
      </c>
      <c r="M524" s="10">
        <v>46096</v>
      </c>
      <c r="N524" s="5"/>
    </row>
    <row r="525" spans="1:14" ht="14.4" customHeight="1" x14ac:dyDescent="0.3">
      <c r="A525" s="2">
        <v>526</v>
      </c>
      <c r="B525" s="2">
        <v>2003009</v>
      </c>
      <c r="C525" s="2" t="s">
        <v>97</v>
      </c>
      <c r="D525" s="2">
        <v>87435905</v>
      </c>
      <c r="E525" s="2" t="s">
        <v>19</v>
      </c>
      <c r="F525" s="3">
        <v>46076</v>
      </c>
      <c r="G525" s="4">
        <v>35.29</v>
      </c>
      <c r="H525" s="4">
        <v>0</v>
      </c>
      <c r="I525" s="4">
        <v>35.29</v>
      </c>
      <c r="J525" s="5">
        <f t="shared" si="16"/>
        <v>33.172599999999996</v>
      </c>
      <c r="K525" s="5">
        <v>32.029000000000003</v>
      </c>
      <c r="L525" s="5">
        <f t="shared" si="17"/>
        <v>1.1435999999999922</v>
      </c>
      <c r="M525" s="10">
        <v>46096</v>
      </c>
      <c r="N525" s="5"/>
    </row>
    <row r="526" spans="1:14" ht="14.4" customHeight="1" x14ac:dyDescent="0.3">
      <c r="A526" s="2">
        <v>525</v>
      </c>
      <c r="B526" s="2">
        <v>1862235</v>
      </c>
      <c r="C526" s="2" t="s">
        <v>292</v>
      </c>
      <c r="D526" s="2">
        <v>87313242</v>
      </c>
      <c r="E526" s="2" t="s">
        <v>15</v>
      </c>
      <c r="F526" s="3">
        <v>46076</v>
      </c>
      <c r="G526" s="4">
        <v>30.95</v>
      </c>
      <c r="H526" s="4">
        <v>0</v>
      </c>
      <c r="I526" s="4">
        <v>30.95</v>
      </c>
      <c r="J526" s="5">
        <f t="shared" si="16"/>
        <v>29.092999999999996</v>
      </c>
      <c r="L526" s="5">
        <f t="shared" si="17"/>
        <v>29.092999999999996</v>
      </c>
      <c r="M526" s="5"/>
      <c r="N526" s="5"/>
    </row>
    <row r="527" spans="1:14" ht="14.4" customHeight="1" x14ac:dyDescent="0.3">
      <c r="A527" s="2">
        <v>528</v>
      </c>
      <c r="B527" s="2">
        <v>2011614</v>
      </c>
      <c r="C527" s="2" t="s">
        <v>264</v>
      </c>
      <c r="D527" s="2">
        <v>88321039</v>
      </c>
      <c r="E527" s="2" t="s">
        <v>15</v>
      </c>
      <c r="F527" s="3">
        <v>46077</v>
      </c>
      <c r="G527" s="4">
        <v>6.16</v>
      </c>
      <c r="H527" s="4">
        <v>1.232</v>
      </c>
      <c r="I527" s="4">
        <v>4.9279999999999999</v>
      </c>
      <c r="J527" s="5">
        <f t="shared" si="16"/>
        <v>4.5583999999999998</v>
      </c>
      <c r="K527" s="5">
        <v>4.4969999999999999</v>
      </c>
      <c r="L527" s="5">
        <f t="shared" si="17"/>
        <v>6.1399999999999899E-2</v>
      </c>
      <c r="M527" s="10">
        <v>46096</v>
      </c>
      <c r="N527" s="5"/>
    </row>
    <row r="528" spans="1:14" ht="14.4" customHeight="1" x14ac:dyDescent="0.3">
      <c r="A528" s="2">
        <v>527</v>
      </c>
      <c r="B528" s="2">
        <v>2033735</v>
      </c>
      <c r="C528" s="2" t="s">
        <v>338</v>
      </c>
      <c r="D528" s="2">
        <v>86853518</v>
      </c>
      <c r="E528" s="2" t="s">
        <v>15</v>
      </c>
      <c r="F528" s="3">
        <v>46077</v>
      </c>
      <c r="G528" s="4">
        <v>23.99</v>
      </c>
      <c r="H528" s="4">
        <v>3.5979999999999999</v>
      </c>
      <c r="I528" s="4">
        <v>20.391999999999999</v>
      </c>
      <c r="J528" s="5">
        <f t="shared" si="16"/>
        <v>18.952599999999997</v>
      </c>
      <c r="K528" s="5">
        <v>18.710999999999999</v>
      </c>
      <c r="L528" s="5">
        <f t="shared" si="17"/>
        <v>0.24159999999999826</v>
      </c>
      <c r="M528" s="10">
        <v>46096</v>
      </c>
      <c r="N528" s="5"/>
    </row>
    <row r="529" spans="1:14" ht="14.4" customHeight="1" x14ac:dyDescent="0.3">
      <c r="A529" s="2">
        <v>532</v>
      </c>
      <c r="B529" s="2">
        <v>1988564</v>
      </c>
      <c r="C529" s="2" t="s">
        <v>191</v>
      </c>
      <c r="D529" s="2">
        <v>86812415</v>
      </c>
      <c r="E529" s="2" t="s">
        <v>15</v>
      </c>
      <c r="F529" s="3">
        <v>46079</v>
      </c>
      <c r="G529" s="4">
        <v>33.82</v>
      </c>
      <c r="H529" s="4">
        <v>5.0730000000000004</v>
      </c>
      <c r="I529" s="4">
        <v>28.747</v>
      </c>
      <c r="J529" s="5">
        <f t="shared" si="16"/>
        <v>26.717799999999997</v>
      </c>
      <c r="K529" s="5">
        <v>26.379000000000001</v>
      </c>
      <c r="L529" s="5">
        <f t="shared" si="17"/>
        <v>0.33879999999999555</v>
      </c>
      <c r="M529" s="10">
        <v>46096</v>
      </c>
      <c r="N529" s="5"/>
    </row>
    <row r="530" spans="1:14" ht="14.4" customHeight="1" x14ac:dyDescent="0.3">
      <c r="A530" s="2">
        <v>533</v>
      </c>
      <c r="B530" s="2">
        <v>1988561</v>
      </c>
      <c r="C530" s="2" t="s">
        <v>339</v>
      </c>
      <c r="D530" s="2">
        <v>86812406</v>
      </c>
      <c r="E530" s="2" t="s">
        <v>15</v>
      </c>
      <c r="F530" s="3">
        <v>46079</v>
      </c>
      <c r="G530" s="4">
        <v>38.35</v>
      </c>
      <c r="H530" s="4">
        <v>5.7519999999999998</v>
      </c>
      <c r="I530" s="4">
        <v>32.597999999999999</v>
      </c>
      <c r="J530" s="5">
        <f t="shared" si="16"/>
        <v>30.297000000000001</v>
      </c>
      <c r="K530" s="5">
        <v>29.914000000000001</v>
      </c>
      <c r="L530" s="5">
        <f t="shared" si="17"/>
        <v>0.38299999999999912</v>
      </c>
      <c r="M530" s="10">
        <v>46096</v>
      </c>
      <c r="N530" s="5"/>
    </row>
    <row r="531" spans="1:14" ht="14.4" customHeight="1" x14ac:dyDescent="0.3">
      <c r="A531" s="2">
        <v>534</v>
      </c>
      <c r="B531" s="2">
        <v>1904564</v>
      </c>
      <c r="C531" s="2" t="s">
        <v>71</v>
      </c>
      <c r="D531" s="2">
        <v>89682889</v>
      </c>
      <c r="E531" s="2" t="s">
        <v>15</v>
      </c>
      <c r="F531" s="3">
        <v>46079</v>
      </c>
      <c r="G531" s="4">
        <v>44.3</v>
      </c>
      <c r="H531" s="4">
        <v>8.86</v>
      </c>
      <c r="I531" s="4">
        <v>35.44</v>
      </c>
      <c r="J531" s="5">
        <f t="shared" si="16"/>
        <v>32.781999999999996</v>
      </c>
      <c r="K531" s="5">
        <v>32.338000000000001</v>
      </c>
      <c r="L531" s="5">
        <f t="shared" si="17"/>
        <v>0.44399999999999551</v>
      </c>
      <c r="M531" s="10">
        <v>46096</v>
      </c>
      <c r="N531" s="5"/>
    </row>
    <row r="532" spans="1:14" ht="14.4" customHeight="1" x14ac:dyDescent="0.3">
      <c r="A532" s="2">
        <v>531</v>
      </c>
      <c r="B532" s="2">
        <v>2011682</v>
      </c>
      <c r="C532" s="2" t="s">
        <v>163</v>
      </c>
      <c r="D532" s="2">
        <v>88321148</v>
      </c>
      <c r="E532" s="2" t="s">
        <v>19</v>
      </c>
      <c r="F532" s="3">
        <v>46079</v>
      </c>
      <c r="G532" s="4">
        <v>52.73</v>
      </c>
      <c r="H532" s="4">
        <v>10.545999999999999</v>
      </c>
      <c r="I532" s="4">
        <v>42.183999999999997</v>
      </c>
      <c r="J532" s="5">
        <f t="shared" si="16"/>
        <v>39.020199999999996</v>
      </c>
      <c r="K532" s="5">
        <v>38.491999999999997</v>
      </c>
      <c r="L532" s="5">
        <f t="shared" si="17"/>
        <v>0.52819999999999823</v>
      </c>
      <c r="M532" s="10">
        <v>46096</v>
      </c>
      <c r="N532" s="5"/>
    </row>
    <row r="533" spans="1:14" ht="14.4" customHeight="1" x14ac:dyDescent="0.3">
      <c r="A533" s="2">
        <v>530</v>
      </c>
      <c r="B533" s="2">
        <v>1988621</v>
      </c>
      <c r="C533" s="2" t="s">
        <v>69</v>
      </c>
      <c r="D533" s="2">
        <v>86811297</v>
      </c>
      <c r="E533" s="2" t="s">
        <v>19</v>
      </c>
      <c r="F533" s="3">
        <v>46079</v>
      </c>
      <c r="G533" s="4">
        <v>53.89</v>
      </c>
      <c r="H533" s="4">
        <v>8.0830000000000002</v>
      </c>
      <c r="I533" s="4">
        <v>45.807000000000002</v>
      </c>
      <c r="J533" s="5">
        <f t="shared" si="16"/>
        <v>42.573599999999999</v>
      </c>
      <c r="K533" s="5">
        <v>42.033000000000001</v>
      </c>
      <c r="L533" s="5">
        <f t="shared" si="17"/>
        <v>0.54059999999999775</v>
      </c>
      <c r="M533" s="10">
        <v>46096</v>
      </c>
      <c r="N533" s="5"/>
    </row>
    <row r="534" spans="1:14" ht="14.4" customHeight="1" x14ac:dyDescent="0.3">
      <c r="A534" s="2">
        <v>529</v>
      </c>
      <c r="B534" s="2">
        <v>1988622</v>
      </c>
      <c r="C534" s="2" t="s">
        <v>70</v>
      </c>
      <c r="D534" s="2">
        <v>86812936</v>
      </c>
      <c r="E534" s="2" t="s">
        <v>15</v>
      </c>
      <c r="F534" s="3">
        <v>46079</v>
      </c>
      <c r="G534" s="4">
        <v>61</v>
      </c>
      <c r="H534" s="4">
        <v>9.15</v>
      </c>
      <c r="I534" s="4">
        <v>51.85</v>
      </c>
      <c r="J534" s="5">
        <f t="shared" si="16"/>
        <v>48.19</v>
      </c>
      <c r="K534" s="5">
        <v>47.579000000000001</v>
      </c>
      <c r="L534" s="5">
        <f t="shared" si="17"/>
        <v>0.6109999999999971</v>
      </c>
      <c r="M534" s="10">
        <v>46096</v>
      </c>
      <c r="N534" s="5"/>
    </row>
    <row r="535" spans="1:14" ht="14.4" customHeight="1" x14ac:dyDescent="0.3">
      <c r="A535" s="2">
        <v>536</v>
      </c>
      <c r="B535" s="2">
        <v>1833947</v>
      </c>
      <c r="C535" s="2" t="s">
        <v>59</v>
      </c>
      <c r="D535" s="2">
        <v>89682861</v>
      </c>
      <c r="E535" s="2" t="s">
        <v>19</v>
      </c>
      <c r="F535" s="3">
        <v>46079</v>
      </c>
      <c r="G535" s="4">
        <v>65.03</v>
      </c>
      <c r="H535" s="4">
        <v>13.006</v>
      </c>
      <c r="I535" s="4">
        <v>52.024000000000001</v>
      </c>
      <c r="J535" s="5">
        <f t="shared" si="16"/>
        <v>48.122199999999999</v>
      </c>
      <c r="K535" s="5">
        <v>47.470999999999997</v>
      </c>
      <c r="L535" s="5">
        <f t="shared" si="17"/>
        <v>0.65120000000000289</v>
      </c>
      <c r="M535" s="10">
        <v>46096</v>
      </c>
      <c r="N535" s="5"/>
    </row>
    <row r="536" spans="1:14" ht="14.4" customHeight="1" x14ac:dyDescent="0.3">
      <c r="A536" s="2">
        <v>535</v>
      </c>
      <c r="B536" s="2">
        <v>1833948</v>
      </c>
      <c r="C536" s="2" t="s">
        <v>102</v>
      </c>
      <c r="D536" s="2">
        <v>89682875</v>
      </c>
      <c r="E536" s="2" t="s">
        <v>15</v>
      </c>
      <c r="F536" s="3">
        <v>46079</v>
      </c>
      <c r="G536" s="4">
        <v>85.11</v>
      </c>
      <c r="H536" s="4">
        <v>17.021999999999998</v>
      </c>
      <c r="I536" s="4">
        <v>68.087999999999994</v>
      </c>
      <c r="J536" s="5">
        <f t="shared" si="16"/>
        <v>62.981400000000001</v>
      </c>
      <c r="K536" s="5">
        <v>62.131</v>
      </c>
      <c r="L536" s="5">
        <f t="shared" si="17"/>
        <v>0.85040000000000049</v>
      </c>
      <c r="M536" s="10">
        <v>46096</v>
      </c>
      <c r="N536" s="5"/>
    </row>
    <row r="537" spans="1:14" ht="14.4" customHeight="1" x14ac:dyDescent="0.3">
      <c r="A537" s="2">
        <v>537</v>
      </c>
      <c r="B537" s="2">
        <v>2011677</v>
      </c>
      <c r="C537" s="2" t="s">
        <v>318</v>
      </c>
      <c r="D537" s="2">
        <v>888321142</v>
      </c>
      <c r="E537" s="2" t="s">
        <v>19</v>
      </c>
      <c r="F537" s="3">
        <v>46083</v>
      </c>
      <c r="G537" s="4">
        <v>54.08</v>
      </c>
      <c r="H537" s="4">
        <v>10.816000000000001</v>
      </c>
      <c r="I537" s="4">
        <v>43.264000000000003</v>
      </c>
      <c r="J537" s="5">
        <f t="shared" si="16"/>
        <v>40.019199999999991</v>
      </c>
      <c r="K537" s="5">
        <v>39.478999999999999</v>
      </c>
      <c r="L537" s="5">
        <f t="shared" si="17"/>
        <v>0.54019999999999158</v>
      </c>
      <c r="M537" s="10">
        <v>46119</v>
      </c>
      <c r="N537" s="5"/>
    </row>
    <row r="538" spans="1:14" ht="14.4" customHeight="1" x14ac:dyDescent="0.3">
      <c r="A538" s="2">
        <v>540</v>
      </c>
      <c r="B538" s="2">
        <v>1939766</v>
      </c>
      <c r="C538" s="2" t="s">
        <v>129</v>
      </c>
      <c r="D538" s="2">
        <v>88463589</v>
      </c>
      <c r="E538" s="2" t="s">
        <v>19</v>
      </c>
      <c r="F538" s="3">
        <v>46089</v>
      </c>
      <c r="G538" s="4">
        <v>4.7699999999999996</v>
      </c>
      <c r="H538" s="4">
        <v>1.431</v>
      </c>
      <c r="I538" s="4">
        <v>3.339</v>
      </c>
      <c r="J538" s="5">
        <f t="shared" si="16"/>
        <v>3.0527999999999995</v>
      </c>
      <c r="K538" s="5">
        <v>3.0049999999999999</v>
      </c>
      <c r="L538" s="5">
        <f t="shared" si="17"/>
        <v>4.7799999999999621E-2</v>
      </c>
      <c r="M538" s="10">
        <v>46119</v>
      </c>
      <c r="N538" s="5"/>
    </row>
    <row r="539" spans="1:14" ht="14.4" customHeight="1" x14ac:dyDescent="0.3">
      <c r="A539" s="2">
        <v>538</v>
      </c>
      <c r="B539" s="2">
        <v>2011635</v>
      </c>
      <c r="C539" s="2" t="s">
        <v>340</v>
      </c>
      <c r="D539" s="2">
        <v>88320839</v>
      </c>
      <c r="E539" s="2" t="s">
        <v>19</v>
      </c>
      <c r="F539" s="3">
        <v>46089</v>
      </c>
      <c r="G539" s="4">
        <v>49.62</v>
      </c>
      <c r="H539" s="4">
        <v>9.9239999999999995</v>
      </c>
      <c r="I539" s="4">
        <v>39.695999999999998</v>
      </c>
      <c r="J539" s="5">
        <f t="shared" si="16"/>
        <v>36.718799999999995</v>
      </c>
      <c r="K539" s="5">
        <v>36.222000000000001</v>
      </c>
      <c r="L539" s="5">
        <f t="shared" si="17"/>
        <v>0.49679999999999325</v>
      </c>
      <c r="M539" s="10">
        <v>46119</v>
      </c>
      <c r="N539" s="5"/>
    </row>
    <row r="540" spans="1:14" ht="14.4" customHeight="1" x14ac:dyDescent="0.3">
      <c r="A540" s="2">
        <v>539</v>
      </c>
      <c r="B540" s="2">
        <v>1948511</v>
      </c>
      <c r="C540" s="2" t="s">
        <v>47</v>
      </c>
      <c r="D540" s="2">
        <v>88672413</v>
      </c>
      <c r="E540" s="2" t="s">
        <v>19</v>
      </c>
      <c r="F540" s="3">
        <v>46089</v>
      </c>
      <c r="G540" s="4">
        <v>68.81</v>
      </c>
      <c r="H540" s="4">
        <v>13.762</v>
      </c>
      <c r="I540" s="4">
        <v>55.048000000000002</v>
      </c>
      <c r="J540" s="5">
        <f t="shared" si="16"/>
        <v>50.919399999999996</v>
      </c>
      <c r="K540" s="5">
        <v>50.231999999999999</v>
      </c>
      <c r="L540" s="5">
        <f t="shared" si="17"/>
        <v>0.68739999999999668</v>
      </c>
      <c r="M540" s="10">
        <v>46119</v>
      </c>
      <c r="N540" s="5"/>
    </row>
    <row r="541" spans="1:14" ht="14.4" customHeight="1" x14ac:dyDescent="0.3">
      <c r="A541" s="2">
        <v>542</v>
      </c>
      <c r="B541" s="2">
        <v>2016636</v>
      </c>
      <c r="C541" s="2" t="s">
        <v>342</v>
      </c>
      <c r="D541" s="2">
        <v>88320990</v>
      </c>
      <c r="E541" s="2" t="s">
        <v>15</v>
      </c>
      <c r="F541" s="3">
        <v>46091</v>
      </c>
      <c r="G541" s="4">
        <v>6.41</v>
      </c>
      <c r="H541" s="4">
        <v>1.282</v>
      </c>
      <c r="I541" s="4">
        <v>5.1280000000000001</v>
      </c>
      <c r="J541" s="5">
        <f t="shared" si="16"/>
        <v>4.7433999999999994</v>
      </c>
      <c r="K541" s="5">
        <v>4.6790000000000003</v>
      </c>
      <c r="L541" s="5">
        <f t="shared" si="17"/>
        <v>6.4399999999999125E-2</v>
      </c>
      <c r="M541" s="10">
        <v>46119</v>
      </c>
      <c r="N541" s="5"/>
    </row>
    <row r="542" spans="1:14" ht="14.4" customHeight="1" x14ac:dyDescent="0.3">
      <c r="A542" s="2">
        <v>541</v>
      </c>
      <c r="B542" s="2">
        <v>2011649</v>
      </c>
      <c r="C542" s="2" t="s">
        <v>341</v>
      </c>
      <c r="D542" s="2">
        <v>888320856</v>
      </c>
      <c r="E542" s="2" t="s">
        <v>19</v>
      </c>
      <c r="F542" s="3">
        <v>46091</v>
      </c>
      <c r="G542" s="4">
        <v>10.68</v>
      </c>
      <c r="H542" s="4">
        <v>2.1360000000000001</v>
      </c>
      <c r="I542" s="4">
        <v>8.5440000000000005</v>
      </c>
      <c r="J542" s="5">
        <f t="shared" si="16"/>
        <v>7.9031999999999991</v>
      </c>
      <c r="K542" s="5">
        <v>7.7960000000000003</v>
      </c>
      <c r="L542" s="5">
        <f t="shared" si="17"/>
        <v>0.10719999999999885</v>
      </c>
      <c r="M542" s="10">
        <v>46119</v>
      </c>
      <c r="N542" s="5"/>
    </row>
    <row r="543" spans="1:14" ht="14.4" customHeight="1" x14ac:dyDescent="0.3">
      <c r="A543" s="2">
        <v>543</v>
      </c>
      <c r="B543" s="2">
        <v>2064948</v>
      </c>
      <c r="C543" s="2" t="s">
        <v>110</v>
      </c>
      <c r="D543" s="2">
        <v>90790505</v>
      </c>
      <c r="E543" s="2" t="s">
        <v>19</v>
      </c>
      <c r="F543" s="3">
        <v>46092</v>
      </c>
      <c r="G543" s="4">
        <v>62.94</v>
      </c>
      <c r="H543" s="4">
        <v>9.4410000000000007</v>
      </c>
      <c r="I543" s="4">
        <v>53.499000000000002</v>
      </c>
      <c r="J543" s="5">
        <f t="shared" si="16"/>
        <v>49.722599999999993</v>
      </c>
      <c r="K543" s="5">
        <v>49.09</v>
      </c>
      <c r="L543" s="5">
        <f t="shared" si="17"/>
        <v>0.63259999999998939</v>
      </c>
      <c r="M543" s="10">
        <v>46119</v>
      </c>
      <c r="N543" s="5"/>
    </row>
    <row r="544" spans="1:14" ht="14.4" customHeight="1" x14ac:dyDescent="0.3">
      <c r="A544" s="2">
        <v>544</v>
      </c>
      <c r="B544" s="2">
        <v>2011676</v>
      </c>
      <c r="C544" s="2" t="s">
        <v>232</v>
      </c>
      <c r="D544" s="2">
        <v>88321411</v>
      </c>
      <c r="E544" s="2" t="s">
        <v>15</v>
      </c>
      <c r="F544" s="3">
        <v>46093</v>
      </c>
      <c r="G544" s="4">
        <v>53.28</v>
      </c>
      <c r="H544" s="4">
        <v>10.656000000000001</v>
      </c>
      <c r="I544" s="4">
        <v>42.624000000000002</v>
      </c>
      <c r="J544" s="5">
        <f t="shared" si="16"/>
        <v>39.427199999999999</v>
      </c>
      <c r="K544" s="5">
        <v>38.893000000000001</v>
      </c>
      <c r="L544" s="5">
        <f t="shared" si="17"/>
        <v>0.53419999999999845</v>
      </c>
      <c r="M544" s="10">
        <v>46119</v>
      </c>
      <c r="N544" s="5"/>
    </row>
    <row r="545" spans="1:14" ht="14.4" customHeight="1" x14ac:dyDescent="0.3">
      <c r="A545" s="2">
        <v>545</v>
      </c>
      <c r="B545" s="2">
        <v>2011610</v>
      </c>
      <c r="C545" s="2" t="s">
        <v>153</v>
      </c>
      <c r="D545" s="2">
        <v>88321241</v>
      </c>
      <c r="E545" s="2" t="s">
        <v>19</v>
      </c>
      <c r="F545" s="3">
        <v>46093</v>
      </c>
      <c r="G545" s="4">
        <v>27.36</v>
      </c>
      <c r="H545" s="4">
        <v>5.4720000000000004</v>
      </c>
      <c r="I545" s="4">
        <v>21.888000000000002</v>
      </c>
      <c r="J545" s="5">
        <f t="shared" si="16"/>
        <v>20.246399999999998</v>
      </c>
      <c r="K545" s="5">
        <v>0</v>
      </c>
      <c r="L545" s="5">
        <f t="shared" si="17"/>
        <v>20.246399999999998</v>
      </c>
      <c r="M545" s="10">
        <v>46119</v>
      </c>
      <c r="N545" s="5"/>
    </row>
    <row r="546" spans="1:14" ht="14.4" customHeight="1" x14ac:dyDescent="0.3">
      <c r="A546" s="2">
        <v>546</v>
      </c>
      <c r="B546" s="2">
        <v>2011599</v>
      </c>
      <c r="C546" s="2" t="s">
        <v>179</v>
      </c>
      <c r="D546" s="2">
        <v>88321014</v>
      </c>
      <c r="E546" s="2" t="s">
        <v>19</v>
      </c>
      <c r="F546" s="3">
        <v>46095</v>
      </c>
      <c r="G546" s="4">
        <v>56.72</v>
      </c>
      <c r="H546" s="4">
        <v>11.343999999999999</v>
      </c>
      <c r="I546" s="4">
        <v>45.375999999999998</v>
      </c>
      <c r="J546" s="5">
        <f t="shared" si="16"/>
        <v>41.972799999999992</v>
      </c>
      <c r="K546" s="5">
        <v>41.405000000000001</v>
      </c>
      <c r="L546" s="5">
        <f t="shared" si="17"/>
        <v>0.5677999999999912</v>
      </c>
      <c r="M546" s="10">
        <v>46119</v>
      </c>
      <c r="N546" s="5"/>
    </row>
    <row r="547" spans="1:14" ht="14.4" customHeight="1" x14ac:dyDescent="0.3">
      <c r="A547" s="2">
        <v>547</v>
      </c>
      <c r="B547" s="2">
        <v>2033733</v>
      </c>
      <c r="C547" s="2" t="s">
        <v>343</v>
      </c>
      <c r="D547" s="2">
        <v>90784514</v>
      </c>
      <c r="E547" s="2" t="s">
        <v>15</v>
      </c>
      <c r="F547" s="3">
        <v>46099</v>
      </c>
      <c r="G547" s="4">
        <v>45.48</v>
      </c>
      <c r="H547" s="4">
        <v>6.8220000000000001</v>
      </c>
      <c r="I547" s="4">
        <v>38.658000000000001</v>
      </c>
      <c r="J547" s="5">
        <f t="shared" si="16"/>
        <v>35.929199999999994</v>
      </c>
      <c r="K547" s="5">
        <v>35.475000000000001</v>
      </c>
      <c r="L547" s="5">
        <f t="shared" si="17"/>
        <v>0.45419999999999305</v>
      </c>
      <c r="M547" s="10">
        <v>46119</v>
      </c>
      <c r="N547" s="5"/>
    </row>
    <row r="548" spans="1:14" ht="14.4" customHeight="1" x14ac:dyDescent="0.3">
      <c r="A548" s="2">
        <v>549</v>
      </c>
      <c r="B548" s="2">
        <v>1862236</v>
      </c>
      <c r="C548" s="2" t="s">
        <v>242</v>
      </c>
      <c r="D548" s="2">
        <v>87312739</v>
      </c>
      <c r="E548" s="2" t="s">
        <v>15</v>
      </c>
      <c r="F548" s="3">
        <v>46100</v>
      </c>
      <c r="G548" s="4">
        <v>28.98</v>
      </c>
      <c r="H548" s="4">
        <v>0</v>
      </c>
      <c r="I548" s="4">
        <v>28.98</v>
      </c>
      <c r="J548" s="5">
        <f t="shared" si="16"/>
        <v>27.241199999999999</v>
      </c>
      <c r="K548" s="5">
        <v>26.951000000000001</v>
      </c>
      <c r="L548" s="5">
        <f t="shared" si="17"/>
        <v>0.29019999999999868</v>
      </c>
      <c r="M548" s="10">
        <v>46119</v>
      </c>
      <c r="N548" s="5"/>
    </row>
    <row r="549" spans="1:14" ht="14.4" customHeight="1" x14ac:dyDescent="0.3">
      <c r="A549" s="2">
        <v>548</v>
      </c>
      <c r="B549" s="2">
        <v>1862234</v>
      </c>
      <c r="C549" s="2" t="s">
        <v>155</v>
      </c>
      <c r="D549" s="2">
        <v>87312906</v>
      </c>
      <c r="E549" s="2" t="s">
        <v>19</v>
      </c>
      <c r="F549" s="3">
        <v>46100</v>
      </c>
      <c r="G549" s="4">
        <v>51.3</v>
      </c>
      <c r="H549" s="4">
        <v>0</v>
      </c>
      <c r="I549" s="4">
        <v>51.3</v>
      </c>
      <c r="J549" s="5">
        <f t="shared" si="16"/>
        <v>48.221999999999994</v>
      </c>
      <c r="K549" s="5">
        <v>47.71</v>
      </c>
      <c r="L549" s="5">
        <f t="shared" si="17"/>
        <v>0.51199999999999335</v>
      </c>
      <c r="M549" s="10">
        <v>46119</v>
      </c>
      <c r="N549" s="5"/>
    </row>
    <row r="550" spans="1:14" ht="14.4" customHeight="1" x14ac:dyDescent="0.3">
      <c r="A550" s="2">
        <v>550</v>
      </c>
      <c r="B550" s="2">
        <v>2065029</v>
      </c>
      <c r="C550" s="2" t="s">
        <v>344</v>
      </c>
      <c r="D550" s="2">
        <v>90790550</v>
      </c>
      <c r="E550" s="2" t="s">
        <v>19</v>
      </c>
      <c r="F550" s="3">
        <v>46101</v>
      </c>
      <c r="G550" s="4">
        <v>13.25</v>
      </c>
      <c r="H550" s="4">
        <v>1.9870000000000001</v>
      </c>
      <c r="I550" s="4">
        <v>11.263</v>
      </c>
      <c r="J550" s="5">
        <f t="shared" si="16"/>
        <v>10.468</v>
      </c>
      <c r="K550" s="5">
        <v>10.334</v>
      </c>
      <c r="L550" s="5">
        <f t="shared" si="17"/>
        <v>0.13400000000000034</v>
      </c>
      <c r="M550" s="10">
        <v>46119</v>
      </c>
      <c r="N550" s="5"/>
    </row>
    <row r="551" spans="1:14" ht="14.4" customHeight="1" x14ac:dyDescent="0.3">
      <c r="A551" s="2">
        <v>551</v>
      </c>
      <c r="B551" s="2">
        <v>2064873</v>
      </c>
      <c r="C551" s="2" t="s">
        <v>301</v>
      </c>
      <c r="D551" s="2">
        <v>90787427</v>
      </c>
      <c r="E551" s="2" t="s">
        <v>15</v>
      </c>
      <c r="F551" s="3">
        <v>46105</v>
      </c>
      <c r="G551" s="4">
        <v>27.72</v>
      </c>
      <c r="H551" s="4">
        <v>4.1580000000000004</v>
      </c>
      <c r="I551" s="4">
        <v>23.562000000000001</v>
      </c>
      <c r="J551" s="5">
        <f t="shared" si="16"/>
        <v>21.898799999999998</v>
      </c>
      <c r="K551" s="5">
        <v>21.620999999999999</v>
      </c>
      <c r="L551" s="5">
        <f t="shared" si="17"/>
        <v>0.27779999999999916</v>
      </c>
      <c r="M551" s="10">
        <v>46119</v>
      </c>
      <c r="N551" s="5"/>
    </row>
    <row r="552" spans="1:14" ht="14.4" customHeight="1" x14ac:dyDescent="0.3">
      <c r="A552" s="2">
        <v>552</v>
      </c>
      <c r="B552" s="2">
        <v>2064870</v>
      </c>
      <c r="C552" s="2" t="s">
        <v>345</v>
      </c>
      <c r="D552" s="2">
        <v>90787421</v>
      </c>
      <c r="E552" s="2" t="s">
        <v>15</v>
      </c>
      <c r="F552" s="3">
        <v>46105</v>
      </c>
      <c r="G552" s="4">
        <v>36.369999999999997</v>
      </c>
      <c r="H552" s="4">
        <v>5.4550000000000001</v>
      </c>
      <c r="I552" s="4">
        <v>30.914999999999999</v>
      </c>
      <c r="J552" s="5">
        <f t="shared" si="16"/>
        <v>28.732799999999997</v>
      </c>
      <c r="K552" s="5">
        <v>28.366</v>
      </c>
      <c r="L552" s="5">
        <f t="shared" si="17"/>
        <v>0.36679999999999779</v>
      </c>
      <c r="M552" s="10">
        <v>46119</v>
      </c>
      <c r="N552" s="5"/>
    </row>
    <row r="553" spans="1:14" ht="14.4" customHeight="1" x14ac:dyDescent="0.3">
      <c r="A553" s="2">
        <v>553</v>
      </c>
      <c r="B553" s="2">
        <v>2064868</v>
      </c>
      <c r="C553" s="2" t="s">
        <v>322</v>
      </c>
      <c r="D553" s="2">
        <v>90790463</v>
      </c>
      <c r="E553" s="2" t="s">
        <v>19</v>
      </c>
      <c r="F553" s="3">
        <v>46105</v>
      </c>
      <c r="G553" s="4">
        <v>40.35</v>
      </c>
      <c r="H553" s="4">
        <v>6.0519999999999996</v>
      </c>
      <c r="I553" s="4">
        <v>34.298000000000002</v>
      </c>
      <c r="J553" s="5">
        <f t="shared" si="16"/>
        <v>31.877000000000002</v>
      </c>
      <c r="K553" s="5">
        <v>31.472000000000001</v>
      </c>
      <c r="L553" s="5">
        <f t="shared" si="17"/>
        <v>0.40500000000000114</v>
      </c>
      <c r="M553" s="10">
        <v>46119</v>
      </c>
      <c r="N553" s="5"/>
    </row>
    <row r="554" spans="1:14" ht="14.4" customHeight="1" x14ac:dyDescent="0.3">
      <c r="A554" s="2">
        <v>554</v>
      </c>
      <c r="B554" s="2">
        <v>2064869</v>
      </c>
      <c r="C554" s="2" t="s">
        <v>321</v>
      </c>
      <c r="D554" s="2">
        <v>90787418</v>
      </c>
      <c r="E554" s="2" t="s">
        <v>15</v>
      </c>
      <c r="F554" s="3">
        <v>46105</v>
      </c>
      <c r="G554" s="4">
        <v>45.2</v>
      </c>
      <c r="H554" s="4">
        <v>6.78</v>
      </c>
      <c r="I554" s="4">
        <v>38.42</v>
      </c>
      <c r="J554" s="5">
        <f t="shared" si="16"/>
        <v>35.707999999999998</v>
      </c>
      <c r="K554" s="5">
        <v>35.256</v>
      </c>
      <c r="L554" s="5">
        <f t="shared" si="17"/>
        <v>0.45199999999999818</v>
      </c>
      <c r="M554" s="10">
        <v>46119</v>
      </c>
      <c r="N554" s="5"/>
    </row>
    <row r="555" spans="1:14" ht="14.4" customHeight="1" x14ac:dyDescent="0.3">
      <c r="A555" s="2">
        <v>555</v>
      </c>
      <c r="B555" s="2">
        <v>2064937</v>
      </c>
      <c r="C555" s="2" t="s">
        <v>104</v>
      </c>
      <c r="D555" s="2">
        <v>90787547</v>
      </c>
      <c r="E555" s="2" t="s">
        <v>15</v>
      </c>
      <c r="F555" s="3">
        <v>46106</v>
      </c>
      <c r="G555" s="4">
        <v>20.12</v>
      </c>
      <c r="H555" s="4">
        <v>3.0179999999999998</v>
      </c>
      <c r="I555" s="4">
        <v>17.102</v>
      </c>
      <c r="J555" s="5">
        <f t="shared" si="16"/>
        <v>15.8948</v>
      </c>
      <c r="K555" s="5">
        <v>15.694000000000001</v>
      </c>
      <c r="L555" s="5">
        <f t="shared" si="17"/>
        <v>0.2007999999999992</v>
      </c>
      <c r="M555" s="10">
        <v>46119</v>
      </c>
      <c r="N555" s="5"/>
    </row>
    <row r="556" spans="1:14" ht="14.4" customHeight="1" x14ac:dyDescent="0.3">
      <c r="A556" s="2">
        <v>556</v>
      </c>
      <c r="B556" s="2">
        <v>2064949</v>
      </c>
      <c r="C556" s="2" t="s">
        <v>273</v>
      </c>
      <c r="D556" s="2">
        <v>90787577</v>
      </c>
      <c r="E556" s="2" t="s">
        <v>15</v>
      </c>
      <c r="F556" s="3">
        <v>46106</v>
      </c>
      <c r="G556" s="4">
        <v>22.66</v>
      </c>
      <c r="H556" s="4">
        <v>3.399</v>
      </c>
      <c r="I556" s="4">
        <v>19.260999999999999</v>
      </c>
      <c r="J556" s="5">
        <f t="shared" si="16"/>
        <v>17.901399999999999</v>
      </c>
      <c r="K556" s="5">
        <v>17.672999999999998</v>
      </c>
      <c r="L556" s="5">
        <f t="shared" si="17"/>
        <v>0.2284000000000006</v>
      </c>
      <c r="M556" s="10">
        <v>46119</v>
      </c>
      <c r="N556" s="5"/>
    </row>
    <row r="557" spans="1:14" ht="14.4" customHeight="1" x14ac:dyDescent="0.3">
      <c r="A557" s="2">
        <v>558</v>
      </c>
      <c r="B557" s="2">
        <v>2064793</v>
      </c>
      <c r="C557" s="2" t="s">
        <v>347</v>
      </c>
      <c r="D557" s="2">
        <v>90787292</v>
      </c>
      <c r="E557" s="2" t="s">
        <v>15</v>
      </c>
      <c r="F557" s="3">
        <v>46109</v>
      </c>
      <c r="G557" s="4">
        <v>10.65</v>
      </c>
      <c r="H557" s="4">
        <v>2.13</v>
      </c>
      <c r="I557" s="4">
        <v>8.52</v>
      </c>
      <c r="J557" s="5">
        <f t="shared" si="16"/>
        <v>7.8809999999999993</v>
      </c>
      <c r="K557" s="5">
        <v>8.3070000000000004</v>
      </c>
      <c r="L557" s="5">
        <f t="shared" si="17"/>
        <v>-0.42600000000000104</v>
      </c>
      <c r="M557" s="10">
        <v>46119</v>
      </c>
      <c r="N557" s="5"/>
    </row>
    <row r="558" spans="1:14" ht="14.4" customHeight="1" x14ac:dyDescent="0.3">
      <c r="A558" s="2">
        <v>557</v>
      </c>
      <c r="B558" s="2">
        <v>2064789</v>
      </c>
      <c r="C558" s="2" t="s">
        <v>348</v>
      </c>
      <c r="D558" s="2">
        <v>90787298</v>
      </c>
      <c r="E558" s="2" t="s">
        <v>15</v>
      </c>
      <c r="F558" s="3">
        <v>46109</v>
      </c>
      <c r="G558" s="4">
        <v>12.7</v>
      </c>
      <c r="H558" s="4">
        <v>1.905</v>
      </c>
      <c r="I558" s="4">
        <v>10.795</v>
      </c>
      <c r="J558" s="5">
        <f t="shared" si="16"/>
        <v>10.032999999999999</v>
      </c>
      <c r="K558" s="5">
        <v>9.9060000000000006</v>
      </c>
      <c r="L558" s="5">
        <f t="shared" si="17"/>
        <v>0.12699999999999889</v>
      </c>
      <c r="M558" s="10">
        <v>46119</v>
      </c>
      <c r="N558" s="5"/>
    </row>
    <row r="559" spans="1:14" ht="14.4" customHeight="1" x14ac:dyDescent="0.3">
      <c r="A559" s="2">
        <v>559</v>
      </c>
      <c r="B559" s="2">
        <v>2064792</v>
      </c>
      <c r="C559" s="2" t="s">
        <v>346</v>
      </c>
      <c r="D559" s="2">
        <v>90787286</v>
      </c>
      <c r="E559" s="2" t="s">
        <v>15</v>
      </c>
      <c r="F559" s="3">
        <v>46109</v>
      </c>
      <c r="G559" s="4">
        <v>22.49</v>
      </c>
      <c r="H559" s="4">
        <v>3.3730000000000002</v>
      </c>
      <c r="I559" s="4">
        <v>19.117000000000001</v>
      </c>
      <c r="J559" s="5">
        <f t="shared" si="16"/>
        <v>17.767599999999995</v>
      </c>
      <c r="K559" s="5">
        <v>17.54</v>
      </c>
      <c r="L559" s="5">
        <f t="shared" si="17"/>
        <v>0.22759999999999536</v>
      </c>
      <c r="M559" s="10">
        <v>46119</v>
      </c>
      <c r="N559" s="5"/>
    </row>
    <row r="560" spans="1:14" ht="14.4" customHeight="1" x14ac:dyDescent="0.3">
      <c r="A560" s="2">
        <v>560</v>
      </c>
      <c r="B560" s="2">
        <v>2033735</v>
      </c>
      <c r="C560" s="2" t="s">
        <v>271</v>
      </c>
      <c r="D560" s="2">
        <v>90784511</v>
      </c>
      <c r="E560" s="2" t="s">
        <v>15</v>
      </c>
      <c r="F560" s="3">
        <v>46109</v>
      </c>
      <c r="G560" s="4">
        <v>41.52</v>
      </c>
      <c r="H560" s="4">
        <v>6.2279999999999998</v>
      </c>
      <c r="I560" s="4">
        <v>35.292000000000002</v>
      </c>
      <c r="J560" s="5">
        <f t="shared" si="16"/>
        <v>32.800800000000002</v>
      </c>
      <c r="K560" s="5">
        <v>32.384</v>
      </c>
      <c r="L560" s="5">
        <f t="shared" si="17"/>
        <v>0.41680000000000206</v>
      </c>
      <c r="M560" s="10">
        <v>46119</v>
      </c>
      <c r="N560" s="5"/>
    </row>
    <row r="561" spans="1:14" ht="14.4" customHeight="1" x14ac:dyDescent="0.3">
      <c r="A561" s="2">
        <v>561</v>
      </c>
      <c r="B561" s="2">
        <v>2033729</v>
      </c>
      <c r="C561" s="2" t="s">
        <v>310</v>
      </c>
      <c r="D561" s="2">
        <v>90784517</v>
      </c>
      <c r="E561" s="2" t="s">
        <v>15</v>
      </c>
      <c r="F561" s="3">
        <v>46109</v>
      </c>
      <c r="G561" s="4">
        <v>54.69</v>
      </c>
      <c r="H561" s="4">
        <v>8.2029999999999994</v>
      </c>
      <c r="I561" s="4">
        <v>46.487000000000002</v>
      </c>
      <c r="J561" s="5">
        <f t="shared" si="16"/>
        <v>43.20559999999999</v>
      </c>
      <c r="K561" s="5">
        <v>42.658000000000001</v>
      </c>
      <c r="L561" s="5">
        <f t="shared" si="17"/>
        <v>0.54759999999998854</v>
      </c>
      <c r="M561" s="10">
        <v>46119</v>
      </c>
      <c r="N561" s="5"/>
    </row>
    <row r="562" spans="1:14" ht="14.4" customHeight="1" x14ac:dyDescent="0.3">
      <c r="A562" s="2">
        <v>566</v>
      </c>
      <c r="B562" s="2">
        <v>794217</v>
      </c>
      <c r="C562" s="2" t="s">
        <v>349</v>
      </c>
      <c r="D562" s="2">
        <v>88796272</v>
      </c>
      <c r="E562" s="2" t="s">
        <v>19</v>
      </c>
      <c r="F562" s="3">
        <v>46110</v>
      </c>
      <c r="G562" s="4">
        <v>1.58</v>
      </c>
      <c r="H562" s="4">
        <v>0.158</v>
      </c>
      <c r="I562" s="4">
        <v>1.4219999999999999</v>
      </c>
      <c r="J562" s="5">
        <f t="shared" si="16"/>
        <v>1.3272000000000002</v>
      </c>
      <c r="K562" s="5">
        <v>1.3109999999999999</v>
      </c>
      <c r="L562" s="5">
        <f t="shared" si="17"/>
        <v>1.6200000000000214E-2</v>
      </c>
      <c r="M562" s="10">
        <v>46119</v>
      </c>
      <c r="N562" s="5"/>
    </row>
    <row r="563" spans="1:14" ht="14.4" customHeight="1" x14ac:dyDescent="0.3">
      <c r="A563" s="2">
        <v>565</v>
      </c>
      <c r="B563" s="2">
        <v>1904564</v>
      </c>
      <c r="C563" s="2" t="s">
        <v>60</v>
      </c>
      <c r="D563" s="2">
        <v>89682890</v>
      </c>
      <c r="E563" s="2" t="s">
        <v>15</v>
      </c>
      <c r="F563" s="3">
        <v>46110</v>
      </c>
      <c r="G563" s="4">
        <v>10.08</v>
      </c>
      <c r="H563" s="4">
        <v>2.016</v>
      </c>
      <c r="I563" s="4">
        <v>8.0640000000000001</v>
      </c>
      <c r="J563" s="5">
        <f t="shared" si="16"/>
        <v>7.4591999999999992</v>
      </c>
      <c r="K563" s="5">
        <v>7.3579999999999997</v>
      </c>
      <c r="L563" s="5">
        <f t="shared" si="17"/>
        <v>0.10119999999999951</v>
      </c>
      <c r="M563" s="10">
        <v>46119</v>
      </c>
      <c r="N563" s="5"/>
    </row>
    <row r="564" spans="1:14" ht="14.4" customHeight="1" x14ac:dyDescent="0.3">
      <c r="A564" s="2">
        <v>563</v>
      </c>
      <c r="B564" s="2">
        <v>1833947</v>
      </c>
      <c r="C564" s="2" t="s">
        <v>59</v>
      </c>
      <c r="D564" s="2">
        <v>89682862</v>
      </c>
      <c r="E564" s="2" t="s">
        <v>19</v>
      </c>
      <c r="F564" s="3">
        <v>46110</v>
      </c>
      <c r="G564" s="4">
        <v>32.36</v>
      </c>
      <c r="H564" s="4">
        <v>6.4720000000000004</v>
      </c>
      <c r="I564" s="4">
        <v>25.888000000000002</v>
      </c>
      <c r="J564" s="5">
        <f t="shared" si="16"/>
        <v>23.946399999999997</v>
      </c>
      <c r="K564" s="5">
        <v>23.623000000000001</v>
      </c>
      <c r="L564" s="5">
        <f t="shared" si="17"/>
        <v>0.32339999999999591</v>
      </c>
      <c r="M564" s="10">
        <v>46119</v>
      </c>
      <c r="N564" s="5"/>
    </row>
    <row r="565" spans="1:14" ht="14.4" customHeight="1" x14ac:dyDescent="0.3">
      <c r="A565" s="2">
        <v>564</v>
      </c>
      <c r="B565" s="2">
        <v>1833948</v>
      </c>
      <c r="C565" s="2" t="s">
        <v>50</v>
      </c>
      <c r="D565" s="2">
        <v>89682876</v>
      </c>
      <c r="E565" s="2" t="s">
        <v>19</v>
      </c>
      <c r="F565" s="3">
        <v>46110</v>
      </c>
      <c r="G565" s="4">
        <v>38.82</v>
      </c>
      <c r="H565" s="4">
        <v>7.7640000000000002</v>
      </c>
      <c r="I565" s="4">
        <v>31.056000000000001</v>
      </c>
      <c r="J565" s="5">
        <f t="shared" si="16"/>
        <v>28.726800000000001</v>
      </c>
      <c r="K565" s="5">
        <v>28.338999999999999</v>
      </c>
      <c r="L565" s="5">
        <f t="shared" si="17"/>
        <v>0.38780000000000214</v>
      </c>
      <c r="M565" s="10">
        <v>46119</v>
      </c>
      <c r="N565" s="5"/>
    </row>
    <row r="566" spans="1:14" ht="14.4" customHeight="1" x14ac:dyDescent="0.3">
      <c r="A566" s="2">
        <v>567</v>
      </c>
      <c r="B566" s="2">
        <v>2064947</v>
      </c>
      <c r="C566" s="2" t="s">
        <v>220</v>
      </c>
      <c r="D566" s="2">
        <v>90787568</v>
      </c>
      <c r="E566" s="2" t="s">
        <v>15</v>
      </c>
      <c r="F566" s="3">
        <v>46110</v>
      </c>
      <c r="G566" s="4">
        <v>42.44</v>
      </c>
      <c r="H566" s="4">
        <v>6.3659999999999997</v>
      </c>
      <c r="I566" s="4">
        <v>36.073999999999998</v>
      </c>
      <c r="J566" s="5">
        <f t="shared" si="16"/>
        <v>33.527599999999993</v>
      </c>
      <c r="K566" s="5">
        <v>33.101999999999997</v>
      </c>
      <c r="L566" s="5">
        <f t="shared" si="17"/>
        <v>0.42559999999999576</v>
      </c>
      <c r="M566" s="10">
        <v>46119</v>
      </c>
      <c r="N566" s="5"/>
    </row>
    <row r="567" spans="1:14" ht="14.4" customHeight="1" x14ac:dyDescent="0.3">
      <c r="A567" s="2">
        <v>562</v>
      </c>
      <c r="B567" s="2">
        <v>2065024</v>
      </c>
      <c r="C567" s="2" t="s">
        <v>123</v>
      </c>
      <c r="D567" s="2">
        <v>90790547</v>
      </c>
      <c r="E567" s="2" t="s">
        <v>19</v>
      </c>
      <c r="F567" s="3">
        <v>46110</v>
      </c>
      <c r="G567" s="4">
        <v>48.64</v>
      </c>
      <c r="H567" s="4">
        <v>7.2960000000000003</v>
      </c>
      <c r="I567" s="4">
        <v>41.344000000000001</v>
      </c>
      <c r="J567" s="5">
        <f t="shared" si="16"/>
        <v>38.425599999999996</v>
      </c>
      <c r="K567" s="5">
        <v>37.939</v>
      </c>
      <c r="L567" s="5">
        <f t="shared" si="17"/>
        <v>0.4865999999999957</v>
      </c>
      <c r="M567" s="10">
        <v>46119</v>
      </c>
      <c r="N567" s="5"/>
    </row>
    <row r="568" spans="1:14" ht="14.4" customHeight="1" x14ac:dyDescent="0.3">
      <c r="A568" s="2">
        <v>568</v>
      </c>
      <c r="B568" s="2">
        <v>2064944</v>
      </c>
      <c r="C568" s="2" t="s">
        <v>35</v>
      </c>
      <c r="D568" s="2">
        <v>90790502</v>
      </c>
      <c r="E568" s="2" t="s">
        <v>19</v>
      </c>
      <c r="F568" s="3">
        <v>46110</v>
      </c>
      <c r="G568" s="4">
        <v>65.59</v>
      </c>
      <c r="H568" s="4">
        <v>9.8379999999999992</v>
      </c>
      <c r="I568" s="4">
        <v>55.752000000000002</v>
      </c>
      <c r="J568" s="5">
        <f t="shared" si="16"/>
        <v>51.816600000000001</v>
      </c>
      <c r="K568" s="5">
        <v>51.158999999999999</v>
      </c>
      <c r="L568" s="5">
        <f t="shared" si="17"/>
        <v>0.65760000000000218</v>
      </c>
      <c r="M568" s="10">
        <v>46119</v>
      </c>
      <c r="N568" s="5"/>
    </row>
    <row r="569" spans="1:14" ht="14.4" customHeight="1" x14ac:dyDescent="0.3">
      <c r="A569" s="2">
        <v>569</v>
      </c>
      <c r="B569" s="2">
        <v>2011648</v>
      </c>
      <c r="C569" s="2" t="s">
        <v>326</v>
      </c>
      <c r="D569" s="2">
        <v>88320855</v>
      </c>
      <c r="E569" s="2" t="s">
        <v>15</v>
      </c>
      <c r="F569" s="3">
        <v>46112</v>
      </c>
      <c r="G569" s="4">
        <v>85.11</v>
      </c>
      <c r="H569" s="4">
        <v>17.021999999999998</v>
      </c>
      <c r="I569" s="4">
        <v>68.087999999999994</v>
      </c>
      <c r="J569" s="5">
        <f t="shared" si="16"/>
        <v>62.981400000000001</v>
      </c>
      <c r="K569" s="5">
        <v>62.131</v>
      </c>
      <c r="L569" s="5">
        <f t="shared" si="17"/>
        <v>0.85040000000000049</v>
      </c>
      <c r="M569" s="10">
        <v>46119</v>
      </c>
      <c r="N569" s="5"/>
    </row>
    <row r="570" spans="1:14" ht="14.4" customHeight="1" x14ac:dyDescent="0.3">
      <c r="A570" s="2">
        <v>570</v>
      </c>
      <c r="B570" s="2">
        <v>2011647</v>
      </c>
      <c r="C570" s="2" t="s">
        <v>325</v>
      </c>
      <c r="D570" s="2">
        <v>88320853</v>
      </c>
      <c r="E570" s="2" t="s">
        <v>19</v>
      </c>
      <c r="F570" s="3">
        <v>46112</v>
      </c>
      <c r="G570" s="4">
        <v>85.11</v>
      </c>
      <c r="H570" s="4">
        <v>17.021999999999998</v>
      </c>
      <c r="I570" s="4">
        <v>68.087999999999994</v>
      </c>
      <c r="J570" s="5">
        <f t="shared" si="16"/>
        <v>62.981400000000001</v>
      </c>
      <c r="K570" s="5">
        <v>62.131</v>
      </c>
      <c r="L570" s="5">
        <f t="shared" si="17"/>
        <v>0.85040000000000049</v>
      </c>
      <c r="M570" s="10">
        <v>46119</v>
      </c>
      <c r="N570" s="5"/>
    </row>
    <row r="571" spans="1:14" ht="14.4" customHeight="1" x14ac:dyDescent="0.3">
      <c r="A571" s="2">
        <v>572</v>
      </c>
      <c r="B571" s="2">
        <v>2011712</v>
      </c>
      <c r="C571" s="2" t="s">
        <v>190</v>
      </c>
      <c r="D571" s="2">
        <v>88321184</v>
      </c>
      <c r="E571" s="2" t="s">
        <v>19</v>
      </c>
      <c r="F571" s="3">
        <v>46114</v>
      </c>
      <c r="G571" s="4">
        <v>47.2</v>
      </c>
      <c r="H571" s="4">
        <v>9.44</v>
      </c>
      <c r="I571" s="4">
        <v>37.76</v>
      </c>
      <c r="J571" s="5">
        <f t="shared" si="16"/>
        <v>34.928000000000004</v>
      </c>
      <c r="K571" s="5">
        <v>34.456000000000003</v>
      </c>
      <c r="L571" s="5">
        <f t="shared" si="17"/>
        <v>0.47200000000000131</v>
      </c>
      <c r="M571" s="10">
        <v>46149</v>
      </c>
      <c r="N571" s="5"/>
    </row>
    <row r="572" spans="1:14" ht="14.4" customHeight="1" x14ac:dyDescent="0.3">
      <c r="A572" s="2">
        <v>571</v>
      </c>
      <c r="B572" s="2">
        <v>90787298</v>
      </c>
      <c r="C572" s="2" t="s">
        <v>348</v>
      </c>
      <c r="D572" s="2">
        <v>2064789</v>
      </c>
      <c r="E572" s="2" t="s">
        <v>15</v>
      </c>
      <c r="F572" s="3">
        <v>46114</v>
      </c>
      <c r="G572" s="4">
        <v>30.04</v>
      </c>
      <c r="H572" s="4">
        <v>4.5060000000000002</v>
      </c>
      <c r="I572" s="4">
        <v>25.533999999999999</v>
      </c>
      <c r="J572" s="5">
        <f t="shared" si="16"/>
        <v>23.731599999999997</v>
      </c>
      <c r="L572" s="5">
        <f t="shared" si="17"/>
        <v>23.731599999999997</v>
      </c>
      <c r="M572" s="5"/>
      <c r="N572" s="5"/>
    </row>
    <row r="573" spans="1:14" ht="14.4" customHeight="1" x14ac:dyDescent="0.3">
      <c r="A573" s="2">
        <v>573</v>
      </c>
      <c r="B573" s="2">
        <v>2011657</v>
      </c>
      <c r="C573" s="2" t="s">
        <v>350</v>
      </c>
      <c r="D573" s="2">
        <v>88321102</v>
      </c>
      <c r="E573" s="2" t="s">
        <v>19</v>
      </c>
      <c r="F573" s="3">
        <v>46116</v>
      </c>
      <c r="G573" s="4">
        <v>61.05</v>
      </c>
      <c r="H573" s="4">
        <v>12.21</v>
      </c>
      <c r="I573" s="4">
        <v>48.84</v>
      </c>
      <c r="J573" s="5">
        <f t="shared" si="16"/>
        <v>45.176999999999992</v>
      </c>
      <c r="K573" s="5">
        <v>43.338999999999999</v>
      </c>
      <c r="L573" s="5">
        <f t="shared" si="17"/>
        <v>1.8379999999999939</v>
      </c>
      <c r="M573" s="10">
        <v>46143</v>
      </c>
      <c r="N573" s="5"/>
    </row>
    <row r="574" spans="1:14" ht="14.4" customHeight="1" x14ac:dyDescent="0.3">
      <c r="A574" s="2">
        <v>574</v>
      </c>
      <c r="B574" s="2">
        <v>2033733</v>
      </c>
      <c r="C574" s="2" t="s">
        <v>343</v>
      </c>
      <c r="D574" s="2">
        <v>90784515</v>
      </c>
      <c r="E574" s="2" t="s">
        <v>15</v>
      </c>
      <c r="F574" s="3">
        <v>46118</v>
      </c>
      <c r="G574" s="4">
        <v>18.765999999999998</v>
      </c>
      <c r="H574" s="4">
        <v>2.8149999999999999</v>
      </c>
      <c r="I574" s="4">
        <v>15.951000000000001</v>
      </c>
      <c r="J574" s="5">
        <f t="shared" si="16"/>
        <v>14.82504</v>
      </c>
      <c r="K574" s="5">
        <v>14.637</v>
      </c>
      <c r="L574" s="5">
        <f t="shared" si="17"/>
        <v>0.1880399999999991</v>
      </c>
      <c r="M574" s="10">
        <v>46143</v>
      </c>
      <c r="N574" s="5"/>
    </row>
    <row r="575" spans="1:14" ht="14.4" customHeight="1" x14ac:dyDescent="0.3">
      <c r="A575" s="2">
        <v>575</v>
      </c>
      <c r="B575" s="2">
        <v>1970947</v>
      </c>
      <c r="C575" s="2" t="s">
        <v>23</v>
      </c>
      <c r="D575" s="2">
        <v>89506355</v>
      </c>
      <c r="E575" s="2" t="s">
        <v>15</v>
      </c>
      <c r="F575" s="3">
        <v>46118</v>
      </c>
      <c r="G575" s="4">
        <v>9.4600000000000009</v>
      </c>
      <c r="H575" s="4">
        <v>1.419</v>
      </c>
      <c r="I575" s="4">
        <v>8.0410000000000004</v>
      </c>
      <c r="J575" s="5">
        <f t="shared" si="16"/>
        <v>7.4733999999999998</v>
      </c>
      <c r="K575" s="5">
        <v>7.1879999999999997</v>
      </c>
      <c r="L575" s="5">
        <f t="shared" si="17"/>
        <v>0.2854000000000001</v>
      </c>
      <c r="M575" s="10">
        <v>46143</v>
      </c>
      <c r="N575" s="5"/>
    </row>
    <row r="576" spans="1:14" ht="14.4" customHeight="1" x14ac:dyDescent="0.3">
      <c r="A576" s="2">
        <v>577</v>
      </c>
      <c r="B576" s="2">
        <v>1988565</v>
      </c>
      <c r="C576" s="2" t="s">
        <v>352</v>
      </c>
      <c r="D576" s="2">
        <v>90786500</v>
      </c>
      <c r="E576" s="2" t="s">
        <v>19</v>
      </c>
      <c r="F576" s="3">
        <v>46118</v>
      </c>
      <c r="G576" s="4">
        <v>45.04</v>
      </c>
      <c r="H576" s="4">
        <v>6.7560000000000002</v>
      </c>
      <c r="I576" s="4">
        <v>38.283999999999999</v>
      </c>
      <c r="J576" s="5">
        <f t="shared" si="16"/>
        <v>35.581599999999995</v>
      </c>
      <c r="K576" s="5">
        <v>35.131</v>
      </c>
      <c r="L576" s="5">
        <f t="shared" si="17"/>
        <v>0.45059999999999434</v>
      </c>
      <c r="M576" s="10">
        <v>46143</v>
      </c>
      <c r="N576" s="5"/>
    </row>
    <row r="577" spans="1:14" ht="14.4" customHeight="1" x14ac:dyDescent="0.3">
      <c r="A577" s="2">
        <v>576</v>
      </c>
      <c r="B577" s="2">
        <v>2011705</v>
      </c>
      <c r="C577" s="2" t="s">
        <v>351</v>
      </c>
      <c r="D577" s="2">
        <v>88320957</v>
      </c>
      <c r="E577" s="2" t="s">
        <v>19</v>
      </c>
      <c r="F577" s="3">
        <v>46118</v>
      </c>
      <c r="G577" s="4">
        <v>47.88</v>
      </c>
      <c r="H577" s="4">
        <v>9.5760000000000005</v>
      </c>
      <c r="I577" s="4">
        <v>38.304000000000002</v>
      </c>
      <c r="J577" s="5">
        <f t="shared" si="16"/>
        <v>35.431199999999997</v>
      </c>
      <c r="K577" s="5">
        <v>34.953000000000003</v>
      </c>
      <c r="L577" s="5">
        <f t="shared" si="17"/>
        <v>0.47819999999999396</v>
      </c>
      <c r="M577" s="10">
        <v>46143</v>
      </c>
      <c r="N577" s="5"/>
    </row>
    <row r="578" spans="1:14" ht="14.4" customHeight="1" x14ac:dyDescent="0.3">
      <c r="A578" s="2">
        <v>578</v>
      </c>
      <c r="B578" s="2">
        <v>1988586</v>
      </c>
      <c r="C578" s="2" t="s">
        <v>74</v>
      </c>
      <c r="D578" s="2">
        <v>90784286</v>
      </c>
      <c r="E578" s="2" t="s">
        <v>15</v>
      </c>
      <c r="F578" s="3">
        <v>46119</v>
      </c>
      <c r="G578" s="4">
        <v>10.87</v>
      </c>
      <c r="H578" s="4">
        <v>1.63</v>
      </c>
      <c r="I578" s="4">
        <v>9.24</v>
      </c>
      <c r="J578" s="5">
        <f t="shared" ref="J578:J641" si="18">G578*0.94-H578</f>
        <v>8.5877999999999979</v>
      </c>
      <c r="K578" s="5">
        <v>8.4779999999999998</v>
      </c>
      <c r="L578" s="5">
        <f t="shared" ref="L578:L641" si="19">J578-K578</f>
        <v>0.10979999999999812</v>
      </c>
      <c r="M578" s="10">
        <v>46143</v>
      </c>
      <c r="N578" s="5"/>
    </row>
    <row r="579" spans="1:14" ht="14.4" customHeight="1" x14ac:dyDescent="0.3">
      <c r="A579" s="2">
        <v>582</v>
      </c>
      <c r="B579" s="2">
        <v>1988718</v>
      </c>
      <c r="C579" s="2" t="s">
        <v>353</v>
      </c>
      <c r="D579" s="2">
        <v>90786515</v>
      </c>
      <c r="E579" s="2" t="s">
        <v>19</v>
      </c>
      <c r="F579" s="3">
        <v>46119</v>
      </c>
      <c r="G579" s="4">
        <v>12.54</v>
      </c>
      <c r="H579" s="4">
        <v>1.881</v>
      </c>
      <c r="I579" s="4">
        <v>10.659000000000001</v>
      </c>
      <c r="J579" s="5">
        <f t="shared" si="18"/>
        <v>9.9065999999999992</v>
      </c>
      <c r="K579" s="5">
        <v>9.7810000000000006</v>
      </c>
      <c r="L579" s="5">
        <f t="shared" si="19"/>
        <v>0.1255999999999986</v>
      </c>
      <c r="M579" s="10">
        <v>46143</v>
      </c>
      <c r="N579" s="5"/>
    </row>
    <row r="580" spans="1:14" ht="14.4" customHeight="1" x14ac:dyDescent="0.3">
      <c r="A580" s="2">
        <v>580</v>
      </c>
      <c r="B580" s="2">
        <v>2064915</v>
      </c>
      <c r="C580" s="2" t="s">
        <v>64</v>
      </c>
      <c r="D580" s="2">
        <v>90787487</v>
      </c>
      <c r="E580" s="2" t="s">
        <v>15</v>
      </c>
      <c r="F580" s="3">
        <v>46119</v>
      </c>
      <c r="G580" s="4">
        <v>15.34</v>
      </c>
      <c r="H580" s="4">
        <v>2.3010000000000002</v>
      </c>
      <c r="I580" s="4">
        <v>13.039</v>
      </c>
      <c r="J580" s="5">
        <f t="shared" si="18"/>
        <v>12.118599999999999</v>
      </c>
      <c r="K580" s="5">
        <v>11.964</v>
      </c>
      <c r="L580" s="5">
        <f t="shared" si="19"/>
        <v>0.15459999999999852</v>
      </c>
      <c r="M580" s="10">
        <v>46143</v>
      </c>
      <c r="N580" s="5"/>
    </row>
    <row r="581" spans="1:14" ht="14.4" customHeight="1" x14ac:dyDescent="0.3">
      <c r="A581" s="2">
        <v>579</v>
      </c>
      <c r="B581" s="2">
        <v>1988584</v>
      </c>
      <c r="C581" s="2" t="s">
        <v>204</v>
      </c>
      <c r="D581" s="2">
        <v>90784280</v>
      </c>
      <c r="E581" s="2" t="s">
        <v>15</v>
      </c>
      <c r="F581" s="3">
        <v>46119</v>
      </c>
      <c r="G581" s="4">
        <v>25.84</v>
      </c>
      <c r="H581" s="4">
        <v>3.8759999999999999</v>
      </c>
      <c r="I581" s="4">
        <v>21.963999999999999</v>
      </c>
      <c r="J581" s="5">
        <f t="shared" si="18"/>
        <v>20.413599999999999</v>
      </c>
      <c r="K581" s="5">
        <v>20.154</v>
      </c>
      <c r="L581" s="5">
        <f t="shared" si="19"/>
        <v>0.25959999999999894</v>
      </c>
      <c r="M581" s="10">
        <v>46143</v>
      </c>
      <c r="N581" s="5"/>
    </row>
    <row r="582" spans="1:14" ht="14.4" customHeight="1" x14ac:dyDescent="0.3">
      <c r="A582" s="2">
        <v>581</v>
      </c>
      <c r="B582" s="2">
        <v>2064911</v>
      </c>
      <c r="C582" s="2" t="s">
        <v>69</v>
      </c>
      <c r="D582" s="2">
        <v>90790484</v>
      </c>
      <c r="E582" s="2" t="s">
        <v>19</v>
      </c>
      <c r="F582" s="3">
        <v>46119</v>
      </c>
      <c r="G582" s="4">
        <v>58.41</v>
      </c>
      <c r="H582" s="4">
        <v>8.7609999999999992</v>
      </c>
      <c r="I582" s="4">
        <v>49.649000000000001</v>
      </c>
      <c r="J582" s="5">
        <f t="shared" si="18"/>
        <v>46.14439999999999</v>
      </c>
      <c r="K582" s="5">
        <v>45.558</v>
      </c>
      <c r="L582" s="5">
        <f t="shared" si="19"/>
        <v>0.58639999999999048</v>
      </c>
      <c r="M582" s="10">
        <v>46143</v>
      </c>
      <c r="N582" s="5"/>
    </row>
    <row r="583" spans="1:14" ht="14.4" customHeight="1" x14ac:dyDescent="0.3">
      <c r="A583" s="2">
        <v>583</v>
      </c>
      <c r="B583" s="2">
        <v>2064959</v>
      </c>
      <c r="C583" s="2" t="s">
        <v>33</v>
      </c>
      <c r="D583" s="2">
        <v>90789781</v>
      </c>
      <c r="E583" s="2" t="s">
        <v>19</v>
      </c>
      <c r="F583" s="3">
        <v>46120</v>
      </c>
      <c r="G583" s="4">
        <v>51.15</v>
      </c>
      <c r="H583" s="4">
        <v>7.6719999999999997</v>
      </c>
      <c r="I583" s="4">
        <v>43.478000000000002</v>
      </c>
      <c r="J583" s="5">
        <f t="shared" si="18"/>
        <v>40.408999999999999</v>
      </c>
      <c r="K583" s="5">
        <v>39.896999999999998</v>
      </c>
      <c r="L583" s="5">
        <f t="shared" si="19"/>
        <v>0.51200000000000045</v>
      </c>
      <c r="M583" s="10">
        <v>46143</v>
      </c>
      <c r="N583" s="5"/>
    </row>
    <row r="584" spans="1:14" ht="14.4" customHeight="1" x14ac:dyDescent="0.3">
      <c r="A584" s="2">
        <v>584</v>
      </c>
      <c r="B584" s="2">
        <v>1634499</v>
      </c>
      <c r="C584" s="2" t="s">
        <v>303</v>
      </c>
      <c r="D584" s="2">
        <v>90601972</v>
      </c>
      <c r="E584" s="2" t="s">
        <v>15</v>
      </c>
      <c r="F584" s="3">
        <v>46121</v>
      </c>
      <c r="G584" s="4">
        <v>23.24</v>
      </c>
      <c r="H584" s="4">
        <v>3.4860000000000002</v>
      </c>
      <c r="I584" s="4">
        <v>19.754000000000001</v>
      </c>
      <c r="J584" s="5">
        <f t="shared" si="18"/>
        <v>18.359599999999997</v>
      </c>
      <c r="K584" s="5">
        <v>18.126999999999999</v>
      </c>
      <c r="L584" s="5">
        <f t="shared" si="19"/>
        <v>0.23259999999999792</v>
      </c>
      <c r="M584" s="10">
        <v>46143</v>
      </c>
      <c r="N584" s="5"/>
    </row>
    <row r="585" spans="1:14" ht="14.4" customHeight="1" x14ac:dyDescent="0.3">
      <c r="A585" s="2">
        <v>585</v>
      </c>
      <c r="B585" s="2">
        <v>1995272</v>
      </c>
      <c r="C585" s="2" t="s">
        <v>207</v>
      </c>
      <c r="D585" s="2">
        <v>89821081</v>
      </c>
      <c r="E585" s="2" t="s">
        <v>15</v>
      </c>
      <c r="F585" s="3">
        <v>46123</v>
      </c>
      <c r="G585" s="4">
        <v>20.66</v>
      </c>
      <c r="H585" s="4">
        <v>3.0990000000000002</v>
      </c>
      <c r="I585" s="4">
        <v>17.561</v>
      </c>
      <c r="J585" s="5">
        <f t="shared" si="18"/>
        <v>16.321400000000001</v>
      </c>
      <c r="K585" s="5">
        <v>16.114999999999998</v>
      </c>
      <c r="L585" s="5">
        <f t="shared" si="19"/>
        <v>0.20640000000000214</v>
      </c>
      <c r="M585" s="10">
        <v>46143</v>
      </c>
      <c r="N585" s="5"/>
    </row>
    <row r="586" spans="1:14" ht="14.4" customHeight="1" x14ac:dyDescent="0.3">
      <c r="A586" s="2">
        <v>586</v>
      </c>
      <c r="B586" s="2">
        <v>1745813</v>
      </c>
      <c r="C586" s="2" t="s">
        <v>306</v>
      </c>
      <c r="D586" s="2">
        <v>89821075</v>
      </c>
      <c r="E586" s="2" t="s">
        <v>15</v>
      </c>
      <c r="F586" s="3">
        <v>46123</v>
      </c>
      <c r="G586" s="4">
        <v>67.31</v>
      </c>
      <c r="H586" s="4">
        <v>10.096</v>
      </c>
      <c r="I586" s="4">
        <v>57.213999999999999</v>
      </c>
      <c r="J586" s="5">
        <f t="shared" si="18"/>
        <v>53.175399999999996</v>
      </c>
      <c r="K586" s="5">
        <v>51.274000000000001</v>
      </c>
      <c r="L586" s="5">
        <f t="shared" si="19"/>
        <v>1.9013999999999953</v>
      </c>
      <c r="M586" s="10">
        <v>46143</v>
      </c>
      <c r="N586" s="5"/>
    </row>
    <row r="587" spans="1:14" ht="14.4" customHeight="1" x14ac:dyDescent="0.3">
      <c r="A587" s="2">
        <v>587</v>
      </c>
      <c r="B587" s="2">
        <v>2065069</v>
      </c>
      <c r="C587" s="2" t="s">
        <v>43</v>
      </c>
      <c r="D587" s="2">
        <v>90789802</v>
      </c>
      <c r="E587" s="2" t="s">
        <v>19</v>
      </c>
      <c r="F587" s="3">
        <v>46125</v>
      </c>
      <c r="G587" s="4">
        <v>38.15</v>
      </c>
      <c r="H587" s="4">
        <v>5.7220000000000004</v>
      </c>
      <c r="I587" s="4">
        <v>32.427999999999997</v>
      </c>
      <c r="J587" s="5">
        <f t="shared" si="18"/>
        <v>30.138999999999996</v>
      </c>
      <c r="K587" s="5">
        <v>29.756</v>
      </c>
      <c r="L587" s="5">
        <f t="shared" si="19"/>
        <v>0.38299999999999557</v>
      </c>
      <c r="M587" s="10">
        <v>46143</v>
      </c>
      <c r="N587" s="5"/>
    </row>
    <row r="588" spans="1:14" ht="14.4" customHeight="1" x14ac:dyDescent="0.3">
      <c r="A588" s="2">
        <v>588</v>
      </c>
      <c r="B588" s="2">
        <v>2011675</v>
      </c>
      <c r="C588" s="2" t="s">
        <v>354</v>
      </c>
      <c r="D588" s="2">
        <v>88320905</v>
      </c>
      <c r="E588" s="2" t="s">
        <v>19</v>
      </c>
      <c r="F588" s="3">
        <v>46126</v>
      </c>
      <c r="G588" s="4">
        <v>56.91</v>
      </c>
      <c r="H588" s="4">
        <v>11.382</v>
      </c>
      <c r="I588" s="4">
        <v>45.527999999999999</v>
      </c>
      <c r="J588" s="5">
        <f t="shared" si="18"/>
        <v>42.113399999999999</v>
      </c>
      <c r="K588" s="5">
        <v>41.543999999999997</v>
      </c>
      <c r="L588" s="5">
        <f t="shared" si="19"/>
        <v>0.56940000000000168</v>
      </c>
      <c r="M588" s="10">
        <v>46143</v>
      </c>
      <c r="N588" s="5"/>
    </row>
    <row r="589" spans="1:14" ht="14.4" customHeight="1" x14ac:dyDescent="0.3">
      <c r="A589" s="2">
        <v>590</v>
      </c>
      <c r="B589" s="2">
        <v>1849233</v>
      </c>
      <c r="C589" s="2" t="s">
        <v>355</v>
      </c>
      <c r="D589" s="2">
        <v>90828539</v>
      </c>
      <c r="E589" s="2" t="s">
        <v>19</v>
      </c>
      <c r="F589" s="3">
        <v>46127</v>
      </c>
      <c r="G589" s="4">
        <v>29.18</v>
      </c>
      <c r="H589" s="4">
        <v>5.8360000000000003</v>
      </c>
      <c r="I589" s="4">
        <v>23.344000000000001</v>
      </c>
      <c r="J589" s="5">
        <f t="shared" si="18"/>
        <v>21.593199999999996</v>
      </c>
      <c r="K589" s="5">
        <v>21.300999999999998</v>
      </c>
      <c r="L589" s="5">
        <f t="shared" si="19"/>
        <v>0.29219999999999757</v>
      </c>
      <c r="M589" s="10">
        <v>46143</v>
      </c>
      <c r="N589" s="5"/>
    </row>
    <row r="590" spans="1:14" ht="14.4" customHeight="1" x14ac:dyDescent="0.3">
      <c r="A590" s="2">
        <v>591</v>
      </c>
      <c r="B590" s="2">
        <v>2011682</v>
      </c>
      <c r="C590" s="2" t="s">
        <v>163</v>
      </c>
      <c r="D590" s="2">
        <v>88321341</v>
      </c>
      <c r="E590" s="2" t="s">
        <v>19</v>
      </c>
      <c r="F590" s="3">
        <v>46127</v>
      </c>
      <c r="G590" s="4">
        <v>49.72</v>
      </c>
      <c r="H590" s="4">
        <v>9.9440000000000008</v>
      </c>
      <c r="I590" s="4">
        <v>39.776000000000003</v>
      </c>
      <c r="J590" s="5">
        <f t="shared" si="18"/>
        <v>36.792799999999993</v>
      </c>
      <c r="K590" s="5">
        <v>36.295999999999999</v>
      </c>
      <c r="L590" s="5">
        <f t="shared" si="19"/>
        <v>0.49679999999999325</v>
      </c>
      <c r="M590" s="10">
        <v>46143</v>
      </c>
      <c r="N590" s="5"/>
    </row>
    <row r="591" spans="1:14" ht="14.4" customHeight="1" x14ac:dyDescent="0.3">
      <c r="A591" s="2">
        <v>589</v>
      </c>
      <c r="B591" s="2">
        <v>2011706</v>
      </c>
      <c r="C591" s="2" t="s">
        <v>174</v>
      </c>
      <c r="D591" s="2">
        <v>88321181</v>
      </c>
      <c r="E591" s="2" t="s">
        <v>15</v>
      </c>
      <c r="F591" s="3">
        <v>46127</v>
      </c>
      <c r="G591" s="4">
        <v>66.64</v>
      </c>
      <c r="H591" s="4">
        <v>13.327999999999999</v>
      </c>
      <c r="I591" s="4">
        <v>53.311999999999998</v>
      </c>
      <c r="J591" s="5">
        <f t="shared" si="18"/>
        <v>49.313599999999994</v>
      </c>
      <c r="K591" s="5">
        <v>48.646999999999998</v>
      </c>
      <c r="L591" s="5">
        <f t="shared" si="19"/>
        <v>0.66659999999999542</v>
      </c>
      <c r="M591" s="10">
        <v>46143</v>
      </c>
      <c r="N591" s="5"/>
    </row>
    <row r="592" spans="1:14" ht="14.4" customHeight="1" x14ac:dyDescent="0.3">
      <c r="A592" s="2">
        <v>594</v>
      </c>
      <c r="B592" s="2">
        <v>2011734</v>
      </c>
      <c r="C592" s="2" t="s">
        <v>357</v>
      </c>
      <c r="D592" s="2">
        <v>88321720</v>
      </c>
      <c r="E592" s="2" t="s">
        <v>19</v>
      </c>
      <c r="F592" s="3">
        <v>46128</v>
      </c>
      <c r="G592" s="4">
        <v>36.06</v>
      </c>
      <c r="H592" s="4">
        <v>7.2119999999999997</v>
      </c>
      <c r="I592" s="4">
        <v>28.847999999999999</v>
      </c>
      <c r="J592" s="5">
        <f t="shared" si="18"/>
        <v>26.6844</v>
      </c>
      <c r="K592" s="5">
        <v>26.323</v>
      </c>
      <c r="L592" s="5">
        <f t="shared" si="19"/>
        <v>0.36139999999999972</v>
      </c>
      <c r="M592" s="10">
        <v>46143</v>
      </c>
      <c r="N592" s="5"/>
    </row>
    <row r="593" spans="1:14" ht="14.4" customHeight="1" x14ac:dyDescent="0.3">
      <c r="A593" s="2">
        <v>592</v>
      </c>
      <c r="B593" s="2">
        <v>1988680</v>
      </c>
      <c r="C593" s="2" t="s">
        <v>29</v>
      </c>
      <c r="D593" s="2">
        <v>90786062</v>
      </c>
      <c r="E593" s="2" t="s">
        <v>19</v>
      </c>
      <c r="F593" s="3">
        <v>46128</v>
      </c>
      <c r="G593" s="4">
        <v>56.19</v>
      </c>
      <c r="H593" s="4">
        <v>8.4280000000000008</v>
      </c>
      <c r="I593" s="4">
        <v>47.762</v>
      </c>
      <c r="J593" s="5">
        <f t="shared" si="18"/>
        <v>44.390599999999992</v>
      </c>
      <c r="K593" s="5">
        <v>43.100999999999999</v>
      </c>
      <c r="L593" s="5">
        <f t="shared" si="19"/>
        <v>1.289599999999993</v>
      </c>
      <c r="M593" s="10">
        <v>46143</v>
      </c>
      <c r="N593" s="5"/>
    </row>
    <row r="594" spans="1:14" ht="14.4" customHeight="1" x14ac:dyDescent="0.3">
      <c r="A594" s="2">
        <v>593</v>
      </c>
      <c r="B594" s="2">
        <v>1988681</v>
      </c>
      <c r="C594" s="2" t="s">
        <v>356</v>
      </c>
      <c r="D594" s="2">
        <v>90784373</v>
      </c>
      <c r="E594" s="2" t="s">
        <v>15</v>
      </c>
      <c r="F594" s="3">
        <v>46128</v>
      </c>
      <c r="G594" s="4">
        <v>57.23</v>
      </c>
      <c r="H594" s="4">
        <v>8.5839999999999996</v>
      </c>
      <c r="I594" s="4">
        <v>48.646000000000001</v>
      </c>
      <c r="J594" s="5">
        <f t="shared" si="18"/>
        <v>45.212199999999996</v>
      </c>
      <c r="K594" s="5">
        <v>43.374000000000002</v>
      </c>
      <c r="L594" s="5">
        <f t="shared" si="19"/>
        <v>1.8381999999999934</v>
      </c>
      <c r="M594" s="10">
        <v>46143</v>
      </c>
      <c r="N594" s="5"/>
    </row>
    <row r="595" spans="1:14" ht="14.4" customHeight="1" x14ac:dyDescent="0.3">
      <c r="A595" s="2">
        <v>595</v>
      </c>
      <c r="B595" s="2">
        <v>1988642</v>
      </c>
      <c r="C595" s="2" t="s">
        <v>34</v>
      </c>
      <c r="D595" s="2">
        <v>90786053</v>
      </c>
      <c r="E595" s="2" t="s">
        <v>19</v>
      </c>
      <c r="F595" s="3">
        <v>46129</v>
      </c>
      <c r="G595" s="4">
        <v>48.03</v>
      </c>
      <c r="H595" s="4">
        <v>7.2039999999999997</v>
      </c>
      <c r="I595" s="4">
        <v>40.826000000000001</v>
      </c>
      <c r="J595" s="5">
        <f t="shared" si="18"/>
        <v>37.944199999999995</v>
      </c>
      <c r="K595" s="5">
        <v>37.462000000000003</v>
      </c>
      <c r="L595" s="5">
        <f t="shared" si="19"/>
        <v>0.48219999999999175</v>
      </c>
      <c r="M595" s="10">
        <v>46143</v>
      </c>
      <c r="N595" s="5"/>
    </row>
    <row r="596" spans="1:14" ht="14.4" customHeight="1" x14ac:dyDescent="0.3">
      <c r="A596" s="2">
        <v>597</v>
      </c>
      <c r="B596" s="2">
        <v>2064976</v>
      </c>
      <c r="C596" s="2" t="s">
        <v>358</v>
      </c>
      <c r="D596" s="2">
        <v>90790523</v>
      </c>
      <c r="E596" s="2" t="s">
        <v>19</v>
      </c>
      <c r="F596" s="3">
        <v>46130</v>
      </c>
      <c r="G596" s="4">
        <v>4.5999999999999996</v>
      </c>
      <c r="H596" s="4">
        <v>0.69</v>
      </c>
      <c r="I596" s="4">
        <v>3.91</v>
      </c>
      <c r="J596" s="5">
        <f t="shared" si="18"/>
        <v>3.6339999999999999</v>
      </c>
      <c r="K596" s="5">
        <v>3.5880000000000001</v>
      </c>
      <c r="L596" s="5">
        <f t="shared" si="19"/>
        <v>4.5999999999999819E-2</v>
      </c>
      <c r="M596" s="10">
        <v>46143</v>
      </c>
      <c r="N596" s="5"/>
    </row>
    <row r="597" spans="1:14" ht="14.4" customHeight="1" x14ac:dyDescent="0.3">
      <c r="A597" s="2">
        <v>596</v>
      </c>
      <c r="B597" s="2">
        <v>2011703</v>
      </c>
      <c r="C597" s="2" t="s">
        <v>169</v>
      </c>
      <c r="D597" s="2">
        <v>88321369</v>
      </c>
      <c r="E597" s="2" t="s">
        <v>19</v>
      </c>
      <c r="F597" s="3">
        <v>46130</v>
      </c>
      <c r="G597" s="4">
        <v>58.17</v>
      </c>
      <c r="H597" s="4">
        <v>11.634</v>
      </c>
      <c r="I597" s="4">
        <v>46.536000000000001</v>
      </c>
      <c r="J597" s="5">
        <f t="shared" si="18"/>
        <v>43.0458</v>
      </c>
      <c r="K597" s="5">
        <v>42.466999999999999</v>
      </c>
      <c r="L597" s="5">
        <f t="shared" si="19"/>
        <v>0.57880000000000109</v>
      </c>
      <c r="M597" s="10">
        <v>46143</v>
      </c>
      <c r="N597" s="5"/>
    </row>
    <row r="598" spans="1:14" ht="14.4" customHeight="1" x14ac:dyDescent="0.3">
      <c r="A598" s="2">
        <v>598</v>
      </c>
      <c r="B598" s="2">
        <v>794220</v>
      </c>
      <c r="C598" s="2" t="s">
        <v>105</v>
      </c>
      <c r="D598" s="2">
        <v>88797438</v>
      </c>
      <c r="E598" s="2" t="s">
        <v>15</v>
      </c>
      <c r="F598" s="3">
        <v>46131</v>
      </c>
      <c r="G598" s="4">
        <v>28.78</v>
      </c>
      <c r="H598" s="4">
        <v>2.8780000000000001</v>
      </c>
      <c r="I598" s="4">
        <v>25.902000000000001</v>
      </c>
      <c r="J598" s="5">
        <f t="shared" si="18"/>
        <v>24.1752</v>
      </c>
      <c r="K598" s="5">
        <v>23.887</v>
      </c>
      <c r="L598" s="5">
        <f t="shared" si="19"/>
        <v>0.28819999999999979</v>
      </c>
      <c r="M598" s="10">
        <v>46143</v>
      </c>
      <c r="N598" s="5"/>
    </row>
    <row r="599" spans="1:14" ht="14.4" customHeight="1" x14ac:dyDescent="0.3">
      <c r="A599" s="2">
        <v>600</v>
      </c>
      <c r="B599" s="2">
        <v>2002546</v>
      </c>
      <c r="C599" s="2" t="s">
        <v>359</v>
      </c>
      <c r="D599" s="2">
        <v>87331855</v>
      </c>
      <c r="E599" s="2" t="s">
        <v>15</v>
      </c>
      <c r="F599" s="3">
        <v>46132</v>
      </c>
      <c r="G599" s="4">
        <v>24.79</v>
      </c>
      <c r="H599" s="4">
        <v>0</v>
      </c>
      <c r="I599" s="4">
        <v>24.79</v>
      </c>
      <c r="J599" s="5">
        <f t="shared" si="18"/>
        <v>23.302599999999998</v>
      </c>
      <c r="K599" s="5">
        <v>23.053999999999998</v>
      </c>
      <c r="L599" s="5">
        <f t="shared" si="19"/>
        <v>0.24859999999999971</v>
      </c>
      <c r="M599" s="10">
        <v>46143</v>
      </c>
      <c r="N599" s="5"/>
    </row>
    <row r="600" spans="1:14" ht="14.4" customHeight="1" x14ac:dyDescent="0.3">
      <c r="A600" s="2">
        <v>599</v>
      </c>
      <c r="B600" s="2">
        <v>1876018</v>
      </c>
      <c r="C600" s="2" t="s">
        <v>249</v>
      </c>
      <c r="D600" s="2">
        <v>88579499</v>
      </c>
      <c r="E600" s="2" t="s">
        <v>19</v>
      </c>
      <c r="F600" s="3">
        <v>46132</v>
      </c>
      <c r="G600" s="4">
        <v>63.62</v>
      </c>
      <c r="H600" s="4">
        <v>12.724</v>
      </c>
      <c r="I600" s="4">
        <v>50.896000000000001</v>
      </c>
      <c r="J600" s="5">
        <f t="shared" si="18"/>
        <v>47.078800000000001</v>
      </c>
      <c r="K600" s="5">
        <v>46.442</v>
      </c>
      <c r="L600" s="5">
        <f t="shared" si="19"/>
        <v>0.63680000000000092</v>
      </c>
      <c r="M600" s="10">
        <v>46143</v>
      </c>
      <c r="N600" s="5"/>
    </row>
    <row r="601" spans="1:14" ht="14.4" customHeight="1" x14ac:dyDescent="0.3">
      <c r="A601" s="2">
        <v>602</v>
      </c>
      <c r="C601" s="2" t="s">
        <v>361</v>
      </c>
      <c r="D601" s="2">
        <v>90787578</v>
      </c>
      <c r="E601" s="2" t="s">
        <v>15</v>
      </c>
      <c r="F601" s="3">
        <v>46133</v>
      </c>
      <c r="G601" s="4">
        <v>20.69</v>
      </c>
      <c r="H601" s="4">
        <v>3.1030000000000002</v>
      </c>
      <c r="I601" s="4">
        <v>17.587</v>
      </c>
      <c r="J601" s="5">
        <f t="shared" si="18"/>
        <v>16.345599999999997</v>
      </c>
      <c r="K601" s="5">
        <v>16.137</v>
      </c>
      <c r="L601" s="5">
        <f t="shared" si="19"/>
        <v>0.20859999999999701</v>
      </c>
      <c r="M601" s="10">
        <v>46143</v>
      </c>
      <c r="N601" s="5"/>
    </row>
    <row r="602" spans="1:14" ht="14.4" customHeight="1" x14ac:dyDescent="0.3">
      <c r="A602" s="2">
        <v>601</v>
      </c>
      <c r="B602" s="2">
        <v>2011599</v>
      </c>
      <c r="C602" s="2" t="s">
        <v>179</v>
      </c>
      <c r="D602" s="2">
        <v>88321223</v>
      </c>
      <c r="E602" s="2" t="s">
        <v>19</v>
      </c>
      <c r="F602" s="3">
        <v>46133</v>
      </c>
      <c r="G602" s="4">
        <v>52.02</v>
      </c>
      <c r="H602" s="4">
        <v>10.404</v>
      </c>
      <c r="I602" s="4">
        <v>41.616</v>
      </c>
      <c r="J602" s="5">
        <f t="shared" si="18"/>
        <v>38.494799999999998</v>
      </c>
      <c r="K602" s="5">
        <v>37.973999999999997</v>
      </c>
      <c r="L602" s="5">
        <f t="shared" si="19"/>
        <v>0.52080000000000126</v>
      </c>
      <c r="M602" s="10">
        <v>46143</v>
      </c>
      <c r="N602" s="5"/>
    </row>
    <row r="603" spans="1:14" ht="14.4" customHeight="1" x14ac:dyDescent="0.3">
      <c r="A603" s="2">
        <v>603</v>
      </c>
      <c r="B603" s="2">
        <v>2049554</v>
      </c>
      <c r="C603" s="2" t="s">
        <v>360</v>
      </c>
      <c r="D603" s="2">
        <v>89884843</v>
      </c>
      <c r="E603" s="2" t="s">
        <v>15</v>
      </c>
      <c r="F603" s="3">
        <v>46133</v>
      </c>
      <c r="G603" s="4">
        <v>52.25</v>
      </c>
      <c r="H603" s="4">
        <v>5.2249999999999996</v>
      </c>
      <c r="I603" s="4">
        <v>47.024999999999999</v>
      </c>
      <c r="J603" s="5">
        <f t="shared" si="18"/>
        <v>43.889999999999993</v>
      </c>
      <c r="K603" s="5">
        <v>43.368000000000002</v>
      </c>
      <c r="L603" s="5">
        <f t="shared" si="19"/>
        <v>0.52199999999999136</v>
      </c>
      <c r="M603" s="10">
        <v>46143</v>
      </c>
      <c r="N603" s="5"/>
    </row>
    <row r="604" spans="1:14" ht="14.4" customHeight="1" x14ac:dyDescent="0.3">
      <c r="A604" s="2">
        <v>606</v>
      </c>
      <c r="B604" s="2">
        <v>2064948</v>
      </c>
      <c r="C604" s="2" t="s">
        <v>110</v>
      </c>
      <c r="D604" s="2">
        <v>90790506</v>
      </c>
      <c r="E604" s="2" t="s">
        <v>19</v>
      </c>
      <c r="F604" s="3">
        <v>46138</v>
      </c>
      <c r="G604" s="4">
        <v>22.56</v>
      </c>
      <c r="H604" s="4">
        <v>3.3839999999999999</v>
      </c>
      <c r="I604" s="4">
        <v>19.175999999999998</v>
      </c>
      <c r="J604" s="5">
        <f t="shared" si="18"/>
        <v>17.822399999999998</v>
      </c>
      <c r="K604" s="5">
        <v>17.596</v>
      </c>
      <c r="L604" s="5">
        <f t="shared" si="19"/>
        <v>0.22639999999999816</v>
      </c>
      <c r="M604" s="10">
        <v>46143</v>
      </c>
      <c r="N604" s="5"/>
    </row>
    <row r="605" spans="1:14" ht="14.4" customHeight="1" x14ac:dyDescent="0.3">
      <c r="A605" s="2">
        <v>604</v>
      </c>
      <c r="B605" s="2">
        <v>1902626</v>
      </c>
      <c r="C605" s="2" t="s">
        <v>362</v>
      </c>
      <c r="D605" s="2">
        <v>89801995</v>
      </c>
      <c r="E605" s="2" t="s">
        <v>15</v>
      </c>
      <c r="F605" s="3">
        <v>46138</v>
      </c>
      <c r="G605" s="4">
        <v>60.73</v>
      </c>
      <c r="H605" s="4">
        <v>12.146000000000001</v>
      </c>
      <c r="I605" s="4">
        <v>48.584000000000003</v>
      </c>
      <c r="J605" s="5">
        <f t="shared" si="18"/>
        <v>44.94019999999999</v>
      </c>
      <c r="K605" s="5">
        <v>44.332999999999998</v>
      </c>
      <c r="L605" s="5">
        <f t="shared" si="19"/>
        <v>0.60719999999999175</v>
      </c>
      <c r="M605" s="10">
        <v>46143</v>
      </c>
      <c r="N605" s="5"/>
    </row>
    <row r="606" spans="1:14" ht="14.4" customHeight="1" x14ac:dyDescent="0.3">
      <c r="A606" s="2">
        <v>605</v>
      </c>
      <c r="B606" s="2">
        <v>1963874</v>
      </c>
      <c r="C606" s="2" t="s">
        <v>208</v>
      </c>
      <c r="D606" s="2">
        <v>90173813</v>
      </c>
      <c r="E606" s="2" t="s">
        <v>19</v>
      </c>
      <c r="F606" s="3">
        <v>46138</v>
      </c>
      <c r="G606" s="4">
        <v>86.15</v>
      </c>
      <c r="H606" s="4">
        <v>0</v>
      </c>
      <c r="I606" s="4">
        <v>86.15</v>
      </c>
      <c r="J606" s="5">
        <f t="shared" si="18"/>
        <v>80.980999999999995</v>
      </c>
      <c r="K606" s="5">
        <v>80.119</v>
      </c>
      <c r="L606" s="5">
        <f t="shared" si="19"/>
        <v>0.86199999999999477</v>
      </c>
      <c r="M606" s="10">
        <v>46143</v>
      </c>
      <c r="N606" s="5"/>
    </row>
    <row r="607" spans="1:14" ht="14.4" customHeight="1" x14ac:dyDescent="0.3">
      <c r="A607" s="2">
        <v>607</v>
      </c>
      <c r="B607" s="2">
        <v>2011647</v>
      </c>
      <c r="C607" s="2" t="s">
        <v>364</v>
      </c>
      <c r="D607" s="2">
        <v>88321083</v>
      </c>
      <c r="E607" s="2" t="s">
        <v>19</v>
      </c>
      <c r="F607" s="3">
        <v>46139</v>
      </c>
      <c r="G607" s="4">
        <v>27.9</v>
      </c>
      <c r="H607" s="4">
        <v>5.58</v>
      </c>
      <c r="I607" s="4">
        <v>22.32</v>
      </c>
      <c r="J607" s="5">
        <f t="shared" si="18"/>
        <v>20.645999999999994</v>
      </c>
      <c r="K607" s="5">
        <v>20.366</v>
      </c>
      <c r="L607" s="5">
        <f t="shared" si="19"/>
        <v>0.27999999999999403</v>
      </c>
      <c r="M607" s="10">
        <v>46143</v>
      </c>
      <c r="N607" s="5"/>
    </row>
    <row r="608" spans="1:14" ht="14.4" customHeight="1" x14ac:dyDescent="0.3">
      <c r="A608" s="2">
        <v>608</v>
      </c>
      <c r="B608" s="2">
        <v>2011648</v>
      </c>
      <c r="C608" s="2" t="s">
        <v>363</v>
      </c>
      <c r="D608" s="2">
        <v>88321085</v>
      </c>
      <c r="E608" s="2" t="s">
        <v>15</v>
      </c>
      <c r="F608" s="3">
        <v>46139</v>
      </c>
      <c r="G608" s="4">
        <v>30.6</v>
      </c>
      <c r="H608" s="4">
        <v>6.12</v>
      </c>
      <c r="I608" s="4">
        <v>24.48</v>
      </c>
      <c r="J608" s="5">
        <f t="shared" si="18"/>
        <v>22.643999999999998</v>
      </c>
      <c r="K608" s="5">
        <v>22.337</v>
      </c>
      <c r="L608" s="5">
        <f t="shared" si="19"/>
        <v>0.30699999999999861</v>
      </c>
      <c r="M608" s="10">
        <v>46143</v>
      </c>
      <c r="N608" s="5"/>
    </row>
    <row r="609" spans="1:14" ht="14.4" customHeight="1" x14ac:dyDescent="0.3">
      <c r="A609" s="2">
        <v>609</v>
      </c>
      <c r="B609" s="2">
        <v>2065067</v>
      </c>
      <c r="C609" s="2" t="s">
        <v>365</v>
      </c>
      <c r="D609" s="2">
        <v>90787838</v>
      </c>
      <c r="E609" s="2" t="s">
        <v>15</v>
      </c>
      <c r="F609" s="3">
        <v>46139</v>
      </c>
      <c r="G609" s="4">
        <v>12.03</v>
      </c>
      <c r="H609" s="4">
        <v>1.804</v>
      </c>
      <c r="I609" s="4">
        <v>10.226000000000001</v>
      </c>
      <c r="J609" s="5">
        <f t="shared" si="18"/>
        <v>9.5041999999999991</v>
      </c>
      <c r="K609" s="5">
        <v>4.173</v>
      </c>
      <c r="L609" s="5">
        <f t="shared" si="19"/>
        <v>5.3311999999999991</v>
      </c>
      <c r="M609" s="10">
        <v>46143</v>
      </c>
      <c r="N609" s="5"/>
    </row>
    <row r="610" spans="1:14" ht="14.4" customHeight="1" x14ac:dyDescent="0.3">
      <c r="A610" s="2">
        <v>610</v>
      </c>
      <c r="B610" s="2">
        <v>2064949</v>
      </c>
      <c r="C610" s="2" t="s">
        <v>273</v>
      </c>
      <c r="D610" s="2">
        <v>90787579</v>
      </c>
      <c r="E610" s="2" t="s">
        <v>15</v>
      </c>
      <c r="F610" s="3">
        <v>46140</v>
      </c>
      <c r="G610" s="4">
        <v>4.12</v>
      </c>
      <c r="H610" s="4">
        <v>0.61799999999999999</v>
      </c>
      <c r="I610" s="4">
        <v>3.5019999999999998</v>
      </c>
      <c r="J610" s="5">
        <f t="shared" si="18"/>
        <v>3.2547999999999999</v>
      </c>
      <c r="K610" s="5">
        <v>3.214</v>
      </c>
      <c r="L610" s="5">
        <f t="shared" si="19"/>
        <v>4.0799999999999947E-2</v>
      </c>
      <c r="M610" s="10">
        <v>46143</v>
      </c>
      <c r="N610" s="5"/>
    </row>
    <row r="611" spans="1:14" ht="14.4" customHeight="1" x14ac:dyDescent="0.3">
      <c r="A611" s="2">
        <v>611</v>
      </c>
      <c r="B611" s="2">
        <v>2064887</v>
      </c>
      <c r="C611" s="2" t="s">
        <v>367</v>
      </c>
      <c r="D611" s="2">
        <v>90790473</v>
      </c>
      <c r="E611" s="2" t="s">
        <v>19</v>
      </c>
      <c r="F611" s="3">
        <v>46140</v>
      </c>
      <c r="G611" s="4">
        <v>18.91</v>
      </c>
      <c r="H611" s="4">
        <v>2.8359999999999999</v>
      </c>
      <c r="I611" s="4">
        <v>16.074000000000002</v>
      </c>
      <c r="J611" s="5">
        <f t="shared" si="18"/>
        <v>14.939399999999997</v>
      </c>
      <c r="K611" s="5">
        <v>14.75</v>
      </c>
      <c r="L611" s="5">
        <f t="shared" si="19"/>
        <v>0.18939999999999735</v>
      </c>
      <c r="M611" s="10">
        <v>46143</v>
      </c>
      <c r="N611" s="5"/>
    </row>
    <row r="612" spans="1:14" ht="14.4" customHeight="1" x14ac:dyDescent="0.3">
      <c r="A612" s="2">
        <v>612</v>
      </c>
      <c r="B612" s="2">
        <v>2064998</v>
      </c>
      <c r="C612" s="2" t="s">
        <v>366</v>
      </c>
      <c r="D612" s="2">
        <v>90790535</v>
      </c>
      <c r="E612" s="2" t="s">
        <v>19</v>
      </c>
      <c r="F612" s="3">
        <v>46140</v>
      </c>
      <c r="G612" s="4">
        <v>57.08</v>
      </c>
      <c r="H612" s="4">
        <v>8.5619999999999994</v>
      </c>
      <c r="I612" s="4">
        <v>48.518000000000001</v>
      </c>
      <c r="J612" s="5">
        <f t="shared" si="18"/>
        <v>45.093199999999996</v>
      </c>
      <c r="K612" s="5">
        <v>44.52</v>
      </c>
      <c r="L612" s="5">
        <f t="shared" si="19"/>
        <v>0.57319999999999283</v>
      </c>
      <c r="M612" s="10">
        <v>46143</v>
      </c>
      <c r="N612" s="5"/>
    </row>
    <row r="613" spans="1:14" ht="14.4" customHeight="1" x14ac:dyDescent="0.3">
      <c r="A613" s="2">
        <v>615</v>
      </c>
      <c r="B613" s="2">
        <v>1904564</v>
      </c>
      <c r="C613" s="2" t="s">
        <v>71</v>
      </c>
      <c r="D613" s="2">
        <v>89682891</v>
      </c>
      <c r="E613" s="2" t="s">
        <v>15</v>
      </c>
      <c r="F613" s="3">
        <v>46141</v>
      </c>
      <c r="G613" s="4">
        <v>34.549999999999997</v>
      </c>
      <c r="H613" s="4">
        <v>6.91</v>
      </c>
      <c r="I613" s="4">
        <v>27.64</v>
      </c>
      <c r="J613" s="5">
        <f t="shared" si="18"/>
        <v>25.566999999999997</v>
      </c>
      <c r="K613" s="5">
        <v>25.22</v>
      </c>
      <c r="L613" s="5">
        <f t="shared" si="19"/>
        <v>0.34699999999999775</v>
      </c>
      <c r="M613" s="10">
        <v>46143</v>
      </c>
      <c r="N613" s="5"/>
    </row>
    <row r="614" spans="1:14" ht="14.4" customHeight="1" x14ac:dyDescent="0.3">
      <c r="A614" s="2">
        <v>614</v>
      </c>
      <c r="B614" s="2">
        <v>1833948</v>
      </c>
      <c r="C614" s="2" t="s">
        <v>102</v>
      </c>
      <c r="D614" s="2">
        <v>89682877</v>
      </c>
      <c r="E614" s="2" t="s">
        <v>15</v>
      </c>
      <c r="F614" s="3">
        <v>46141</v>
      </c>
      <c r="G614" s="4">
        <v>39.07</v>
      </c>
      <c r="H614" s="4">
        <v>7.8140000000000001</v>
      </c>
      <c r="I614" s="4">
        <v>31.256</v>
      </c>
      <c r="J614" s="5">
        <f t="shared" si="18"/>
        <v>28.911799999999999</v>
      </c>
      <c r="K614" s="5">
        <v>28.521000000000001</v>
      </c>
      <c r="L614" s="5">
        <f t="shared" si="19"/>
        <v>0.3907999999999987</v>
      </c>
      <c r="M614" s="10">
        <v>46143</v>
      </c>
      <c r="N614" s="5"/>
    </row>
    <row r="615" spans="1:14" ht="14.4" customHeight="1" x14ac:dyDescent="0.3">
      <c r="A615" s="2">
        <v>613</v>
      </c>
      <c r="B615" s="2">
        <v>1833947</v>
      </c>
      <c r="C615" s="2" t="s">
        <v>59</v>
      </c>
      <c r="D615" s="2">
        <v>89682863</v>
      </c>
      <c r="E615" s="2" t="s">
        <v>19</v>
      </c>
      <c r="F615" s="3">
        <v>46141</v>
      </c>
      <c r="G615" s="4">
        <v>48.18</v>
      </c>
      <c r="H615" s="4">
        <v>9.6359999999999992</v>
      </c>
      <c r="I615" s="4">
        <v>38.543999999999997</v>
      </c>
      <c r="J615" s="5">
        <f t="shared" si="18"/>
        <v>35.653199999999998</v>
      </c>
      <c r="K615" s="5">
        <v>35.170999999999999</v>
      </c>
      <c r="L615" s="5">
        <f t="shared" si="19"/>
        <v>0.48219999999999885</v>
      </c>
      <c r="M615" s="10">
        <v>46143</v>
      </c>
      <c r="N615" s="5"/>
    </row>
    <row r="616" spans="1:14" ht="14.4" customHeight="1" x14ac:dyDescent="0.3">
      <c r="A616" s="2">
        <v>621</v>
      </c>
      <c r="B616" s="2">
        <v>1988663</v>
      </c>
      <c r="C616" s="2" t="s">
        <v>224</v>
      </c>
      <c r="D616" s="2">
        <v>90784340</v>
      </c>
      <c r="E616" s="2" t="s">
        <v>15</v>
      </c>
      <c r="F616" s="3">
        <v>46145</v>
      </c>
      <c r="G616" s="4">
        <v>19.690000000000001</v>
      </c>
      <c r="H616" s="4">
        <v>2.9529999999999998</v>
      </c>
      <c r="I616" s="4">
        <v>16.736999999999998</v>
      </c>
      <c r="J616" s="5">
        <f t="shared" si="18"/>
        <v>15.555600000000002</v>
      </c>
      <c r="K616" s="5">
        <v>15.978</v>
      </c>
      <c r="L616" s="5">
        <f t="shared" si="19"/>
        <v>-0.42239999999999789</v>
      </c>
      <c r="M616" s="10">
        <v>46175</v>
      </c>
      <c r="N616" s="5"/>
    </row>
    <row r="617" spans="1:14" ht="14.4" customHeight="1" x14ac:dyDescent="0.3">
      <c r="A617" s="2">
        <v>616</v>
      </c>
      <c r="B617" s="2">
        <v>2064976</v>
      </c>
      <c r="C617" s="2" t="s">
        <v>358</v>
      </c>
      <c r="D617" s="2">
        <v>90790524</v>
      </c>
      <c r="E617" s="2" t="s">
        <v>19</v>
      </c>
      <c r="F617" s="3">
        <v>46145</v>
      </c>
      <c r="G617" s="4">
        <v>1.99</v>
      </c>
      <c r="H617" s="4">
        <v>0.29799999999999999</v>
      </c>
      <c r="I617" s="4">
        <v>1.6919999999999999</v>
      </c>
      <c r="J617" s="5">
        <f t="shared" si="18"/>
        <v>1.5725999999999998</v>
      </c>
      <c r="K617" s="5">
        <v>1.552</v>
      </c>
      <c r="L617" s="5">
        <f t="shared" si="19"/>
        <v>2.059999999999973E-2</v>
      </c>
      <c r="M617" s="10">
        <v>46175</v>
      </c>
      <c r="N617" s="5"/>
    </row>
    <row r="618" spans="1:14" ht="14.4" customHeight="1" x14ac:dyDescent="0.3">
      <c r="A618" s="2">
        <v>620</v>
      </c>
      <c r="B618" s="2">
        <v>1988565</v>
      </c>
      <c r="C618" s="2" t="s">
        <v>352</v>
      </c>
      <c r="D618" s="2">
        <v>90786501</v>
      </c>
      <c r="E618" s="2" t="s">
        <v>19</v>
      </c>
      <c r="F618" s="3">
        <v>46145</v>
      </c>
      <c r="G618" s="4">
        <v>16.2</v>
      </c>
      <c r="H618" s="4">
        <v>2.4300000000000002</v>
      </c>
      <c r="I618" s="4">
        <v>13.77</v>
      </c>
      <c r="J618" s="5">
        <f t="shared" si="18"/>
        <v>12.797999999999998</v>
      </c>
      <c r="K618" s="5">
        <v>12.635999999999999</v>
      </c>
      <c r="L618" s="5">
        <f t="shared" si="19"/>
        <v>0.16199999999999903</v>
      </c>
      <c r="M618" s="10">
        <v>46175</v>
      </c>
      <c r="N618" s="5"/>
    </row>
    <row r="619" spans="1:14" ht="14.4" customHeight="1" x14ac:dyDescent="0.3">
      <c r="A619" s="2">
        <v>618</v>
      </c>
      <c r="B619" s="2">
        <v>2011702</v>
      </c>
      <c r="C619" s="2" t="s">
        <v>262</v>
      </c>
      <c r="D619" s="2">
        <v>88321174</v>
      </c>
      <c r="E619" s="2" t="s">
        <v>19</v>
      </c>
      <c r="F619" s="3">
        <v>46145</v>
      </c>
      <c r="G619" s="4">
        <v>32.950000000000003</v>
      </c>
      <c r="H619" s="4">
        <v>6.59</v>
      </c>
      <c r="I619" s="4">
        <v>26.36</v>
      </c>
      <c r="J619" s="5">
        <f t="shared" si="18"/>
        <v>24.383000000000003</v>
      </c>
      <c r="K619" s="5">
        <v>24.053000000000001</v>
      </c>
      <c r="L619" s="5">
        <f t="shared" si="19"/>
        <v>0.33000000000000185</v>
      </c>
      <c r="M619" s="10">
        <v>46175</v>
      </c>
      <c r="N619" s="5"/>
    </row>
    <row r="620" spans="1:14" ht="14.4" customHeight="1" x14ac:dyDescent="0.3">
      <c r="A620" s="2">
        <v>619</v>
      </c>
      <c r="B620" s="2">
        <v>2011675</v>
      </c>
      <c r="C620" s="2" t="s">
        <v>354</v>
      </c>
      <c r="D620" s="2">
        <v>88321137</v>
      </c>
      <c r="E620" s="2" t="s">
        <v>19</v>
      </c>
      <c r="F620" s="3">
        <v>46145</v>
      </c>
      <c r="G620" s="4">
        <v>34.33</v>
      </c>
      <c r="H620" s="4">
        <v>6.8659999999999997</v>
      </c>
      <c r="I620" s="4">
        <v>27.463999999999999</v>
      </c>
      <c r="J620" s="5">
        <f t="shared" si="18"/>
        <v>25.404199999999996</v>
      </c>
      <c r="K620" s="5">
        <v>25.061</v>
      </c>
      <c r="L620" s="5">
        <f t="shared" si="19"/>
        <v>0.34319999999999595</v>
      </c>
      <c r="M620" s="10">
        <v>46175</v>
      </c>
      <c r="N620" s="5"/>
    </row>
    <row r="621" spans="1:14" ht="14.4" customHeight="1" x14ac:dyDescent="0.3">
      <c r="A621" s="2">
        <v>617</v>
      </c>
      <c r="B621" s="2">
        <v>2011701</v>
      </c>
      <c r="C621" s="2" t="s">
        <v>368</v>
      </c>
      <c r="D621" s="2">
        <v>88321635</v>
      </c>
      <c r="E621" s="2" t="s">
        <v>15</v>
      </c>
      <c r="F621" s="3">
        <v>46145</v>
      </c>
      <c r="G621" s="4">
        <v>18.940000000000001</v>
      </c>
      <c r="H621" s="4">
        <v>3.7879999999999998</v>
      </c>
      <c r="I621" s="4">
        <v>15.151999999999999</v>
      </c>
      <c r="J621" s="5">
        <f t="shared" si="18"/>
        <v>14.015599999999999</v>
      </c>
      <c r="K621" s="5">
        <v>5.7450000000000001</v>
      </c>
      <c r="L621" s="5">
        <f t="shared" si="19"/>
        <v>8.2705999999999982</v>
      </c>
      <c r="M621" s="10">
        <v>46175</v>
      </c>
      <c r="N621" s="5"/>
    </row>
    <row r="622" spans="1:14" ht="14.4" customHeight="1" x14ac:dyDescent="0.3">
      <c r="A622" s="2">
        <v>622</v>
      </c>
      <c r="B622" s="2">
        <v>794218</v>
      </c>
      <c r="C622" s="2" t="s">
        <v>369</v>
      </c>
      <c r="D622" s="2">
        <v>88797449</v>
      </c>
      <c r="E622" s="2" t="s">
        <v>15</v>
      </c>
      <c r="F622" s="3">
        <v>46148</v>
      </c>
      <c r="G622" s="4">
        <v>43.86</v>
      </c>
      <c r="H622" s="4">
        <v>4.3860000000000001</v>
      </c>
      <c r="I622" s="4">
        <v>39.473999999999997</v>
      </c>
      <c r="J622" s="5">
        <f t="shared" si="18"/>
        <v>36.842399999999998</v>
      </c>
      <c r="K622" s="5">
        <v>36.404000000000003</v>
      </c>
      <c r="L622" s="5">
        <f t="shared" si="19"/>
        <v>0.43839999999999435</v>
      </c>
      <c r="M622" s="10">
        <v>46175</v>
      </c>
      <c r="N622" s="5"/>
    </row>
    <row r="623" spans="1:14" ht="14.4" customHeight="1" x14ac:dyDescent="0.3">
      <c r="A623" s="2">
        <v>623</v>
      </c>
      <c r="B623" s="2">
        <v>1988642</v>
      </c>
      <c r="C623" s="2" t="s">
        <v>317</v>
      </c>
      <c r="D623" s="2">
        <v>90786054</v>
      </c>
      <c r="E623" s="2" t="s">
        <v>19</v>
      </c>
      <c r="F623" s="3">
        <v>46149</v>
      </c>
      <c r="G623" s="4">
        <v>20.07</v>
      </c>
      <c r="H623" s="4">
        <v>3.01</v>
      </c>
      <c r="I623" s="4">
        <v>17.059999999999999</v>
      </c>
      <c r="J623" s="5">
        <f t="shared" si="18"/>
        <v>15.8558</v>
      </c>
      <c r="K623" s="5">
        <v>2.1440000000000001</v>
      </c>
      <c r="L623" s="5">
        <f t="shared" si="19"/>
        <v>13.7118</v>
      </c>
      <c r="M623" s="10">
        <v>46175</v>
      </c>
      <c r="N623" s="5"/>
    </row>
    <row r="624" spans="1:14" ht="14.4" customHeight="1" x14ac:dyDescent="0.3">
      <c r="A624" s="2">
        <v>624</v>
      </c>
      <c r="B624" s="2">
        <v>2011668</v>
      </c>
      <c r="C624" s="2" t="s">
        <v>287</v>
      </c>
      <c r="D624" s="2">
        <v>88321124</v>
      </c>
      <c r="E624" s="2" t="s">
        <v>19</v>
      </c>
      <c r="F624" s="3">
        <v>46151</v>
      </c>
      <c r="G624" s="4">
        <v>48.01</v>
      </c>
      <c r="H624" s="4">
        <v>9.6020000000000003</v>
      </c>
      <c r="I624" s="4">
        <v>38.408000000000001</v>
      </c>
      <c r="J624" s="5">
        <f t="shared" si="18"/>
        <v>35.5274</v>
      </c>
      <c r="K624" s="5">
        <v>35.046999999999997</v>
      </c>
      <c r="L624" s="5">
        <f t="shared" si="19"/>
        <v>0.48040000000000305</v>
      </c>
      <c r="M624" s="10">
        <v>46175</v>
      </c>
      <c r="N624" s="5"/>
    </row>
    <row r="625" spans="1:14" ht="14.4" customHeight="1" x14ac:dyDescent="0.3">
      <c r="A625" s="2">
        <v>625</v>
      </c>
      <c r="B625" s="2">
        <v>1745811</v>
      </c>
      <c r="C625" s="2" t="s">
        <v>370</v>
      </c>
      <c r="D625" s="2">
        <v>89821079</v>
      </c>
      <c r="E625" s="2" t="s">
        <v>15</v>
      </c>
      <c r="F625" s="3">
        <v>46152</v>
      </c>
      <c r="G625" s="4">
        <v>6.68</v>
      </c>
      <c r="H625" s="4">
        <v>1.002</v>
      </c>
      <c r="I625" s="4">
        <v>5.6779999999999999</v>
      </c>
      <c r="J625" s="5">
        <f t="shared" si="18"/>
        <v>5.2771999999999997</v>
      </c>
      <c r="K625" s="5">
        <v>5.2089999999999996</v>
      </c>
      <c r="L625" s="5">
        <f t="shared" si="19"/>
        <v>6.8200000000000038E-2</v>
      </c>
      <c r="M625" s="10">
        <v>46175</v>
      </c>
      <c r="N625" s="5"/>
    </row>
    <row r="626" spans="1:14" ht="14.4" customHeight="1" x14ac:dyDescent="0.3">
      <c r="A626" s="2">
        <v>627</v>
      </c>
      <c r="B626" s="2">
        <v>1848941</v>
      </c>
      <c r="C626" s="2" t="s">
        <v>372</v>
      </c>
      <c r="D626" s="2">
        <v>90874801</v>
      </c>
      <c r="E626" s="2" t="s">
        <v>19</v>
      </c>
      <c r="F626" s="3">
        <v>46155</v>
      </c>
      <c r="G626" s="4">
        <v>6.47</v>
      </c>
      <c r="H626" s="4">
        <v>1.294</v>
      </c>
      <c r="I626" s="4">
        <v>5.1760000000000002</v>
      </c>
      <c r="J626" s="5">
        <f t="shared" si="18"/>
        <v>4.7877999999999989</v>
      </c>
      <c r="K626" s="5">
        <v>4.7229999999999999</v>
      </c>
      <c r="L626" s="5">
        <f t="shared" si="19"/>
        <v>6.4799999999999081E-2</v>
      </c>
      <c r="M626" s="10">
        <v>46175</v>
      </c>
      <c r="N626" s="5"/>
    </row>
    <row r="627" spans="1:14" ht="14.4" customHeight="1" x14ac:dyDescent="0.3">
      <c r="A627" s="2">
        <v>626</v>
      </c>
      <c r="B627" s="2">
        <v>2011713</v>
      </c>
      <c r="C627" s="2" t="s">
        <v>371</v>
      </c>
      <c r="D627" s="2">
        <v>88321186</v>
      </c>
      <c r="E627" s="2" t="s">
        <v>15</v>
      </c>
      <c r="F627" s="3">
        <v>46155</v>
      </c>
      <c r="G627" s="4">
        <v>50.49</v>
      </c>
      <c r="H627" s="4">
        <v>10.098000000000001</v>
      </c>
      <c r="I627" s="4">
        <v>40.392000000000003</v>
      </c>
      <c r="J627" s="5">
        <f t="shared" si="18"/>
        <v>37.3626</v>
      </c>
      <c r="K627" s="5">
        <v>36.857999999999997</v>
      </c>
      <c r="L627" s="5">
        <f t="shared" si="19"/>
        <v>0.50460000000000349</v>
      </c>
      <c r="M627" s="10">
        <v>46175</v>
      </c>
      <c r="N627" s="5"/>
    </row>
    <row r="628" spans="1:14" ht="14.4" customHeight="1" x14ac:dyDescent="0.3">
      <c r="A628" s="2">
        <v>628</v>
      </c>
      <c r="B628" s="2">
        <v>2011707</v>
      </c>
      <c r="C628" s="2" t="s">
        <v>373</v>
      </c>
      <c r="D628" s="2">
        <v>88322039</v>
      </c>
      <c r="E628" s="2" t="s">
        <v>19</v>
      </c>
      <c r="F628" s="3">
        <v>46156</v>
      </c>
      <c r="G628" s="4">
        <v>59.75</v>
      </c>
      <c r="H628" s="4">
        <v>11.95</v>
      </c>
      <c r="I628" s="4">
        <v>47.8</v>
      </c>
      <c r="J628" s="5">
        <f t="shared" si="18"/>
        <v>44.215000000000003</v>
      </c>
      <c r="K628" s="5">
        <v>43.616999999999997</v>
      </c>
      <c r="L628" s="5">
        <f t="shared" si="19"/>
        <v>0.59800000000000608</v>
      </c>
      <c r="M628" s="10">
        <v>46175</v>
      </c>
      <c r="N628" s="5"/>
    </row>
    <row r="629" spans="1:14" ht="14.4" customHeight="1" x14ac:dyDescent="0.3">
      <c r="A629" s="2">
        <v>629</v>
      </c>
      <c r="B629" s="2">
        <v>1939766</v>
      </c>
      <c r="C629" s="2" t="s">
        <v>129</v>
      </c>
      <c r="D629" s="2">
        <v>88463947</v>
      </c>
      <c r="E629" s="2" t="s">
        <v>19</v>
      </c>
      <c r="F629" s="3">
        <v>46158</v>
      </c>
      <c r="G629" s="4">
        <v>8.57</v>
      </c>
      <c r="H629" s="4">
        <v>2.5710000000000002</v>
      </c>
      <c r="I629" s="4">
        <v>5.9989999999999997</v>
      </c>
      <c r="J629" s="5">
        <f t="shared" si="18"/>
        <v>5.4847999999999999</v>
      </c>
      <c r="K629" s="5">
        <v>5.4020000000000001</v>
      </c>
      <c r="L629" s="5">
        <f t="shared" si="19"/>
        <v>8.2799999999999763E-2</v>
      </c>
      <c r="M629" s="10">
        <v>46175</v>
      </c>
      <c r="N629" s="5"/>
    </row>
    <row r="630" spans="1:14" ht="14.4" customHeight="1" x14ac:dyDescent="0.3">
      <c r="A630" s="2">
        <v>630</v>
      </c>
      <c r="B630" s="2">
        <v>1813359</v>
      </c>
      <c r="C630" s="2" t="s">
        <v>375</v>
      </c>
      <c r="D630" s="2">
        <v>88543044</v>
      </c>
      <c r="E630" s="2" t="s">
        <v>19</v>
      </c>
      <c r="F630" s="3">
        <v>46159</v>
      </c>
      <c r="G630" s="4">
        <v>32.68</v>
      </c>
      <c r="H630" s="4">
        <v>0</v>
      </c>
      <c r="I630" s="4">
        <v>32.68</v>
      </c>
      <c r="J630" s="5">
        <f t="shared" si="18"/>
        <v>30.719199999999997</v>
      </c>
      <c r="K630" s="5">
        <v>30.390999999999998</v>
      </c>
      <c r="L630" s="5">
        <f t="shared" si="19"/>
        <v>0.32819999999999894</v>
      </c>
      <c r="M630" s="10">
        <v>46175</v>
      </c>
      <c r="N630" s="5"/>
    </row>
    <row r="631" spans="1:14" ht="14.4" customHeight="1" x14ac:dyDescent="0.3">
      <c r="A631" s="2">
        <v>631</v>
      </c>
      <c r="B631" s="2">
        <v>1939766</v>
      </c>
      <c r="C631" s="2" t="s">
        <v>129</v>
      </c>
      <c r="D631" s="2" t="s">
        <v>374</v>
      </c>
      <c r="E631" s="2" t="s">
        <v>19</v>
      </c>
      <c r="F631" s="3">
        <v>46159</v>
      </c>
      <c r="G631" s="4">
        <v>41.31</v>
      </c>
      <c r="H631" s="4">
        <v>12.393000000000001</v>
      </c>
      <c r="I631" s="4">
        <v>28.917000000000002</v>
      </c>
      <c r="J631" s="5">
        <f t="shared" si="18"/>
        <v>26.438400000000001</v>
      </c>
      <c r="L631" s="5">
        <f t="shared" si="19"/>
        <v>26.438400000000001</v>
      </c>
      <c r="M631" s="5"/>
      <c r="N631" s="5"/>
    </row>
    <row r="632" spans="1:14" ht="14.4" customHeight="1" x14ac:dyDescent="0.3">
      <c r="A632" s="2">
        <v>632</v>
      </c>
      <c r="B632" s="2">
        <v>2064887</v>
      </c>
      <c r="C632" s="2" t="s">
        <v>367</v>
      </c>
      <c r="D632" s="2">
        <v>90790474</v>
      </c>
      <c r="E632" s="2" t="s">
        <v>19</v>
      </c>
      <c r="F632" s="3">
        <v>46160</v>
      </c>
      <c r="G632" s="4">
        <v>20.350000000000001</v>
      </c>
      <c r="H632" s="4">
        <v>3.052</v>
      </c>
      <c r="I632" s="4">
        <v>17.297999999999998</v>
      </c>
      <c r="J632" s="5">
        <f t="shared" si="18"/>
        <v>16.077000000000002</v>
      </c>
      <c r="K632" s="5">
        <v>15.871</v>
      </c>
      <c r="L632" s="5">
        <f t="shared" si="19"/>
        <v>0.20600000000000129</v>
      </c>
      <c r="M632" s="10">
        <v>46175</v>
      </c>
      <c r="N632" s="5"/>
    </row>
    <row r="633" spans="1:14" ht="14.4" customHeight="1" x14ac:dyDescent="0.3">
      <c r="A633" s="2">
        <v>633</v>
      </c>
      <c r="B633" s="2">
        <v>1904564</v>
      </c>
      <c r="C633" s="2" t="s">
        <v>71</v>
      </c>
      <c r="D633" s="2">
        <v>89682892</v>
      </c>
      <c r="E633" s="2" t="s">
        <v>15</v>
      </c>
      <c r="F633" s="3">
        <v>46161</v>
      </c>
      <c r="G633" s="4">
        <v>25.98</v>
      </c>
      <c r="H633" s="4">
        <v>5.1959999999999997</v>
      </c>
      <c r="I633" s="4">
        <v>20.783999999999999</v>
      </c>
      <c r="J633" s="5">
        <f t="shared" si="18"/>
        <v>19.225200000000001</v>
      </c>
      <c r="K633" s="5">
        <v>18.965</v>
      </c>
      <c r="L633" s="5">
        <f t="shared" si="19"/>
        <v>0.2602000000000011</v>
      </c>
      <c r="M633" s="10">
        <v>46175</v>
      </c>
      <c r="N633" s="5"/>
    </row>
    <row r="634" spans="1:14" ht="14.4" customHeight="1" x14ac:dyDescent="0.3">
      <c r="A634" s="2">
        <v>634</v>
      </c>
      <c r="B634" s="2">
        <v>1833948</v>
      </c>
      <c r="C634" s="2" t="s">
        <v>102</v>
      </c>
      <c r="D634" s="2">
        <v>89682878</v>
      </c>
      <c r="E634" s="2" t="s">
        <v>15</v>
      </c>
      <c r="F634" s="3">
        <v>46161</v>
      </c>
      <c r="G634" s="4">
        <v>41.26</v>
      </c>
      <c r="H634" s="4">
        <v>8.2520000000000007</v>
      </c>
      <c r="I634" s="4">
        <v>33.008000000000003</v>
      </c>
      <c r="J634" s="5">
        <f t="shared" si="18"/>
        <v>30.532399999999996</v>
      </c>
      <c r="K634" s="5">
        <v>30.119</v>
      </c>
      <c r="L634" s="5">
        <f t="shared" si="19"/>
        <v>0.41339999999999577</v>
      </c>
      <c r="M634" s="10">
        <v>46175</v>
      </c>
      <c r="N634" s="5"/>
    </row>
    <row r="635" spans="1:14" ht="14.4" customHeight="1" x14ac:dyDescent="0.3">
      <c r="A635" s="2">
        <v>635</v>
      </c>
      <c r="B635" s="2">
        <v>1833947</v>
      </c>
      <c r="C635" s="2" t="s">
        <v>59</v>
      </c>
      <c r="D635" s="2">
        <v>89682864</v>
      </c>
      <c r="E635" s="2" t="s">
        <v>19</v>
      </c>
      <c r="F635" s="3">
        <v>46161</v>
      </c>
      <c r="G635" s="4">
        <v>41.54</v>
      </c>
      <c r="H635" s="4">
        <v>8.3079999999999998</v>
      </c>
      <c r="I635" s="4">
        <v>33.231999999999999</v>
      </c>
      <c r="J635" s="5">
        <f t="shared" si="18"/>
        <v>30.739599999999996</v>
      </c>
      <c r="K635" s="5">
        <v>30.324000000000002</v>
      </c>
      <c r="L635" s="5">
        <f t="shared" si="19"/>
        <v>0.4155999999999942</v>
      </c>
      <c r="M635" s="10">
        <v>46175</v>
      </c>
      <c r="N635" s="5"/>
    </row>
    <row r="636" spans="1:14" ht="14.4" customHeight="1" x14ac:dyDescent="0.3">
      <c r="A636" s="2">
        <v>637</v>
      </c>
      <c r="B636" s="2">
        <v>1988584</v>
      </c>
      <c r="C636" s="2" t="s">
        <v>376</v>
      </c>
      <c r="D636" s="2">
        <v>907842881</v>
      </c>
      <c r="E636" s="2" t="s">
        <v>15</v>
      </c>
      <c r="F636" s="3">
        <v>46161</v>
      </c>
      <c r="G636" s="4">
        <v>11.3</v>
      </c>
      <c r="H636" s="4">
        <v>1.6950000000000001</v>
      </c>
      <c r="I636" s="4">
        <v>9.6050000000000004</v>
      </c>
      <c r="J636" s="5">
        <f t="shared" si="18"/>
        <v>8.9269999999999996</v>
      </c>
      <c r="L636" s="5">
        <f t="shared" si="19"/>
        <v>8.9269999999999996</v>
      </c>
      <c r="M636" s="5"/>
      <c r="N636" s="5"/>
    </row>
    <row r="637" spans="1:14" ht="14.4" customHeight="1" x14ac:dyDescent="0.3">
      <c r="A637" s="2">
        <v>636</v>
      </c>
      <c r="B637" s="2">
        <v>1988584</v>
      </c>
      <c r="C637" s="2" t="s">
        <v>376</v>
      </c>
      <c r="D637" s="2">
        <v>90784281</v>
      </c>
      <c r="E637" s="2" t="s">
        <v>15</v>
      </c>
      <c r="F637" s="3">
        <v>46161</v>
      </c>
      <c r="G637" s="4">
        <v>65.02</v>
      </c>
      <c r="H637" s="4">
        <v>9.7530000000000001</v>
      </c>
      <c r="I637" s="4">
        <v>55.267000000000003</v>
      </c>
      <c r="J637" s="5">
        <f t="shared" si="18"/>
        <v>51.365799999999993</v>
      </c>
      <c r="K637" s="5">
        <v>8.8140000000000001</v>
      </c>
      <c r="L637" s="5">
        <f t="shared" si="19"/>
        <v>42.551799999999993</v>
      </c>
      <c r="M637" s="10">
        <v>46175</v>
      </c>
      <c r="N637" s="5"/>
    </row>
    <row r="638" spans="1:14" ht="14.4" customHeight="1" x14ac:dyDescent="0.3">
      <c r="A638" s="2">
        <v>638</v>
      </c>
      <c r="B638" s="2">
        <v>1474537</v>
      </c>
      <c r="C638" s="2" t="s">
        <v>200</v>
      </c>
      <c r="D638" s="2">
        <v>90070239</v>
      </c>
      <c r="E638" s="2" t="s">
        <v>19</v>
      </c>
      <c r="F638" s="3">
        <v>46162</v>
      </c>
      <c r="G638" s="4">
        <v>45.83</v>
      </c>
      <c r="H638" s="4">
        <v>9.1660000000000004</v>
      </c>
      <c r="I638" s="4">
        <v>36.664000000000001</v>
      </c>
      <c r="J638" s="5">
        <f t="shared" si="18"/>
        <v>33.914199999999994</v>
      </c>
      <c r="K638" s="5">
        <v>33.456000000000003</v>
      </c>
      <c r="L638" s="5">
        <f t="shared" si="19"/>
        <v>0.45819999999999084</v>
      </c>
      <c r="M638" s="10">
        <v>46175</v>
      </c>
      <c r="N638" s="5"/>
    </row>
    <row r="639" spans="1:14" ht="14.4" customHeight="1" x14ac:dyDescent="0.3">
      <c r="A639" s="2">
        <v>639</v>
      </c>
      <c r="B639" s="2">
        <v>1809422</v>
      </c>
      <c r="C639" s="2" t="s">
        <v>131</v>
      </c>
      <c r="D639" s="2">
        <v>90070246</v>
      </c>
      <c r="E639" s="2" t="s">
        <v>15</v>
      </c>
      <c r="F639" s="3">
        <v>46162</v>
      </c>
      <c r="G639" s="4">
        <v>59.95</v>
      </c>
      <c r="H639" s="4">
        <v>11.99</v>
      </c>
      <c r="I639" s="4">
        <v>47.96</v>
      </c>
      <c r="J639" s="5">
        <f t="shared" si="18"/>
        <v>44.363</v>
      </c>
      <c r="K639" s="5">
        <v>43.762999999999998</v>
      </c>
      <c r="L639" s="5">
        <f t="shared" si="19"/>
        <v>0.60000000000000142</v>
      </c>
      <c r="M639" s="10">
        <v>46175</v>
      </c>
      <c r="N639" s="5"/>
    </row>
    <row r="640" spans="1:14" ht="14.4" customHeight="1" x14ac:dyDescent="0.3">
      <c r="A640" s="2">
        <v>641</v>
      </c>
      <c r="B640" s="2">
        <v>1876018</v>
      </c>
      <c r="C640" s="2" t="s">
        <v>377</v>
      </c>
      <c r="D640" s="2">
        <v>88579500</v>
      </c>
      <c r="E640" s="2" t="s">
        <v>19</v>
      </c>
      <c r="F640" s="3">
        <v>46163</v>
      </c>
      <c r="G640" s="4">
        <v>69.89</v>
      </c>
      <c r="H640" s="4">
        <v>13.978</v>
      </c>
      <c r="I640" s="4">
        <v>55.911999999999999</v>
      </c>
      <c r="J640" s="5">
        <f t="shared" si="18"/>
        <v>51.718600000000002</v>
      </c>
      <c r="K640" s="5">
        <v>51.048999999999999</v>
      </c>
      <c r="L640" s="5">
        <f t="shared" si="19"/>
        <v>0.66960000000000264</v>
      </c>
      <c r="M640" s="10">
        <v>46175</v>
      </c>
      <c r="N640" s="5"/>
    </row>
    <row r="641" spans="1:14" ht="14.4" customHeight="1" x14ac:dyDescent="0.3">
      <c r="A641" s="2">
        <v>640</v>
      </c>
      <c r="B641" s="2">
        <v>2049554</v>
      </c>
      <c r="C641" s="2" t="s">
        <v>378</v>
      </c>
      <c r="D641" s="2">
        <v>89887844</v>
      </c>
      <c r="E641" s="2" t="s">
        <v>15</v>
      </c>
      <c r="F641" s="3">
        <v>46163</v>
      </c>
      <c r="G641" s="4">
        <v>33.57</v>
      </c>
      <c r="H641" s="4">
        <v>3.3570000000000002</v>
      </c>
      <c r="I641" s="4">
        <v>30.213000000000001</v>
      </c>
      <c r="J641" s="5">
        <f t="shared" si="18"/>
        <v>28.198799999999999</v>
      </c>
      <c r="L641" s="5">
        <f t="shared" si="19"/>
        <v>28.198799999999999</v>
      </c>
      <c r="M641" s="5"/>
      <c r="N641" s="5"/>
    </row>
    <row r="642" spans="1:14" ht="14.4" customHeight="1" x14ac:dyDescent="0.3">
      <c r="A642" s="2">
        <v>642</v>
      </c>
      <c r="B642" s="2">
        <v>1876022</v>
      </c>
      <c r="C642" s="2" t="s">
        <v>379</v>
      </c>
      <c r="D642" s="2">
        <v>88579664</v>
      </c>
      <c r="E642" s="2" t="s">
        <v>19</v>
      </c>
      <c r="F642" s="3">
        <v>46164</v>
      </c>
      <c r="G642" s="4">
        <v>21.61</v>
      </c>
      <c r="H642" s="4">
        <v>4.3220000000000001</v>
      </c>
      <c r="I642" s="4">
        <v>17.288</v>
      </c>
      <c r="J642" s="5">
        <f t="shared" ref="J642:J676" si="20">G642*0.94-H642</f>
        <v>15.991399999999999</v>
      </c>
      <c r="K642" s="5">
        <v>15.775</v>
      </c>
      <c r="L642" s="5">
        <f t="shared" ref="L642:L676" si="21">J642-K642</f>
        <v>0.21639999999999837</v>
      </c>
      <c r="M642" s="10">
        <v>46175</v>
      </c>
      <c r="N642" s="5"/>
    </row>
    <row r="643" spans="1:14" ht="14.4" customHeight="1" x14ac:dyDescent="0.3">
      <c r="A643" s="2">
        <v>644</v>
      </c>
      <c r="B643" s="2">
        <v>2064869</v>
      </c>
      <c r="C643" s="2" t="s">
        <v>321</v>
      </c>
      <c r="D643" s="2">
        <v>90787420</v>
      </c>
      <c r="E643" s="2" t="s">
        <v>15</v>
      </c>
      <c r="F643" s="3">
        <v>46165</v>
      </c>
      <c r="G643" s="4">
        <v>49.18</v>
      </c>
      <c r="H643" s="4">
        <v>7.3769999999999998</v>
      </c>
      <c r="I643" s="4">
        <v>41.802999999999997</v>
      </c>
      <c r="J643" s="5">
        <f t="shared" si="20"/>
        <v>38.852199999999996</v>
      </c>
      <c r="K643" s="5">
        <v>38.357999999999997</v>
      </c>
      <c r="L643" s="5">
        <f t="shared" si="21"/>
        <v>0.49419999999999931</v>
      </c>
      <c r="M643" s="10">
        <v>46175</v>
      </c>
      <c r="N643" s="5"/>
    </row>
    <row r="644" spans="1:14" ht="14.4" customHeight="1" x14ac:dyDescent="0.3">
      <c r="A644" s="2">
        <v>643</v>
      </c>
      <c r="B644" s="2">
        <v>1840199</v>
      </c>
      <c r="C644" s="2" t="s">
        <v>91</v>
      </c>
      <c r="D644" s="2">
        <v>90625809</v>
      </c>
      <c r="E644" s="2" t="s">
        <v>19</v>
      </c>
      <c r="F644" s="3">
        <v>46165</v>
      </c>
      <c r="G644" s="4">
        <v>52.58</v>
      </c>
      <c r="H644" s="4">
        <v>7.8869999999999996</v>
      </c>
      <c r="I644" s="4">
        <v>44.692999999999998</v>
      </c>
      <c r="J644" s="5">
        <f t="shared" si="20"/>
        <v>41.538199999999996</v>
      </c>
      <c r="K644" s="5">
        <v>41.01</v>
      </c>
      <c r="L644" s="5">
        <f t="shared" si="21"/>
        <v>0.52819999999999823</v>
      </c>
      <c r="M644" s="10">
        <v>46175</v>
      </c>
      <c r="N644" s="5"/>
    </row>
    <row r="645" spans="1:14" ht="14.4" customHeight="1" x14ac:dyDescent="0.3">
      <c r="A645" s="2">
        <v>645</v>
      </c>
      <c r="B645" s="2">
        <v>1474537</v>
      </c>
      <c r="C645" s="2" t="s">
        <v>200</v>
      </c>
      <c r="D645" s="2">
        <v>90070241</v>
      </c>
      <c r="E645" s="2" t="s">
        <v>19</v>
      </c>
      <c r="F645" s="3">
        <v>46166</v>
      </c>
      <c r="G645" s="4">
        <v>34.1</v>
      </c>
      <c r="H645" s="4">
        <v>6.82</v>
      </c>
      <c r="I645" s="4">
        <v>27.28</v>
      </c>
      <c r="J645" s="5">
        <f t="shared" si="20"/>
        <v>25.234000000000002</v>
      </c>
      <c r="K645" s="5">
        <v>24.893000000000001</v>
      </c>
      <c r="L645" s="5">
        <f t="shared" si="21"/>
        <v>0.34100000000000108</v>
      </c>
      <c r="M645" s="10">
        <v>46175</v>
      </c>
      <c r="N645" s="5"/>
    </row>
    <row r="646" spans="1:14" ht="14.4" customHeight="1" x14ac:dyDescent="0.3">
      <c r="A646" s="2">
        <v>646</v>
      </c>
      <c r="B646" s="2">
        <v>2064939</v>
      </c>
      <c r="C646" s="2" t="s">
        <v>380</v>
      </c>
      <c r="D646" s="2">
        <v>90790500</v>
      </c>
      <c r="E646" s="2" t="s">
        <v>19</v>
      </c>
      <c r="F646" s="3">
        <v>46167</v>
      </c>
      <c r="G646" s="4">
        <v>6.33</v>
      </c>
      <c r="H646" s="4">
        <v>0.94899999999999995</v>
      </c>
      <c r="I646" s="4">
        <v>5.3810000000000002</v>
      </c>
      <c r="J646" s="5">
        <f t="shared" si="20"/>
        <v>5.0011999999999999</v>
      </c>
      <c r="K646" s="5">
        <v>4.9370000000000003</v>
      </c>
      <c r="L646" s="5">
        <f t="shared" si="21"/>
        <v>6.4199999999999591E-2</v>
      </c>
      <c r="M646" s="10">
        <v>46175</v>
      </c>
      <c r="N646" s="5"/>
    </row>
    <row r="647" spans="1:14" ht="14.4" customHeight="1" x14ac:dyDescent="0.3">
      <c r="A647" s="2">
        <v>647</v>
      </c>
      <c r="B647" s="2">
        <v>1988553</v>
      </c>
      <c r="C647" s="2" t="s">
        <v>139</v>
      </c>
      <c r="D647" s="2">
        <v>90784274</v>
      </c>
      <c r="E647" s="2" t="s">
        <v>15</v>
      </c>
      <c r="F647" s="3">
        <v>46168</v>
      </c>
      <c r="G647" s="4">
        <v>24.3</v>
      </c>
      <c r="H647" s="4">
        <v>3.645</v>
      </c>
      <c r="I647" s="4">
        <v>20.655000000000001</v>
      </c>
      <c r="J647" s="5">
        <f t="shared" si="20"/>
        <v>19.196999999999999</v>
      </c>
      <c r="K647" s="5">
        <v>37.789000000000001</v>
      </c>
      <c r="L647" s="5">
        <f t="shared" si="21"/>
        <v>-18.592000000000002</v>
      </c>
      <c r="M647" s="10">
        <v>46175</v>
      </c>
      <c r="N647" s="5"/>
    </row>
    <row r="648" spans="1:14" ht="14.4" customHeight="1" x14ac:dyDescent="0.3">
      <c r="A648" s="2">
        <v>649</v>
      </c>
      <c r="B648" s="2">
        <v>2040107</v>
      </c>
      <c r="C648" s="2" t="s">
        <v>382</v>
      </c>
      <c r="D648" s="2">
        <v>90786551</v>
      </c>
      <c r="E648" s="2" t="s">
        <v>15</v>
      </c>
      <c r="F648" s="3">
        <v>46168</v>
      </c>
      <c r="G648" s="4">
        <v>3.44</v>
      </c>
      <c r="H648" s="4">
        <v>0.51600000000000001</v>
      </c>
      <c r="I648" s="4">
        <v>2.9239999999999999</v>
      </c>
      <c r="J648" s="5">
        <f t="shared" si="20"/>
        <v>2.7175999999999996</v>
      </c>
      <c r="K648" s="5">
        <v>2.6920000000000002</v>
      </c>
      <c r="L648" s="5">
        <f t="shared" si="21"/>
        <v>2.5599999999999401E-2</v>
      </c>
      <c r="M648" s="10">
        <v>46175</v>
      </c>
      <c r="N648" s="5"/>
    </row>
    <row r="649" spans="1:14" ht="14.4" customHeight="1" x14ac:dyDescent="0.3">
      <c r="A649" s="2">
        <v>648</v>
      </c>
      <c r="B649" s="2">
        <v>1988557</v>
      </c>
      <c r="C649" s="2" t="s">
        <v>381</v>
      </c>
      <c r="D649" s="2">
        <v>90784265</v>
      </c>
      <c r="E649" s="2" t="s">
        <v>15</v>
      </c>
      <c r="F649" s="3">
        <v>46168</v>
      </c>
      <c r="G649" s="4">
        <v>58.96</v>
      </c>
      <c r="H649" s="4">
        <v>8.8439999999999994</v>
      </c>
      <c r="I649" s="4">
        <v>50.116</v>
      </c>
      <c r="J649" s="5">
        <f t="shared" si="20"/>
        <v>46.578399999999995</v>
      </c>
      <c r="K649" s="5">
        <v>45.988</v>
      </c>
      <c r="L649" s="5">
        <f t="shared" si="21"/>
        <v>0.59039999999999537</v>
      </c>
      <c r="M649" s="10">
        <v>46175</v>
      </c>
      <c r="N649" s="5"/>
    </row>
    <row r="650" spans="1:14" ht="14.4" customHeight="1" x14ac:dyDescent="0.3">
      <c r="A650" s="2">
        <v>650</v>
      </c>
      <c r="B650" s="2">
        <v>2064773</v>
      </c>
      <c r="C650" s="2" t="s">
        <v>383</v>
      </c>
      <c r="D650" s="2">
        <v>90789679</v>
      </c>
      <c r="E650" s="2" t="s">
        <v>19</v>
      </c>
      <c r="F650" s="3">
        <v>46170</v>
      </c>
      <c r="G650" s="4">
        <v>21.67</v>
      </c>
      <c r="H650" s="4">
        <v>3.25</v>
      </c>
      <c r="I650" s="4">
        <v>18.420000000000002</v>
      </c>
      <c r="J650" s="5">
        <f t="shared" si="20"/>
        <v>17.119800000000001</v>
      </c>
      <c r="K650" s="5">
        <v>16.905000000000001</v>
      </c>
      <c r="L650" s="5">
        <f t="shared" si="21"/>
        <v>0.21480000000000032</v>
      </c>
      <c r="M650" s="10">
        <v>46175</v>
      </c>
      <c r="N650" s="5"/>
    </row>
    <row r="651" spans="1:14" ht="14.4" customHeight="1" x14ac:dyDescent="0.3">
      <c r="A651" s="2">
        <v>651</v>
      </c>
      <c r="B651" s="2">
        <v>1849233</v>
      </c>
      <c r="C651" s="2" t="s">
        <v>384</v>
      </c>
      <c r="D651" s="2">
        <v>90828542</v>
      </c>
      <c r="E651" s="2" t="s">
        <v>19</v>
      </c>
      <c r="F651" s="3">
        <v>46172</v>
      </c>
      <c r="G651" s="4">
        <v>49.71</v>
      </c>
      <c r="H651" s="4">
        <v>4.9710000000000001</v>
      </c>
      <c r="I651" s="4">
        <v>44.738999999999997</v>
      </c>
      <c r="J651" s="5">
        <f t="shared" si="20"/>
        <v>41.756399999999999</v>
      </c>
      <c r="K651" s="5">
        <v>36.287999999999997</v>
      </c>
      <c r="L651" s="5">
        <f t="shared" si="21"/>
        <v>5.4684000000000026</v>
      </c>
      <c r="M651" s="10">
        <v>46175</v>
      </c>
      <c r="N651" s="5"/>
    </row>
    <row r="652" spans="1:14" ht="14.4" customHeight="1" x14ac:dyDescent="0.3">
      <c r="A652" s="2">
        <v>652</v>
      </c>
      <c r="B652" s="2">
        <v>1963874</v>
      </c>
      <c r="C652" s="2" t="s">
        <v>208</v>
      </c>
      <c r="D652" s="2">
        <v>90173814</v>
      </c>
      <c r="E652" s="2" t="s">
        <v>19</v>
      </c>
      <c r="F652" s="3">
        <v>46173</v>
      </c>
      <c r="G652" s="4">
        <v>91.58</v>
      </c>
      <c r="H652" s="4">
        <v>0</v>
      </c>
      <c r="I652" s="4">
        <v>91.58</v>
      </c>
      <c r="J652" s="5">
        <f t="shared" si="20"/>
        <v>86.0852</v>
      </c>
      <c r="K652" s="5">
        <v>85.271000000000001</v>
      </c>
      <c r="L652" s="5">
        <f t="shared" si="21"/>
        <v>0.81419999999999959</v>
      </c>
      <c r="M652" s="10">
        <v>46175</v>
      </c>
      <c r="N652" s="5"/>
    </row>
    <row r="653" spans="1:14" ht="14.4" customHeight="1" x14ac:dyDescent="0.3">
      <c r="A653" s="2">
        <v>653</v>
      </c>
      <c r="B653" s="2">
        <v>2011647</v>
      </c>
      <c r="C653" s="2" t="s">
        <v>364</v>
      </c>
      <c r="D653" s="2">
        <v>88321084</v>
      </c>
      <c r="E653" s="2" t="s">
        <v>19</v>
      </c>
      <c r="F653" s="3">
        <v>46174</v>
      </c>
      <c r="G653" s="4">
        <v>31.98</v>
      </c>
      <c r="H653" s="4">
        <v>6.3959999999999999</v>
      </c>
      <c r="I653" s="4">
        <v>25.584</v>
      </c>
      <c r="J653" s="5">
        <f t="shared" si="20"/>
        <v>23.665199999999999</v>
      </c>
      <c r="L653" s="5">
        <f t="shared" si="21"/>
        <v>23.665199999999999</v>
      </c>
      <c r="M653" s="5"/>
      <c r="N653" s="5"/>
    </row>
    <row r="654" spans="1:14" ht="14.4" customHeight="1" x14ac:dyDescent="0.3">
      <c r="A654" s="2">
        <v>654</v>
      </c>
      <c r="B654" s="2">
        <v>2011648</v>
      </c>
      <c r="C654" s="2" t="s">
        <v>385</v>
      </c>
      <c r="D654" s="2">
        <v>88321086</v>
      </c>
      <c r="E654" s="2" t="s">
        <v>15</v>
      </c>
      <c r="F654" s="3">
        <v>46174</v>
      </c>
      <c r="G654" s="4">
        <v>33.369999999999997</v>
      </c>
      <c r="H654" s="4">
        <v>6.6740000000000004</v>
      </c>
      <c r="I654" s="4">
        <v>26.696000000000002</v>
      </c>
      <c r="J654" s="5">
        <f t="shared" si="20"/>
        <v>24.693799999999996</v>
      </c>
      <c r="L654" s="5">
        <f t="shared" si="21"/>
        <v>24.693799999999996</v>
      </c>
      <c r="M654" s="5"/>
      <c r="N654" s="5"/>
    </row>
    <row r="655" spans="1:14" ht="14.4" customHeight="1" x14ac:dyDescent="0.3">
      <c r="A655" s="2">
        <v>655</v>
      </c>
      <c r="B655" s="2">
        <v>2011668</v>
      </c>
      <c r="C655" s="2" t="s">
        <v>287</v>
      </c>
      <c r="D655" s="2">
        <v>88321323</v>
      </c>
      <c r="E655" s="2" t="s">
        <v>19</v>
      </c>
      <c r="F655" s="3">
        <v>46174</v>
      </c>
      <c r="G655" s="4">
        <v>39.4</v>
      </c>
      <c r="H655" s="4">
        <v>7.88</v>
      </c>
      <c r="I655" s="4">
        <v>31.52</v>
      </c>
      <c r="J655" s="5">
        <f t="shared" si="20"/>
        <v>29.155999999999995</v>
      </c>
      <c r="L655" s="5">
        <f t="shared" si="21"/>
        <v>29.155999999999995</v>
      </c>
      <c r="M655" s="5"/>
      <c r="N655" s="5"/>
    </row>
    <row r="656" spans="1:14" ht="14.4" customHeight="1" x14ac:dyDescent="0.3">
      <c r="A656" s="2">
        <v>656</v>
      </c>
      <c r="B656" s="2">
        <v>2065069</v>
      </c>
      <c r="C656" s="2" t="s">
        <v>43</v>
      </c>
      <c r="D656" s="2">
        <v>90789803</v>
      </c>
      <c r="E656" s="2" t="s">
        <v>19</v>
      </c>
      <c r="F656" s="3">
        <v>46175</v>
      </c>
      <c r="G656" s="4">
        <v>58.68</v>
      </c>
      <c r="H656" s="4">
        <v>8.8019999999999996</v>
      </c>
      <c r="I656" s="4">
        <v>49.878</v>
      </c>
      <c r="J656" s="5">
        <f t="shared" si="20"/>
        <v>46.357199999999999</v>
      </c>
      <c r="L656" s="5">
        <f t="shared" si="21"/>
        <v>46.357199999999999</v>
      </c>
      <c r="M656" s="5"/>
      <c r="N656" s="5"/>
    </row>
    <row r="657" spans="1:14" ht="14.4" customHeight="1" x14ac:dyDescent="0.3">
      <c r="A657" s="2">
        <v>658</v>
      </c>
      <c r="B657" s="2">
        <v>1772245</v>
      </c>
      <c r="C657" s="2" t="s">
        <v>239</v>
      </c>
      <c r="D657" s="2">
        <v>90601969</v>
      </c>
      <c r="E657" s="2" t="s">
        <v>15</v>
      </c>
      <c r="F657" s="3">
        <v>46178</v>
      </c>
      <c r="G657" s="4">
        <v>27.48</v>
      </c>
      <c r="H657" s="4">
        <v>4.1219999999999999</v>
      </c>
      <c r="I657" s="4">
        <v>23.358000000000001</v>
      </c>
      <c r="J657" s="5">
        <f t="shared" si="20"/>
        <v>21.709199999999999</v>
      </c>
      <c r="L657" s="5">
        <f t="shared" si="21"/>
        <v>21.709199999999999</v>
      </c>
      <c r="M657" s="5"/>
      <c r="N657" s="5"/>
    </row>
    <row r="658" spans="1:14" ht="14.4" customHeight="1" x14ac:dyDescent="0.3">
      <c r="A658" s="2">
        <v>657</v>
      </c>
      <c r="B658" s="2">
        <v>2064888</v>
      </c>
      <c r="C658" s="2" t="s">
        <v>386</v>
      </c>
      <c r="D658" s="2">
        <v>90787460</v>
      </c>
      <c r="E658" s="2" t="s">
        <v>19</v>
      </c>
      <c r="F658" s="3">
        <v>46178</v>
      </c>
      <c r="G658" s="4">
        <v>27.85</v>
      </c>
      <c r="H658" s="4">
        <v>4.1769999999999996</v>
      </c>
      <c r="I658" s="4">
        <v>23.672999999999998</v>
      </c>
      <c r="J658" s="5">
        <f t="shared" si="20"/>
        <v>22.001999999999999</v>
      </c>
      <c r="L658" s="5">
        <f t="shared" si="21"/>
        <v>22.001999999999999</v>
      </c>
      <c r="M658" s="5"/>
      <c r="N658" s="5"/>
    </row>
    <row r="659" spans="1:14" ht="14.4" customHeight="1" x14ac:dyDescent="0.3">
      <c r="A659" s="2">
        <v>659</v>
      </c>
      <c r="B659" s="2">
        <v>2064927</v>
      </c>
      <c r="C659" s="2" t="s">
        <v>387</v>
      </c>
      <c r="D659" s="2">
        <v>90787524</v>
      </c>
      <c r="E659" s="2" t="s">
        <v>15</v>
      </c>
      <c r="F659" s="3">
        <v>46179</v>
      </c>
      <c r="G659" s="4">
        <v>38</v>
      </c>
      <c r="H659" s="4">
        <v>5.7</v>
      </c>
      <c r="I659" s="4">
        <v>32.299999999999997</v>
      </c>
      <c r="J659" s="5">
        <f t="shared" si="20"/>
        <v>30.02</v>
      </c>
      <c r="L659" s="5">
        <f t="shared" si="21"/>
        <v>30.02</v>
      </c>
      <c r="M659" s="5"/>
      <c r="N659" s="5"/>
    </row>
    <row r="660" spans="1:14" ht="14.4" customHeight="1" x14ac:dyDescent="0.3">
      <c r="A660" s="2">
        <v>660</v>
      </c>
      <c r="B660" s="2">
        <v>1862236</v>
      </c>
      <c r="C660" s="2" t="s">
        <v>242</v>
      </c>
      <c r="D660" s="2">
        <v>91890475</v>
      </c>
      <c r="E660" s="2" t="s">
        <v>15</v>
      </c>
      <c r="F660" s="3">
        <v>46180</v>
      </c>
      <c r="G660" s="4">
        <v>18.21</v>
      </c>
      <c r="H660" s="4">
        <v>0</v>
      </c>
      <c r="I660" s="4">
        <v>18.21</v>
      </c>
      <c r="J660" s="5">
        <f t="shared" si="20"/>
        <v>17.1174</v>
      </c>
      <c r="L660" s="5">
        <f t="shared" si="21"/>
        <v>17.1174</v>
      </c>
      <c r="M660" s="5"/>
      <c r="N660" s="5"/>
    </row>
    <row r="661" spans="1:14" ht="14.4" customHeight="1" x14ac:dyDescent="0.3">
      <c r="A661" s="2">
        <v>661</v>
      </c>
      <c r="B661" s="2">
        <v>1862234</v>
      </c>
      <c r="C661" s="2" t="s">
        <v>155</v>
      </c>
      <c r="D661" s="2">
        <v>91890523</v>
      </c>
      <c r="E661" s="2" t="s">
        <v>19</v>
      </c>
      <c r="F661" s="3">
        <v>46180</v>
      </c>
      <c r="G661" s="4">
        <v>24.91</v>
      </c>
      <c r="H661" s="4">
        <v>0</v>
      </c>
      <c r="I661" s="4">
        <v>24.91</v>
      </c>
      <c r="J661" s="5">
        <f t="shared" si="20"/>
        <v>23.415399999999998</v>
      </c>
      <c r="L661" s="5">
        <f t="shared" si="21"/>
        <v>23.415399999999998</v>
      </c>
      <c r="M661" s="5"/>
      <c r="N661" s="5"/>
    </row>
    <row r="662" spans="1:14" ht="14.4" customHeight="1" x14ac:dyDescent="0.3">
      <c r="A662" s="2">
        <v>662</v>
      </c>
      <c r="B662" s="2">
        <v>1862235</v>
      </c>
      <c r="C662" s="2" t="s">
        <v>292</v>
      </c>
      <c r="D662" s="2">
        <v>91890507</v>
      </c>
      <c r="E662" s="2" t="s">
        <v>15</v>
      </c>
      <c r="F662" s="3">
        <v>46180</v>
      </c>
      <c r="G662" s="4">
        <v>27.91</v>
      </c>
      <c r="H662" s="4">
        <v>0</v>
      </c>
      <c r="I662" s="4">
        <v>27.91</v>
      </c>
      <c r="J662" s="5">
        <f t="shared" si="20"/>
        <v>26.235399999999998</v>
      </c>
      <c r="L662" s="5">
        <f t="shared" si="21"/>
        <v>26.235399999999998</v>
      </c>
      <c r="M662" s="5"/>
      <c r="N662" s="5"/>
    </row>
    <row r="663" spans="1:14" ht="14.4" customHeight="1" x14ac:dyDescent="0.3">
      <c r="A663" s="2">
        <v>663</v>
      </c>
      <c r="B663" s="2">
        <v>1902625</v>
      </c>
      <c r="C663" s="2" t="s">
        <v>66</v>
      </c>
      <c r="D663" s="2">
        <v>89801986</v>
      </c>
      <c r="E663" s="2" t="s">
        <v>19</v>
      </c>
      <c r="F663" s="3">
        <v>46183</v>
      </c>
      <c r="G663" s="4">
        <v>62.95</v>
      </c>
      <c r="H663" s="4">
        <v>12.59</v>
      </c>
      <c r="I663" s="4">
        <v>50.36</v>
      </c>
      <c r="J663" s="5">
        <f t="shared" si="20"/>
        <v>46.582999999999998</v>
      </c>
      <c r="L663" s="5">
        <f t="shared" si="21"/>
        <v>46.582999999999998</v>
      </c>
      <c r="M663" s="5"/>
      <c r="N663" s="5"/>
    </row>
    <row r="664" spans="1:14" ht="14.4" customHeight="1" x14ac:dyDescent="0.3">
      <c r="A664" s="2">
        <v>664</v>
      </c>
      <c r="B664" s="2">
        <v>2011706</v>
      </c>
      <c r="C664" s="2" t="s">
        <v>174</v>
      </c>
      <c r="D664" s="2">
        <v>88321182</v>
      </c>
      <c r="E664" s="2" t="s">
        <v>15</v>
      </c>
      <c r="F664" s="3">
        <v>46186</v>
      </c>
      <c r="G664" s="4">
        <v>22.06</v>
      </c>
      <c r="H664" s="4">
        <v>4.4119999999999999</v>
      </c>
      <c r="I664" s="4">
        <v>17.648</v>
      </c>
      <c r="J664" s="5">
        <f t="shared" si="20"/>
        <v>16.324399999999997</v>
      </c>
      <c r="L664" s="5">
        <f t="shared" si="21"/>
        <v>16.324399999999997</v>
      </c>
      <c r="M664" s="5"/>
      <c r="N664" s="5"/>
    </row>
    <row r="665" spans="1:14" ht="14.4" customHeight="1" x14ac:dyDescent="0.3">
      <c r="A665" s="2">
        <v>665</v>
      </c>
      <c r="B665" s="2">
        <v>2077676</v>
      </c>
      <c r="C665" s="2" t="s">
        <v>388</v>
      </c>
      <c r="D665" s="2">
        <v>91815363</v>
      </c>
      <c r="E665" s="2" t="s">
        <v>15</v>
      </c>
      <c r="F665" s="3">
        <v>46186</v>
      </c>
      <c r="G665" s="4">
        <v>66.260000000000005</v>
      </c>
      <c r="H665" s="4">
        <v>13.252000000000001</v>
      </c>
      <c r="I665" s="4">
        <v>53.008000000000003</v>
      </c>
      <c r="J665" s="5">
        <f t="shared" si="20"/>
        <v>49.032399999999996</v>
      </c>
      <c r="L665" s="5">
        <f t="shared" si="21"/>
        <v>49.032399999999996</v>
      </c>
      <c r="M665" s="5"/>
      <c r="N665" s="5"/>
    </row>
    <row r="666" spans="1:14" ht="14.4" customHeight="1" x14ac:dyDescent="0.3">
      <c r="A666" s="2">
        <v>666</v>
      </c>
      <c r="B666" s="2">
        <v>2065027</v>
      </c>
      <c r="C666" s="2" t="s">
        <v>389</v>
      </c>
      <c r="D666" s="2">
        <v>90787737</v>
      </c>
      <c r="E666" s="2" t="s">
        <v>15</v>
      </c>
      <c r="F666" s="3">
        <v>46190</v>
      </c>
      <c r="G666" s="4">
        <v>52.06</v>
      </c>
      <c r="H666" s="4">
        <v>7.8090000000000002</v>
      </c>
      <c r="I666" s="4">
        <v>44.250999999999998</v>
      </c>
      <c r="J666" s="5">
        <f t="shared" si="20"/>
        <v>41.127400000000002</v>
      </c>
      <c r="L666" s="5">
        <f t="shared" si="21"/>
        <v>41.127400000000002</v>
      </c>
      <c r="M666" s="5"/>
      <c r="N666" s="5"/>
    </row>
    <row r="667" spans="1:14" ht="14.4" customHeight="1" x14ac:dyDescent="0.3">
      <c r="A667" s="2">
        <v>667</v>
      </c>
      <c r="B667" s="2">
        <v>2049554</v>
      </c>
      <c r="C667" s="2" t="s">
        <v>390</v>
      </c>
      <c r="D667" s="2">
        <v>89884845</v>
      </c>
      <c r="E667" s="2" t="s">
        <v>15</v>
      </c>
      <c r="F667" s="3">
        <v>46193</v>
      </c>
      <c r="G667" s="4">
        <v>28.73</v>
      </c>
      <c r="H667" s="4">
        <v>2.8730000000000002</v>
      </c>
      <c r="I667" s="4">
        <v>25.856999999999999</v>
      </c>
      <c r="J667" s="5">
        <f t="shared" si="20"/>
        <v>24.133199999999999</v>
      </c>
      <c r="L667" s="5">
        <f t="shared" si="21"/>
        <v>24.133199999999999</v>
      </c>
      <c r="M667" s="5"/>
      <c r="N667" s="5"/>
    </row>
    <row r="668" spans="1:14" ht="14.4" customHeight="1" x14ac:dyDescent="0.3">
      <c r="A668" s="2">
        <v>670</v>
      </c>
      <c r="B668" s="2">
        <v>2058297</v>
      </c>
      <c r="C668" s="2" t="s">
        <v>392</v>
      </c>
      <c r="D668" s="2">
        <v>88321646</v>
      </c>
      <c r="E668" s="2" t="s">
        <v>15</v>
      </c>
      <c r="F668" s="3">
        <v>46200</v>
      </c>
      <c r="G668" s="4">
        <v>24.97</v>
      </c>
      <c r="H668" s="4">
        <v>4.9939999999999998</v>
      </c>
      <c r="I668" s="4">
        <v>19.975999999999999</v>
      </c>
      <c r="J668" s="5">
        <f t="shared" si="20"/>
        <v>18.477799999999998</v>
      </c>
      <c r="L668" s="5">
        <f t="shared" si="21"/>
        <v>18.477799999999998</v>
      </c>
      <c r="M668" s="5"/>
      <c r="N668" s="5"/>
    </row>
    <row r="669" spans="1:14" ht="14.4" customHeight="1" x14ac:dyDescent="0.3">
      <c r="A669" s="2">
        <v>669</v>
      </c>
      <c r="B669" s="2">
        <v>2011613</v>
      </c>
      <c r="C669" s="2" t="s">
        <v>391</v>
      </c>
      <c r="D669" s="2">
        <v>88321247</v>
      </c>
      <c r="E669" s="2" t="s">
        <v>19</v>
      </c>
      <c r="F669" s="3">
        <v>46200</v>
      </c>
      <c r="G669" s="4">
        <v>65.69</v>
      </c>
      <c r="H669" s="4">
        <v>13.138</v>
      </c>
      <c r="I669" s="4">
        <v>52.552</v>
      </c>
      <c r="J669" s="5">
        <f t="shared" si="20"/>
        <v>48.610599999999998</v>
      </c>
      <c r="L669" s="5">
        <f t="shared" si="21"/>
        <v>48.610599999999998</v>
      </c>
      <c r="M669" s="5"/>
      <c r="N669" s="5"/>
    </row>
    <row r="670" spans="1:14" ht="14.4" customHeight="1" x14ac:dyDescent="0.3">
      <c r="A670" s="2">
        <v>668</v>
      </c>
      <c r="B670" s="2">
        <v>2011614</v>
      </c>
      <c r="C670" s="2" t="s">
        <v>264</v>
      </c>
      <c r="D670" s="2">
        <v>88321040</v>
      </c>
      <c r="E670" s="2" t="s">
        <v>15</v>
      </c>
      <c r="F670" s="3">
        <v>46200</v>
      </c>
      <c r="G670" s="4">
        <v>87.01</v>
      </c>
      <c r="H670" s="4">
        <v>17.402000000000001</v>
      </c>
      <c r="I670" s="4">
        <v>69.608000000000004</v>
      </c>
      <c r="J670" s="5">
        <f t="shared" si="20"/>
        <v>64.3874</v>
      </c>
      <c r="L670" s="5">
        <f t="shared" si="21"/>
        <v>64.3874</v>
      </c>
      <c r="M670" s="5"/>
      <c r="N670" s="5"/>
    </row>
    <row r="671" spans="1:14" ht="14.4" customHeight="1" x14ac:dyDescent="0.3">
      <c r="A671" s="2">
        <v>673</v>
      </c>
      <c r="B671" s="2">
        <v>1904564</v>
      </c>
      <c r="C671" s="2" t="s">
        <v>71</v>
      </c>
      <c r="D671" s="2">
        <v>89682893</v>
      </c>
      <c r="E671" s="2" t="s">
        <v>15</v>
      </c>
      <c r="F671" s="3">
        <v>46201</v>
      </c>
      <c r="G671" s="4">
        <v>25.35</v>
      </c>
      <c r="H671" s="4">
        <v>5.07</v>
      </c>
      <c r="I671" s="4">
        <v>20.28</v>
      </c>
      <c r="J671" s="5">
        <f t="shared" si="20"/>
        <v>18.759</v>
      </c>
      <c r="L671" s="5">
        <f t="shared" si="21"/>
        <v>18.759</v>
      </c>
      <c r="M671" s="5"/>
      <c r="N671" s="5"/>
    </row>
    <row r="672" spans="1:14" ht="14.4" customHeight="1" x14ac:dyDescent="0.3">
      <c r="A672" s="2">
        <v>672</v>
      </c>
      <c r="B672" s="2">
        <v>1833948</v>
      </c>
      <c r="C672" s="2" t="s">
        <v>102</v>
      </c>
      <c r="D672" s="2">
        <v>89682879</v>
      </c>
      <c r="E672" s="2" t="s">
        <v>15</v>
      </c>
      <c r="F672" s="3">
        <v>46201</v>
      </c>
      <c r="G672" s="4">
        <v>28.88</v>
      </c>
      <c r="H672" s="4">
        <v>5.7759999999999998</v>
      </c>
      <c r="I672" s="4">
        <v>23.103999999999999</v>
      </c>
      <c r="J672" s="5">
        <f t="shared" si="20"/>
        <v>21.371199999999998</v>
      </c>
      <c r="L672" s="5">
        <f t="shared" si="21"/>
        <v>21.371199999999998</v>
      </c>
      <c r="M672" s="5"/>
      <c r="N672" s="5"/>
    </row>
    <row r="673" spans="1:14" ht="14.4" customHeight="1" x14ac:dyDescent="0.3">
      <c r="A673" s="2">
        <v>671</v>
      </c>
      <c r="B673" s="2">
        <v>1833947</v>
      </c>
      <c r="C673" s="2" t="s">
        <v>59</v>
      </c>
      <c r="D673" s="2">
        <v>89682865</v>
      </c>
      <c r="E673" s="2" t="s">
        <v>19</v>
      </c>
      <c r="F673" s="3">
        <v>46201</v>
      </c>
      <c r="G673" s="4">
        <v>38.130000000000003</v>
      </c>
      <c r="H673" s="4">
        <v>7.6260000000000003</v>
      </c>
      <c r="I673" s="4">
        <v>30.504000000000001</v>
      </c>
      <c r="J673" s="5">
        <f t="shared" si="20"/>
        <v>28.216199999999997</v>
      </c>
      <c r="L673" s="5">
        <f t="shared" si="21"/>
        <v>28.216199999999997</v>
      </c>
      <c r="M673" s="5"/>
      <c r="N673" s="5"/>
    </row>
    <row r="674" spans="1:14" ht="14.4" customHeight="1" x14ac:dyDescent="0.3">
      <c r="A674" s="2">
        <v>674</v>
      </c>
      <c r="B674" s="2">
        <v>2064888</v>
      </c>
      <c r="C674" s="2" t="s">
        <v>386</v>
      </c>
      <c r="D674" s="2">
        <v>90787461</v>
      </c>
      <c r="E674" s="2" t="s">
        <v>19</v>
      </c>
      <c r="F674" s="3">
        <v>46201</v>
      </c>
      <c r="G674" s="4">
        <v>50.82</v>
      </c>
      <c r="H674" s="4">
        <v>7.6230000000000002</v>
      </c>
      <c r="I674" s="4">
        <v>43.197000000000003</v>
      </c>
      <c r="J674" s="5">
        <f t="shared" si="20"/>
        <v>40.147799999999997</v>
      </c>
      <c r="L674" s="5">
        <f t="shared" si="21"/>
        <v>40.147799999999997</v>
      </c>
      <c r="M674" s="5"/>
      <c r="N674" s="5"/>
    </row>
    <row r="675" spans="1:14" ht="14.4" customHeight="1" x14ac:dyDescent="0.3">
      <c r="A675" s="2">
        <v>676</v>
      </c>
      <c r="B675" s="2">
        <v>2011700</v>
      </c>
      <c r="C675" s="2" t="s">
        <v>393</v>
      </c>
      <c r="D675" s="2">
        <v>88320948</v>
      </c>
      <c r="E675" s="2" t="s">
        <v>19</v>
      </c>
      <c r="F675" s="3">
        <v>46202</v>
      </c>
      <c r="G675" s="4">
        <v>48.64</v>
      </c>
      <c r="H675" s="4">
        <v>9.7279999999999998</v>
      </c>
      <c r="I675" s="4">
        <v>38.911999999999999</v>
      </c>
      <c r="J675" s="5">
        <f t="shared" si="20"/>
        <v>35.993599999999994</v>
      </c>
      <c r="L675" s="5">
        <f t="shared" si="21"/>
        <v>35.993599999999994</v>
      </c>
      <c r="M675" s="5"/>
      <c r="N675" s="5"/>
    </row>
    <row r="676" spans="1:14" ht="14.4" customHeight="1" x14ac:dyDescent="0.3">
      <c r="A676" s="2">
        <v>675</v>
      </c>
      <c r="B676" s="2">
        <v>7011702</v>
      </c>
      <c r="C676" s="2" t="s">
        <v>262</v>
      </c>
      <c r="D676" s="2">
        <v>88321365</v>
      </c>
      <c r="E676" s="2" t="s">
        <v>15</v>
      </c>
      <c r="F676" s="3">
        <v>46202</v>
      </c>
      <c r="G676" s="4">
        <v>54.69</v>
      </c>
      <c r="H676" s="4">
        <v>10.938000000000001</v>
      </c>
      <c r="I676" s="4">
        <v>43.752000000000002</v>
      </c>
      <c r="J676" s="5">
        <f t="shared" si="20"/>
        <v>40.47059999999999</v>
      </c>
      <c r="L676" s="5">
        <f t="shared" si="21"/>
        <v>40.47059999999999</v>
      </c>
      <c r="M676" s="5"/>
      <c r="N676" s="5"/>
    </row>
    <row r="677" spans="1:14" ht="14.4" x14ac:dyDescent="0.3">
      <c r="A677" s="11">
        <v>1</v>
      </c>
      <c r="B677" s="11">
        <v>2011668</v>
      </c>
      <c r="C677" s="11" t="s">
        <v>287</v>
      </c>
      <c r="D677" s="11">
        <v>88321324</v>
      </c>
      <c r="E677" s="11" t="s">
        <v>19</v>
      </c>
      <c r="F677" s="12">
        <v>46207</v>
      </c>
      <c r="G677" s="13">
        <v>36.49</v>
      </c>
      <c r="H677" s="13">
        <v>7.298</v>
      </c>
      <c r="I677" s="13">
        <v>29.192</v>
      </c>
      <c r="J677" s="14">
        <f t="shared" ref="J677:J708" si="22">G677*0.94-H677</f>
        <v>27.002600000000001</v>
      </c>
      <c r="K677" s="14"/>
      <c r="L677" s="14">
        <f t="shared" ref="L677:L708" si="23">J677-K677</f>
        <v>27.002600000000001</v>
      </c>
      <c r="M677" s="14"/>
      <c r="N677" s="14"/>
    </row>
    <row r="678" spans="1:14" ht="14.4" x14ac:dyDescent="0.3">
      <c r="A678" s="11">
        <v>2</v>
      </c>
      <c r="B678" s="11">
        <v>2011647</v>
      </c>
      <c r="C678" s="11" t="s">
        <v>364</v>
      </c>
      <c r="D678" s="11">
        <v>88321287</v>
      </c>
      <c r="E678" s="11" t="s">
        <v>19</v>
      </c>
      <c r="F678" s="12">
        <v>46210</v>
      </c>
      <c r="G678" s="13">
        <v>41.51</v>
      </c>
      <c r="H678" s="13">
        <v>8.3019999999999996</v>
      </c>
      <c r="I678" s="13">
        <v>33.207999999999998</v>
      </c>
      <c r="J678" s="14">
        <f t="shared" si="22"/>
        <v>30.717399999999998</v>
      </c>
      <c r="K678" s="14"/>
      <c r="L678" s="14">
        <f t="shared" si="23"/>
        <v>30.717399999999998</v>
      </c>
      <c r="M678" s="14"/>
      <c r="N678" s="14"/>
    </row>
    <row r="679" spans="1:14" ht="14.4" x14ac:dyDescent="0.3">
      <c r="A679" s="11">
        <v>3</v>
      </c>
      <c r="B679" s="11">
        <v>2011648</v>
      </c>
      <c r="C679" s="11" t="s">
        <v>326</v>
      </c>
      <c r="D679" s="11">
        <v>88321289</v>
      </c>
      <c r="E679" s="11" t="s">
        <v>19</v>
      </c>
      <c r="F679" s="12">
        <v>46210</v>
      </c>
      <c r="G679" s="13">
        <v>42.92</v>
      </c>
      <c r="H679" s="13">
        <v>8.5839999999999996</v>
      </c>
      <c r="I679" s="13">
        <v>34.335999999999999</v>
      </c>
      <c r="J679" s="14">
        <f t="shared" si="22"/>
        <v>31.7608</v>
      </c>
      <c r="K679" s="14"/>
      <c r="L679" s="14">
        <f t="shared" si="23"/>
        <v>31.7608</v>
      </c>
      <c r="M679" s="14"/>
      <c r="N679" s="14"/>
    </row>
    <row r="680" spans="1:14" ht="14.4" x14ac:dyDescent="0.3">
      <c r="A680" s="11">
        <v>4</v>
      </c>
      <c r="B680" s="11">
        <v>2064762</v>
      </c>
      <c r="C680" s="11" t="s">
        <v>394</v>
      </c>
      <c r="D680" s="11">
        <v>90789657</v>
      </c>
      <c r="E680" s="11" t="s">
        <v>19</v>
      </c>
      <c r="F680" s="12">
        <v>46213</v>
      </c>
      <c r="G680" s="13">
        <v>16.39</v>
      </c>
      <c r="H680" s="13">
        <v>2.4580000000000002</v>
      </c>
      <c r="I680" s="13">
        <v>13.932</v>
      </c>
      <c r="J680" s="14">
        <f t="shared" si="22"/>
        <v>12.948599999999999</v>
      </c>
      <c r="K680" s="14"/>
      <c r="L680" s="14">
        <f t="shared" si="23"/>
        <v>12.948599999999999</v>
      </c>
      <c r="M680" s="14"/>
      <c r="N680" s="14"/>
    </row>
    <row r="681" spans="1:14" ht="14.4" x14ac:dyDescent="0.3">
      <c r="A681" s="11">
        <v>5</v>
      </c>
      <c r="B681" s="11">
        <v>2064887</v>
      </c>
      <c r="C681" s="11" t="s">
        <v>367</v>
      </c>
      <c r="D681" s="11">
        <v>90790629</v>
      </c>
      <c r="E681" s="11" t="s">
        <v>15</v>
      </c>
      <c r="F681" s="12">
        <v>46213</v>
      </c>
      <c r="G681" s="13">
        <v>9.26</v>
      </c>
      <c r="H681" s="13">
        <v>1.389</v>
      </c>
      <c r="I681" s="13">
        <v>7.8710000000000004</v>
      </c>
      <c r="J681" s="14">
        <f t="shared" si="22"/>
        <v>7.3153999999999995</v>
      </c>
      <c r="K681" s="14"/>
      <c r="L681" s="14">
        <f t="shared" si="23"/>
        <v>7.3153999999999995</v>
      </c>
      <c r="M681" s="14"/>
      <c r="N681" s="14"/>
    </row>
    <row r="682" spans="1:14" ht="14.4" x14ac:dyDescent="0.3">
      <c r="A682" s="11">
        <v>6</v>
      </c>
      <c r="B682" s="11">
        <v>2011677</v>
      </c>
      <c r="C682" s="11" t="s">
        <v>318</v>
      </c>
      <c r="D682" s="11">
        <v>88321527</v>
      </c>
      <c r="E682" s="11" t="s">
        <v>19</v>
      </c>
      <c r="F682" s="12">
        <v>46214</v>
      </c>
      <c r="G682" s="13">
        <v>44.73</v>
      </c>
      <c r="H682" s="13">
        <v>8.9459999999999997</v>
      </c>
      <c r="I682" s="13">
        <v>35.783999999999999</v>
      </c>
      <c r="J682" s="14">
        <f t="shared" si="22"/>
        <v>33.100199999999994</v>
      </c>
      <c r="K682" s="14"/>
      <c r="L682" s="14">
        <f t="shared" si="23"/>
        <v>33.100199999999994</v>
      </c>
      <c r="M682" s="14"/>
      <c r="N682" s="14"/>
    </row>
    <row r="683" spans="1:14" ht="14.4" x14ac:dyDescent="0.3">
      <c r="A683" s="11">
        <v>7</v>
      </c>
      <c r="B683" s="11">
        <v>1988556</v>
      </c>
      <c r="C683" s="11" t="s">
        <v>209</v>
      </c>
      <c r="D683" s="11">
        <v>90784277</v>
      </c>
      <c r="E683" s="11" t="s">
        <v>15</v>
      </c>
      <c r="F683" s="12">
        <v>46215</v>
      </c>
      <c r="G683" s="13">
        <v>32.130000000000003</v>
      </c>
      <c r="H683" s="13">
        <v>4.819</v>
      </c>
      <c r="I683" s="13">
        <v>27.311</v>
      </c>
      <c r="J683" s="14">
        <f t="shared" si="22"/>
        <v>25.383200000000002</v>
      </c>
      <c r="K683" s="14"/>
      <c r="L683" s="14">
        <f t="shared" si="23"/>
        <v>25.383200000000002</v>
      </c>
      <c r="M683" s="14"/>
      <c r="N683" s="14"/>
    </row>
    <row r="684" spans="1:14" ht="14.4" x14ac:dyDescent="0.3">
      <c r="A684" s="11">
        <v>8</v>
      </c>
      <c r="B684" s="11">
        <v>1988557</v>
      </c>
      <c r="C684" s="11" t="s">
        <v>381</v>
      </c>
      <c r="D684" s="11">
        <v>90784266</v>
      </c>
      <c r="E684" s="11" t="s">
        <v>15</v>
      </c>
      <c r="F684" s="12">
        <v>46215</v>
      </c>
      <c r="G684" s="13">
        <v>48.96</v>
      </c>
      <c r="H684" s="13">
        <v>7.3440000000000003</v>
      </c>
      <c r="I684" s="13">
        <v>41.616</v>
      </c>
      <c r="J684" s="14">
        <f t="shared" si="22"/>
        <v>38.678399999999996</v>
      </c>
      <c r="K684" s="14"/>
      <c r="L684" s="14">
        <f t="shared" si="23"/>
        <v>38.678399999999996</v>
      </c>
      <c r="M684" s="14"/>
      <c r="N684" s="14"/>
    </row>
    <row r="685" spans="1:14" ht="14.4" x14ac:dyDescent="0.3">
      <c r="A685" s="11">
        <v>9</v>
      </c>
      <c r="B685" s="11">
        <v>1988658</v>
      </c>
      <c r="C685" s="11" t="s">
        <v>320</v>
      </c>
      <c r="D685" s="11">
        <v>90784350</v>
      </c>
      <c r="E685" s="11" t="s">
        <v>15</v>
      </c>
      <c r="F685" s="12">
        <v>46216</v>
      </c>
      <c r="G685" s="13">
        <v>7.98</v>
      </c>
      <c r="H685" s="13">
        <v>1.1970000000000001</v>
      </c>
      <c r="I685" s="13">
        <v>6.7830000000000004</v>
      </c>
      <c r="J685" s="14">
        <f t="shared" si="22"/>
        <v>6.3041999999999998</v>
      </c>
      <c r="K685" s="14"/>
      <c r="L685" s="14">
        <f t="shared" si="23"/>
        <v>6.3041999999999998</v>
      </c>
      <c r="M685" s="14"/>
      <c r="N685" s="14"/>
    </row>
    <row r="686" spans="1:14" ht="14.4" x14ac:dyDescent="0.3">
      <c r="A686" s="11">
        <v>10</v>
      </c>
      <c r="B686" s="11">
        <v>2065065</v>
      </c>
      <c r="C686" s="11" t="s">
        <v>395</v>
      </c>
      <c r="D686" s="11">
        <v>90787841</v>
      </c>
      <c r="E686" s="11" t="s">
        <v>15</v>
      </c>
      <c r="F686" s="12">
        <v>46216</v>
      </c>
      <c r="G686" s="13">
        <v>66.98</v>
      </c>
      <c r="H686" s="13">
        <v>10.047000000000001</v>
      </c>
      <c r="I686" s="13">
        <v>56.933</v>
      </c>
      <c r="J686" s="14">
        <f t="shared" si="22"/>
        <v>52.914199999999994</v>
      </c>
      <c r="K686" s="14"/>
      <c r="L686" s="14">
        <f t="shared" si="23"/>
        <v>52.914199999999994</v>
      </c>
      <c r="M686" s="14"/>
      <c r="N686" s="14"/>
    </row>
    <row r="687" spans="1:14" ht="14.4" x14ac:dyDescent="0.3">
      <c r="A687" s="11">
        <v>11</v>
      </c>
      <c r="B687" s="11">
        <v>2065068</v>
      </c>
      <c r="C687" s="11" t="s">
        <v>55</v>
      </c>
      <c r="D687" s="11">
        <v>90787847</v>
      </c>
      <c r="E687" s="11" t="s">
        <v>15</v>
      </c>
      <c r="F687" s="12">
        <v>46216</v>
      </c>
      <c r="G687" s="13">
        <v>69.34</v>
      </c>
      <c r="H687" s="13">
        <v>10.401</v>
      </c>
      <c r="I687" s="13">
        <v>58.939</v>
      </c>
      <c r="J687" s="14">
        <f t="shared" si="22"/>
        <v>54.778599999999997</v>
      </c>
      <c r="K687" s="14"/>
      <c r="L687" s="14">
        <f t="shared" si="23"/>
        <v>54.778599999999997</v>
      </c>
      <c r="M687" s="14"/>
      <c r="N687" s="14"/>
    </row>
    <row r="688" spans="1:14" ht="14.4" x14ac:dyDescent="0.3">
      <c r="A688" s="11">
        <v>12</v>
      </c>
      <c r="B688" s="11">
        <v>1849233</v>
      </c>
      <c r="C688" s="11" t="s">
        <v>355</v>
      </c>
      <c r="D688" s="11">
        <v>90828800</v>
      </c>
      <c r="E688" s="11" t="s">
        <v>19</v>
      </c>
      <c r="F688" s="12">
        <v>46218</v>
      </c>
      <c r="G688" s="13">
        <v>44.55</v>
      </c>
      <c r="H688" s="13">
        <v>8.91</v>
      </c>
      <c r="I688" s="13">
        <v>35.64</v>
      </c>
      <c r="J688" s="14">
        <f t="shared" si="22"/>
        <v>32.966999999999999</v>
      </c>
      <c r="K688" s="14"/>
      <c r="L688" s="14">
        <f t="shared" si="23"/>
        <v>32.966999999999999</v>
      </c>
      <c r="M688" s="14"/>
      <c r="N688" s="14"/>
    </row>
    <row r="689" spans="1:14" ht="14.4" x14ac:dyDescent="0.3">
      <c r="A689" s="11">
        <v>13</v>
      </c>
      <c r="B689" s="11">
        <v>2033729</v>
      </c>
      <c r="C689" s="11" t="s">
        <v>396</v>
      </c>
      <c r="D689" s="11">
        <v>90784518</v>
      </c>
      <c r="E689" s="11" t="s">
        <v>15</v>
      </c>
      <c r="F689" s="12">
        <v>46219</v>
      </c>
      <c r="G689" s="13">
        <v>83.32</v>
      </c>
      <c r="H689" s="13">
        <v>12.497999999999999</v>
      </c>
      <c r="I689" s="13">
        <v>70.822000000000003</v>
      </c>
      <c r="J689" s="14">
        <f t="shared" si="22"/>
        <v>65.822799999999987</v>
      </c>
      <c r="K689" s="14"/>
      <c r="L689" s="14">
        <f t="shared" si="23"/>
        <v>65.822799999999987</v>
      </c>
      <c r="M689" s="14"/>
      <c r="N689" s="14"/>
    </row>
    <row r="690" spans="1:14" ht="14.4" x14ac:dyDescent="0.3">
      <c r="A690" s="11">
        <v>14</v>
      </c>
      <c r="B690" s="11">
        <v>1876018</v>
      </c>
      <c r="C690" s="11" t="s">
        <v>249</v>
      </c>
      <c r="D690" s="11">
        <v>88579641</v>
      </c>
      <c r="E690" s="11" t="s">
        <v>19</v>
      </c>
      <c r="F690" s="12">
        <v>46221</v>
      </c>
      <c r="G690" s="13">
        <v>69.930000000000007</v>
      </c>
      <c r="H690" s="13">
        <v>13.986000000000001</v>
      </c>
      <c r="I690" s="13">
        <v>55.944000000000003</v>
      </c>
      <c r="J690" s="14">
        <f t="shared" si="22"/>
        <v>51.748199999999997</v>
      </c>
      <c r="K690" s="14"/>
      <c r="L690" s="14">
        <f t="shared" si="23"/>
        <v>51.748199999999997</v>
      </c>
      <c r="M690" s="14"/>
      <c r="N690" s="14"/>
    </row>
    <row r="691" spans="1:14" ht="14.4" x14ac:dyDescent="0.3">
      <c r="A691" s="11">
        <v>15</v>
      </c>
      <c r="B691" s="11">
        <v>1988680</v>
      </c>
      <c r="C691" s="11" t="s">
        <v>29</v>
      </c>
      <c r="D691" s="11">
        <v>90786063</v>
      </c>
      <c r="E691" s="11" t="s">
        <v>19</v>
      </c>
      <c r="F691" s="12">
        <v>46221</v>
      </c>
      <c r="G691" s="13">
        <v>47.38</v>
      </c>
      <c r="H691" s="13">
        <v>7.1070000000000002</v>
      </c>
      <c r="I691" s="13">
        <v>40.273000000000003</v>
      </c>
      <c r="J691" s="14">
        <f t="shared" si="22"/>
        <v>37.430199999999999</v>
      </c>
      <c r="K691" s="14"/>
      <c r="L691" s="14">
        <f t="shared" si="23"/>
        <v>37.430199999999999</v>
      </c>
      <c r="M691" s="14"/>
      <c r="N691" s="14"/>
    </row>
    <row r="692" spans="1:14" ht="14.4" x14ac:dyDescent="0.3">
      <c r="A692" s="11">
        <v>16</v>
      </c>
      <c r="B692" s="11">
        <v>2011610</v>
      </c>
      <c r="C692" s="11" t="s">
        <v>153</v>
      </c>
      <c r="D692" s="11">
        <v>88321242</v>
      </c>
      <c r="E692" s="11" t="s">
        <v>19</v>
      </c>
      <c r="F692" s="12">
        <v>46221</v>
      </c>
      <c r="G692" s="13">
        <v>38.799999999999997</v>
      </c>
      <c r="H692" s="13">
        <v>7.76</v>
      </c>
      <c r="I692" s="13">
        <v>31.04</v>
      </c>
      <c r="J692" s="14">
        <f t="shared" si="22"/>
        <v>28.711999999999996</v>
      </c>
      <c r="K692" s="14"/>
      <c r="L692" s="14">
        <f t="shared" si="23"/>
        <v>28.711999999999996</v>
      </c>
      <c r="M692" s="14"/>
      <c r="N692" s="14"/>
    </row>
    <row r="693" spans="1:14" ht="14.4" x14ac:dyDescent="0.3">
      <c r="A693" s="11">
        <v>17</v>
      </c>
      <c r="B693" s="11">
        <v>2064869</v>
      </c>
      <c r="C693" s="11" t="s">
        <v>397</v>
      </c>
      <c r="D693" s="11">
        <v>90787947</v>
      </c>
      <c r="E693" s="11" t="s">
        <v>15</v>
      </c>
      <c r="F693" s="12">
        <v>46221</v>
      </c>
      <c r="G693" s="13">
        <v>54</v>
      </c>
      <c r="H693" s="13">
        <v>8.1</v>
      </c>
      <c r="I693" s="13">
        <v>45.9</v>
      </c>
      <c r="J693" s="14">
        <f t="shared" si="22"/>
        <v>42.66</v>
      </c>
      <c r="K693" s="14"/>
      <c r="L693" s="14">
        <f t="shared" si="23"/>
        <v>42.66</v>
      </c>
      <c r="M693" s="14"/>
      <c r="N693" s="14"/>
    </row>
    <row r="694" spans="1:14" ht="14.4" x14ac:dyDescent="0.3">
      <c r="A694" s="11">
        <v>18</v>
      </c>
      <c r="B694" s="11">
        <v>1833947</v>
      </c>
      <c r="C694" s="11" t="s">
        <v>59</v>
      </c>
      <c r="D694" s="11">
        <v>89682866</v>
      </c>
      <c r="E694" s="11" t="s">
        <v>19</v>
      </c>
      <c r="F694" s="12">
        <v>46221</v>
      </c>
      <c r="G694" s="13">
        <v>59.99</v>
      </c>
      <c r="H694" s="13">
        <v>11.997999999999999</v>
      </c>
      <c r="I694" s="13">
        <v>47.991999999999997</v>
      </c>
      <c r="J694" s="14">
        <f t="shared" si="22"/>
        <v>44.392600000000002</v>
      </c>
      <c r="K694" s="14"/>
      <c r="L694" s="14">
        <f t="shared" si="23"/>
        <v>44.392600000000002</v>
      </c>
      <c r="M694" s="14"/>
      <c r="N694" s="14"/>
    </row>
    <row r="695" spans="1:14" ht="14.4" x14ac:dyDescent="0.3">
      <c r="A695" s="11">
        <v>19</v>
      </c>
      <c r="B695" s="11">
        <v>1833948</v>
      </c>
      <c r="C695" s="11" t="s">
        <v>102</v>
      </c>
      <c r="D695" s="11">
        <v>89682880</v>
      </c>
      <c r="E695" s="11" t="s">
        <v>15</v>
      </c>
      <c r="F695" s="12">
        <v>46221</v>
      </c>
      <c r="G695" s="13">
        <v>55.35</v>
      </c>
      <c r="H695" s="13">
        <v>11.07</v>
      </c>
      <c r="I695" s="13">
        <v>44.28</v>
      </c>
      <c r="J695" s="14">
        <f t="shared" si="22"/>
        <v>40.958999999999996</v>
      </c>
      <c r="K695" s="14"/>
      <c r="L695" s="14">
        <f t="shared" si="23"/>
        <v>40.958999999999996</v>
      </c>
      <c r="M695" s="14"/>
      <c r="N695" s="14"/>
    </row>
    <row r="696" spans="1:14" ht="14.4" x14ac:dyDescent="0.3">
      <c r="A696" s="11">
        <v>20</v>
      </c>
      <c r="B696" s="11">
        <v>1904564</v>
      </c>
      <c r="C696" s="11" t="s">
        <v>71</v>
      </c>
      <c r="D696" s="11">
        <v>89682894</v>
      </c>
      <c r="E696" s="11" t="s">
        <v>15</v>
      </c>
      <c r="F696" s="12">
        <v>46221</v>
      </c>
      <c r="G696" s="13">
        <v>34.08</v>
      </c>
      <c r="H696" s="13">
        <v>6.8159999999999998</v>
      </c>
      <c r="I696" s="13">
        <v>27.263999999999999</v>
      </c>
      <c r="J696" s="14">
        <f t="shared" si="22"/>
        <v>25.219199999999997</v>
      </c>
      <c r="K696" s="14"/>
      <c r="L696" s="14">
        <f t="shared" si="23"/>
        <v>25.219199999999997</v>
      </c>
      <c r="M696" s="14"/>
      <c r="N696" s="14"/>
    </row>
    <row r="697" spans="1:14" ht="14.4" x14ac:dyDescent="0.3">
      <c r="A697" s="11">
        <v>21</v>
      </c>
      <c r="B697" s="11">
        <v>2065066</v>
      </c>
      <c r="C697" s="11" t="s">
        <v>398</v>
      </c>
      <c r="D697" s="11">
        <v>90787844</v>
      </c>
      <c r="E697" s="11" t="s">
        <v>15</v>
      </c>
      <c r="F697" s="12">
        <v>46222</v>
      </c>
      <c r="G697" s="13">
        <v>55.34</v>
      </c>
      <c r="H697" s="13">
        <v>8.3010000000000002</v>
      </c>
      <c r="I697" s="13">
        <v>47.039000000000001</v>
      </c>
      <c r="J697" s="14">
        <f t="shared" si="22"/>
        <v>43.718599999999995</v>
      </c>
      <c r="K697" s="14"/>
      <c r="L697" s="14">
        <f t="shared" si="23"/>
        <v>43.718599999999995</v>
      </c>
      <c r="M697" s="14"/>
      <c r="N697" s="14"/>
    </row>
    <row r="698" spans="1:14" ht="14.4" x14ac:dyDescent="0.3">
      <c r="A698" s="11">
        <v>22</v>
      </c>
      <c r="B698" s="11">
        <v>2065067</v>
      </c>
      <c r="C698" s="11" t="s">
        <v>289</v>
      </c>
      <c r="D698" s="11">
        <v>90787839</v>
      </c>
      <c r="E698" s="11" t="s">
        <v>15</v>
      </c>
      <c r="F698" s="12">
        <v>46222</v>
      </c>
      <c r="G698" s="13">
        <v>51.42</v>
      </c>
      <c r="H698" s="13">
        <v>7.7130000000000001</v>
      </c>
      <c r="I698" s="13">
        <v>43.707000000000001</v>
      </c>
      <c r="J698" s="14">
        <f t="shared" si="22"/>
        <v>40.6218</v>
      </c>
      <c r="K698" s="14"/>
      <c r="L698" s="14">
        <f t="shared" si="23"/>
        <v>40.6218</v>
      </c>
      <c r="M698" s="14"/>
      <c r="N698" s="14"/>
    </row>
    <row r="699" spans="1:14" ht="14.4" x14ac:dyDescent="0.3">
      <c r="A699" s="11">
        <v>23</v>
      </c>
      <c r="B699" s="11">
        <v>2064887</v>
      </c>
      <c r="C699" s="11" t="s">
        <v>367</v>
      </c>
      <c r="D699" s="11">
        <v>90790678</v>
      </c>
      <c r="E699" s="11" t="s">
        <v>15</v>
      </c>
      <c r="F699" s="12">
        <v>46222</v>
      </c>
      <c r="G699" s="13">
        <v>42.2</v>
      </c>
      <c r="H699" s="13">
        <v>6.33</v>
      </c>
      <c r="I699" s="13">
        <v>35.869999999999997</v>
      </c>
      <c r="J699" s="14">
        <f t="shared" si="22"/>
        <v>33.338000000000001</v>
      </c>
      <c r="K699" s="14"/>
      <c r="L699" s="14">
        <f t="shared" si="23"/>
        <v>33.338000000000001</v>
      </c>
      <c r="M699" s="14"/>
      <c r="N699" s="14"/>
    </row>
    <row r="700" spans="1:14" ht="14.4" x14ac:dyDescent="0.3">
      <c r="A700" s="11">
        <v>24</v>
      </c>
      <c r="B700" s="11">
        <v>2059578</v>
      </c>
      <c r="C700" s="11" t="s">
        <v>399</v>
      </c>
      <c r="D700" s="11">
        <v>88321647</v>
      </c>
      <c r="E700" s="11" t="s">
        <v>15</v>
      </c>
      <c r="F700" s="12">
        <v>46222</v>
      </c>
      <c r="G700" s="13">
        <v>43.09</v>
      </c>
      <c r="H700" s="13">
        <v>8.6180000000000003</v>
      </c>
      <c r="I700" s="13">
        <v>34.472000000000001</v>
      </c>
      <c r="J700" s="14">
        <f t="shared" si="22"/>
        <v>31.886600000000001</v>
      </c>
      <c r="K700" s="14"/>
      <c r="L700" s="14">
        <f t="shared" si="23"/>
        <v>31.886600000000001</v>
      </c>
      <c r="M700" s="14"/>
      <c r="N700" s="14"/>
    </row>
    <row r="701" spans="1:14" ht="14.4" x14ac:dyDescent="0.3">
      <c r="A701" s="11">
        <v>25</v>
      </c>
      <c r="B701" s="11">
        <v>2064888</v>
      </c>
      <c r="C701" s="11" t="s">
        <v>386</v>
      </c>
      <c r="D701" s="11">
        <v>90787462</v>
      </c>
      <c r="E701" s="11" t="s">
        <v>19</v>
      </c>
      <c r="F701" s="12">
        <v>46224</v>
      </c>
      <c r="G701" s="13">
        <v>59.46</v>
      </c>
      <c r="H701" s="13">
        <v>8.9190000000000005</v>
      </c>
      <c r="I701" s="13">
        <v>50.540999999999997</v>
      </c>
      <c r="J701" s="14">
        <f t="shared" si="22"/>
        <v>46.973399999999998</v>
      </c>
      <c r="K701" s="14"/>
      <c r="L701" s="14">
        <f t="shared" si="23"/>
        <v>46.973399999999998</v>
      </c>
      <c r="M701" s="14"/>
      <c r="N701" s="14"/>
    </row>
    <row r="702" spans="1:14" ht="14.4" x14ac:dyDescent="0.3">
      <c r="A702" s="11">
        <v>26</v>
      </c>
      <c r="B702" s="11">
        <v>2011712</v>
      </c>
      <c r="C702" s="11" t="s">
        <v>190</v>
      </c>
      <c r="D702" s="11">
        <v>88321378</v>
      </c>
      <c r="E702" s="11" t="s">
        <v>19</v>
      </c>
      <c r="F702" s="12">
        <v>46224</v>
      </c>
      <c r="G702" s="13">
        <v>39.840000000000003</v>
      </c>
      <c r="H702" s="13">
        <v>7.968</v>
      </c>
      <c r="I702" s="13">
        <v>31.872</v>
      </c>
      <c r="J702" s="14">
        <f t="shared" si="22"/>
        <v>29.481600000000004</v>
      </c>
      <c r="K702" s="14"/>
      <c r="L702" s="14">
        <f t="shared" si="23"/>
        <v>29.481600000000004</v>
      </c>
      <c r="M702" s="14"/>
      <c r="N702" s="14"/>
    </row>
    <row r="703" spans="1:14" ht="14.4" x14ac:dyDescent="0.3">
      <c r="A703" s="11">
        <v>27</v>
      </c>
      <c r="B703" s="11">
        <v>1988586</v>
      </c>
      <c r="C703" s="11" t="s">
        <v>74</v>
      </c>
      <c r="D703" s="11">
        <v>90784668</v>
      </c>
      <c r="E703" s="11" t="s">
        <v>15</v>
      </c>
      <c r="F703" s="12">
        <v>46225</v>
      </c>
      <c r="G703" s="13">
        <v>39</v>
      </c>
      <c r="H703" s="13">
        <v>5.85</v>
      </c>
      <c r="I703" s="13">
        <v>33.15</v>
      </c>
      <c r="J703" s="14">
        <f t="shared" si="22"/>
        <v>30.809999999999995</v>
      </c>
      <c r="K703" s="14"/>
      <c r="L703" s="14">
        <f t="shared" si="23"/>
        <v>30.809999999999995</v>
      </c>
      <c r="M703" s="14"/>
      <c r="N703" s="14"/>
    </row>
    <row r="704" spans="1:14" ht="14.4" x14ac:dyDescent="0.3">
      <c r="A704" s="11">
        <v>28</v>
      </c>
      <c r="B704" s="11">
        <v>1876018</v>
      </c>
      <c r="C704" s="11" t="s">
        <v>377</v>
      </c>
      <c r="D704" s="11">
        <v>88579642</v>
      </c>
      <c r="E704" s="11" t="s">
        <v>19</v>
      </c>
      <c r="F704" s="12">
        <v>46226</v>
      </c>
      <c r="G704" s="13">
        <v>48.84</v>
      </c>
      <c r="H704" s="13">
        <v>9.7680000000000007</v>
      </c>
      <c r="I704" s="13">
        <v>39.072000000000003</v>
      </c>
      <c r="J704" s="14">
        <f t="shared" si="22"/>
        <v>36.141599999999997</v>
      </c>
      <c r="K704" s="14"/>
      <c r="L704" s="14">
        <f t="shared" si="23"/>
        <v>36.141599999999997</v>
      </c>
      <c r="M704" s="14"/>
      <c r="N704" s="14"/>
    </row>
    <row r="705" spans="1:14" ht="14.4" x14ac:dyDescent="0.3">
      <c r="A705" s="11">
        <v>29</v>
      </c>
      <c r="B705" s="11">
        <v>2011610</v>
      </c>
      <c r="C705" s="11" t="s">
        <v>153</v>
      </c>
      <c r="D705" s="11">
        <v>88321542</v>
      </c>
      <c r="E705" s="11" t="s">
        <v>19</v>
      </c>
      <c r="F705" s="12">
        <v>46227</v>
      </c>
      <c r="G705" s="13">
        <v>50.39</v>
      </c>
      <c r="H705" s="13">
        <v>10.077999999999999</v>
      </c>
      <c r="I705" s="13">
        <v>40.311999999999998</v>
      </c>
      <c r="J705" s="14">
        <f t="shared" si="22"/>
        <v>37.288600000000002</v>
      </c>
      <c r="K705" s="14"/>
      <c r="L705" s="14">
        <f t="shared" si="23"/>
        <v>37.288600000000002</v>
      </c>
      <c r="M705" s="14"/>
      <c r="N705" s="14"/>
    </row>
    <row r="706" spans="1:14" ht="14.4" x14ac:dyDescent="0.3">
      <c r="A706" s="11">
        <v>30</v>
      </c>
      <c r="B706" s="11">
        <v>2064795</v>
      </c>
      <c r="C706" s="11" t="s">
        <v>400</v>
      </c>
      <c r="D706" s="11">
        <v>90789685</v>
      </c>
      <c r="E706" s="11" t="s">
        <v>19</v>
      </c>
      <c r="F706" s="12">
        <v>46228</v>
      </c>
      <c r="G706" s="13">
        <v>14.79</v>
      </c>
      <c r="H706" s="13">
        <v>2.218</v>
      </c>
      <c r="I706" s="13">
        <v>12.571999999999999</v>
      </c>
      <c r="J706" s="14">
        <f t="shared" si="22"/>
        <v>11.684599999999998</v>
      </c>
      <c r="K706" s="14"/>
      <c r="L706" s="14">
        <f t="shared" si="23"/>
        <v>11.684599999999998</v>
      </c>
      <c r="M706" s="14"/>
      <c r="N706" s="14"/>
    </row>
    <row r="707" spans="1:14" ht="14.4" x14ac:dyDescent="0.3">
      <c r="A707" s="11">
        <v>31</v>
      </c>
      <c r="B707" s="11">
        <v>2058295</v>
      </c>
      <c r="C707" s="11" t="s">
        <v>401</v>
      </c>
      <c r="D707" s="11">
        <v>88321656</v>
      </c>
      <c r="E707" s="11" t="s">
        <v>15</v>
      </c>
      <c r="F707" s="12">
        <v>46229</v>
      </c>
      <c r="G707" s="13">
        <v>13.5</v>
      </c>
      <c r="H707" s="13">
        <v>2.7</v>
      </c>
      <c r="I707" s="13">
        <v>10.8</v>
      </c>
      <c r="J707" s="14">
        <f t="shared" si="22"/>
        <v>9.9899999999999984</v>
      </c>
      <c r="K707" s="14"/>
      <c r="L707" s="14">
        <f t="shared" si="23"/>
        <v>9.9899999999999984</v>
      </c>
      <c r="M707" s="14"/>
      <c r="N707" s="14"/>
    </row>
    <row r="708" spans="1:14" ht="14.4" x14ac:dyDescent="0.3">
      <c r="A708" s="11">
        <v>32</v>
      </c>
      <c r="B708" s="11">
        <v>2049554</v>
      </c>
      <c r="C708" s="11" t="s">
        <v>51</v>
      </c>
      <c r="D708" s="11">
        <v>89884978</v>
      </c>
      <c r="E708" s="11" t="s">
        <v>15</v>
      </c>
      <c r="F708" s="12">
        <v>46231</v>
      </c>
      <c r="G708" s="13">
        <v>41.41</v>
      </c>
      <c r="H708" s="13">
        <v>4.141</v>
      </c>
      <c r="I708" s="13">
        <v>37.268999999999998</v>
      </c>
      <c r="J708" s="14">
        <f t="shared" si="22"/>
        <v>34.784399999999998</v>
      </c>
      <c r="K708" s="14"/>
      <c r="L708" s="14">
        <f t="shared" si="23"/>
        <v>34.784399999999998</v>
      </c>
      <c r="M708" s="14"/>
      <c r="N708" s="14"/>
    </row>
    <row r="709" spans="1:14" ht="14.4" x14ac:dyDescent="0.3">
      <c r="A709" s="11">
        <v>1</v>
      </c>
      <c r="B709" s="11">
        <v>2064896</v>
      </c>
      <c r="C709" s="11" t="s">
        <v>406</v>
      </c>
      <c r="D709" s="11">
        <v>90787482</v>
      </c>
      <c r="E709" s="11" t="s">
        <v>15</v>
      </c>
      <c r="F709" s="12">
        <v>46204</v>
      </c>
      <c r="G709" s="13">
        <v>7.59</v>
      </c>
      <c r="H709" s="13">
        <v>1.1379999999999999</v>
      </c>
      <c r="I709" s="13">
        <v>6.452</v>
      </c>
      <c r="J709" s="14">
        <f t="shared" ref="J709:J715" si="24">G709*0.94-H709</f>
        <v>5.9965999999999999</v>
      </c>
      <c r="K709" s="14"/>
      <c r="L709" s="14">
        <f t="shared" ref="L709:L715" si="25">J709-K709</f>
        <v>5.9965999999999999</v>
      </c>
      <c r="M709" s="14"/>
      <c r="N709" s="14"/>
    </row>
    <row r="710" spans="1:14" ht="14.4" x14ac:dyDescent="0.3">
      <c r="A710" s="11">
        <v>2</v>
      </c>
      <c r="B710" s="11">
        <v>2065099</v>
      </c>
      <c r="C710" s="11" t="s">
        <v>405</v>
      </c>
      <c r="D710" s="11">
        <v>90789921</v>
      </c>
      <c r="E710" s="11" t="s">
        <v>15</v>
      </c>
      <c r="F710" s="12">
        <v>46211</v>
      </c>
      <c r="G710" s="13">
        <v>11.32</v>
      </c>
      <c r="H710" s="13">
        <v>1.698</v>
      </c>
      <c r="I710" s="13">
        <v>9.6219999999999999</v>
      </c>
      <c r="J710" s="14">
        <f t="shared" si="24"/>
        <v>8.9428000000000001</v>
      </c>
      <c r="K710" s="14"/>
      <c r="L710" s="14">
        <f t="shared" si="25"/>
        <v>8.9428000000000001</v>
      </c>
      <c r="M710" s="14"/>
      <c r="N710" s="14"/>
    </row>
    <row r="711" spans="1:14" ht="14.4" x14ac:dyDescent="0.3">
      <c r="A711" s="11">
        <v>3</v>
      </c>
      <c r="B711" s="11">
        <v>2065099</v>
      </c>
      <c r="C711" s="11" t="s">
        <v>405</v>
      </c>
      <c r="D711" s="11">
        <v>90789921</v>
      </c>
      <c r="E711" s="11" t="s">
        <v>15</v>
      </c>
      <c r="F711" s="12">
        <v>46211</v>
      </c>
      <c r="G711" s="13">
        <v>1.016</v>
      </c>
      <c r="H711" s="13">
        <v>0.152</v>
      </c>
      <c r="I711" s="13">
        <v>0.86399999999999999</v>
      </c>
      <c r="J711" s="14">
        <f t="shared" si="24"/>
        <v>0.80303999999999998</v>
      </c>
      <c r="K711" s="14"/>
      <c r="L711" s="14">
        <f t="shared" si="25"/>
        <v>0.80303999999999998</v>
      </c>
      <c r="M711" s="14"/>
      <c r="N711" s="14"/>
    </row>
    <row r="712" spans="1:14" ht="14.4" x14ac:dyDescent="0.3">
      <c r="A712" s="11">
        <v>4</v>
      </c>
      <c r="B712" s="11">
        <v>264837</v>
      </c>
      <c r="C712" s="11" t="s">
        <v>404</v>
      </c>
      <c r="D712" s="11">
        <v>90789707</v>
      </c>
      <c r="E712" s="11" t="s">
        <v>19</v>
      </c>
      <c r="F712" s="12">
        <v>46216</v>
      </c>
      <c r="G712" s="13">
        <v>12.17</v>
      </c>
      <c r="H712" s="13">
        <v>1.825</v>
      </c>
      <c r="I712" s="13">
        <v>10.345000000000001</v>
      </c>
      <c r="J712" s="14">
        <f t="shared" si="24"/>
        <v>9.6148000000000007</v>
      </c>
      <c r="K712" s="14"/>
      <c r="L712" s="14">
        <f t="shared" si="25"/>
        <v>9.6148000000000007</v>
      </c>
      <c r="M712" s="14"/>
      <c r="N712" s="14"/>
    </row>
    <row r="713" spans="1:14" ht="14.4" x14ac:dyDescent="0.3">
      <c r="A713" s="11">
        <v>5</v>
      </c>
      <c r="B713" s="11">
        <v>2065006</v>
      </c>
      <c r="C713" s="11" t="s">
        <v>403</v>
      </c>
      <c r="D713" s="11">
        <v>90789797</v>
      </c>
      <c r="E713" s="11" t="s">
        <v>19</v>
      </c>
      <c r="F713" s="12">
        <v>46217</v>
      </c>
      <c r="G713" s="13">
        <v>6.2380000000000004</v>
      </c>
      <c r="H713" s="13">
        <v>0.93600000000000005</v>
      </c>
      <c r="I713" s="13">
        <v>5.3019999999999996</v>
      </c>
      <c r="J713" s="14">
        <f t="shared" si="24"/>
        <v>4.9277199999999999</v>
      </c>
      <c r="K713" s="14"/>
      <c r="L713" s="14">
        <f t="shared" si="25"/>
        <v>4.9277199999999999</v>
      </c>
      <c r="M713" s="14"/>
      <c r="N713" s="14"/>
    </row>
    <row r="714" spans="1:14" ht="14.4" x14ac:dyDescent="0.3">
      <c r="A714" s="11">
        <v>6</v>
      </c>
      <c r="B714" s="11">
        <v>1963874</v>
      </c>
      <c r="C714" s="11" t="s">
        <v>208</v>
      </c>
      <c r="D714" s="11">
        <v>90173215</v>
      </c>
      <c r="E714" s="11" t="s">
        <v>19</v>
      </c>
      <c r="F714" s="12">
        <v>46218</v>
      </c>
      <c r="G714" s="13">
        <v>28.632999999999999</v>
      </c>
      <c r="H714" s="13">
        <v>0</v>
      </c>
      <c r="I714" s="13">
        <v>28.632999999999999</v>
      </c>
      <c r="J714" s="14">
        <f t="shared" si="24"/>
        <v>26.915019999999998</v>
      </c>
      <c r="K714" s="14"/>
      <c r="L714" s="14">
        <f t="shared" si="25"/>
        <v>26.915019999999998</v>
      </c>
      <c r="M714" s="14"/>
      <c r="N714" s="14"/>
    </row>
    <row r="715" spans="1:14" ht="14.4" x14ac:dyDescent="0.3">
      <c r="A715" s="11">
        <v>7</v>
      </c>
      <c r="B715" s="11">
        <v>1988552</v>
      </c>
      <c r="C715" s="11" t="s">
        <v>402</v>
      </c>
      <c r="D715" s="11">
        <v>90786035</v>
      </c>
      <c r="E715" s="11" t="s">
        <v>19</v>
      </c>
      <c r="F715" s="12">
        <v>46232</v>
      </c>
      <c r="G715" s="13">
        <v>10.17</v>
      </c>
      <c r="H715" s="13">
        <v>1.5249999999999999</v>
      </c>
      <c r="I715" s="13">
        <v>8.6449999999999996</v>
      </c>
      <c r="J715" s="14">
        <f t="shared" si="24"/>
        <v>8.0347999999999988</v>
      </c>
      <c r="K715" s="14"/>
      <c r="L715" s="14">
        <f t="shared" si="25"/>
        <v>8.0347999999999988</v>
      </c>
      <c r="M715" s="14"/>
      <c r="N715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H2O Pharmacy</dc:creator>
  <cp:lastModifiedBy>H2O Pharmacy</cp:lastModifiedBy>
  <dcterms:created xsi:type="dcterms:W3CDTF">2026-07-23T08:23:35Z</dcterms:created>
  <dcterms:modified xsi:type="dcterms:W3CDTF">2026-08-06T14:38:04Z</dcterms:modified>
</cp:coreProperties>
</file>